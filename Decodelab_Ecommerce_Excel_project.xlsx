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33965be572f46b4e/"/>
    </mc:Choice>
  </mc:AlternateContent>
  <xr:revisionPtr revIDLastSave="23" documentId="8_{ABF7B5C1-FFF4-4AB6-AC69-9E20E5A9659F}" xr6:coauthVersionLast="47" xr6:coauthVersionMax="47" xr10:uidLastSave="{9EC40F6A-CB0E-4EF1-8C6C-9D91217D2E25}"/>
  <bookViews>
    <workbookView xWindow="0" yWindow="0" windowWidth="20490" windowHeight="10920" firstSheet="1" activeTab="3" xr2:uid="{00000000-000D-0000-FFFF-FFFF00000000}"/>
  </bookViews>
  <sheets>
    <sheet name="Clean Data" sheetId="1" r:id="rId1"/>
    <sheet name="Descriptive_Statistic" sheetId="2" r:id="rId2"/>
    <sheet name="Pivot_Tables" sheetId="3" r:id="rId3"/>
    <sheet name="Key_Observation" sheetId="4" r:id="rId4"/>
  </sheets>
  <calcPr calcId="191029"/>
  <pivotCaches>
    <pivotCache cacheId="0" r:id="rId5"/>
    <pivotCache cacheId="2"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 i="2" l="1"/>
  <c r="E4" i="2"/>
  <c r="E5" i="2"/>
  <c r="E6" i="2"/>
  <c r="E3" i="2"/>
  <c r="D7" i="2"/>
  <c r="D6" i="2"/>
  <c r="D5" i="2"/>
  <c r="D4" i="2"/>
  <c r="D3" i="2"/>
  <c r="C7" i="2"/>
  <c r="C6" i="2"/>
  <c r="C5" i="2"/>
  <c r="C4" i="2"/>
  <c r="C3" i="2"/>
</calcChain>
</file>

<file path=xl/sharedStrings.xml><?xml version="1.0" encoding="utf-8"?>
<sst xmlns="http://schemas.openxmlformats.org/spreadsheetml/2006/main" count="26945" uniqueCount="20686">
  <si>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</si>
  <si>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</si>
  <si>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</si>
  <si>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</si>
  <si>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</si>
  <si>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</si>
  <si>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</si>
  <si>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</si>
  <si>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</si>
  <si>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</si>
  <si>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</si>
  <si>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</si>
  <si>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</si>
  <si>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</si>
  <si>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</si>
  <si>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</si>
  <si>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</si>
  <si>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</si>
  <si>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</si>
  <si>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</si>
  <si>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</si>
  <si>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</si>
  <si>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</si>
  <si>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</si>
  <si>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</si>
  <si>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</si>
  <si>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</si>
  <si>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</si>
  <si>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</si>
  <si>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</si>
  <si>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</si>
  <si>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</si>
  <si>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</si>
  <si>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</si>
  <si>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</si>
  <si>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Cancelled</t>
  </si>
  <si>
    <t>TRK42903982</t>
  </si>
  <si>
    <t>FREESHIP</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</si>
  <si>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</si>
  <si>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</si>
  <si>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</si>
  <si>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</si>
  <si>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</si>
  <si>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</si>
  <si>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</si>
  <si>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</si>
  <si>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</si>
  <si>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</si>
  <si>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</si>
  <si>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</si>
  <si>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</si>
  <si>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</si>
  <si>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</si>
  <si>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</si>
  <si>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</si>
  <si>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</si>
  <si>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</si>
  <si>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</si>
  <si>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</si>
  <si>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</si>
  <si>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</si>
  <si>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</si>
  <si>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</si>
  <si>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</si>
  <si>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</si>
  <si>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</si>
  <si>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</si>
  <si>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</si>
  <si>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</si>
  <si>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</si>
  <si>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</si>
  <si>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</si>
  <si>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</si>
  <si>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</si>
  <si>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</si>
  <si>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</si>
  <si>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</si>
  <si>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</si>
  <si>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</si>
  <si>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</si>
  <si>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</si>
  <si>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</si>
  <si>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</si>
  <si>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</si>
  <si>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</si>
  <si>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</si>
  <si>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</si>
  <si>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</si>
  <si>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</si>
  <si>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</si>
  <si>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</si>
  <si>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</si>
  <si>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</si>
  <si>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</si>
  <si>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</si>
  <si>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</si>
  <si>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</si>
  <si>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</si>
  <si>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</si>
  <si>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</si>
  <si>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</si>
  <si>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</si>
  <si>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</si>
  <si>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</si>
  <si>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</si>
  <si>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</si>
  <si>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</si>
  <si>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</si>
  <si>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</si>
  <si>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</si>
  <si>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</si>
  <si>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</si>
  <si>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</si>
  <si>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</si>
  <si>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</si>
  <si>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</si>
  <si>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</si>
  <si>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</si>
  <si>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</si>
  <si>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</si>
  <si>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</si>
  <si>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</si>
  <si>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</si>
  <si>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</si>
  <si>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</si>
  <si>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</si>
  <si>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</si>
  <si>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</si>
  <si>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</si>
  <si>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</si>
  <si>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</si>
  <si>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</si>
  <si>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</si>
  <si>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</si>
  <si>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</si>
  <si>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</si>
  <si>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</si>
  <si>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</si>
  <si>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</si>
  <si>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</si>
  <si>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</si>
  <si>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</si>
  <si>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</si>
  <si>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</si>
  <si>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</si>
  <si>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</si>
  <si>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</si>
  <si>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</si>
  <si>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</si>
  <si>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</si>
  <si>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</si>
  <si>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</si>
  <si>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</si>
  <si>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</si>
  <si>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</si>
  <si>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</si>
  <si>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</si>
  <si>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</si>
  <si>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</si>
  <si>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</si>
  <si>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</si>
  <si>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</si>
  <si>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</si>
  <si>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</si>
  <si>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</si>
  <si>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</si>
  <si>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</si>
  <si>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</si>
  <si>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</si>
  <si>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</si>
  <si>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</si>
  <si>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</si>
  <si>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</si>
  <si>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</si>
  <si>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</si>
  <si>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</si>
  <si>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</si>
  <si>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</si>
  <si>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</si>
  <si>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</si>
  <si>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</si>
  <si>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</si>
  <si>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</si>
  <si>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</si>
  <si>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</si>
  <si>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</si>
  <si>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</si>
  <si>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</si>
  <si>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</si>
  <si>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</si>
  <si>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</si>
  <si>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</si>
  <si>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</si>
  <si>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</si>
  <si>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</si>
  <si>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</si>
  <si>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</si>
  <si>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</si>
  <si>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</si>
  <si>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</si>
  <si>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</si>
  <si>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</si>
  <si>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</si>
  <si>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</si>
  <si>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</si>
  <si>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</si>
  <si>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</si>
  <si>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</si>
  <si>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</si>
  <si>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</si>
  <si>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</si>
  <si>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</si>
  <si>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</si>
  <si>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</si>
  <si>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</si>
  <si>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</si>
  <si>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</si>
  <si>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</si>
  <si>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</si>
  <si>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</si>
  <si>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</si>
  <si>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</si>
  <si>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</si>
  <si>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</si>
  <si>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</si>
  <si>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</si>
  <si>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</si>
  <si>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</si>
  <si>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</si>
  <si>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</si>
  <si>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</si>
  <si>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</si>
  <si>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</si>
  <si>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</si>
  <si>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</si>
  <si>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</si>
  <si>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</si>
  <si>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</si>
  <si>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</si>
  <si>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</si>
  <si>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</si>
  <si>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</si>
  <si>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</si>
  <si>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</si>
  <si>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</si>
  <si>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</si>
  <si>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</si>
  <si>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</si>
  <si>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</si>
  <si>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</si>
  <si>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</si>
  <si>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</si>
  <si>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</si>
  <si>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</si>
  <si>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</si>
  <si>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</si>
  <si>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</si>
  <si>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</si>
  <si>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</si>
  <si>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</si>
  <si>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</si>
  <si>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</si>
  <si>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</si>
  <si>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</si>
  <si>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</si>
  <si>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</si>
  <si>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</si>
  <si>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</si>
  <si>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</si>
  <si>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</si>
  <si>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</si>
  <si>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</si>
  <si>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</si>
  <si>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</si>
  <si>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</si>
  <si>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</si>
  <si>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</si>
  <si>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</si>
  <si>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</si>
  <si>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</si>
  <si>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</si>
  <si>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</si>
  <si>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</si>
  <si>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</si>
  <si>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</si>
  <si>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</si>
  <si>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</si>
  <si>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</si>
  <si>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</si>
  <si>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</si>
  <si>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</si>
  <si>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</si>
  <si>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</si>
  <si>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</si>
  <si>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</si>
  <si>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</si>
  <si>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</si>
  <si>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</si>
  <si>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</si>
  <si>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</si>
  <si>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</si>
  <si>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</si>
  <si>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</si>
  <si>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</si>
  <si>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</si>
  <si>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</si>
  <si>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</si>
  <si>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</si>
  <si>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</si>
  <si>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</si>
  <si>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</si>
  <si>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</si>
  <si>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</si>
  <si>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</si>
  <si>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</si>
  <si>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</si>
  <si>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</si>
  <si>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</si>
  <si>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</si>
  <si>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</si>
  <si>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</si>
  <si>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</si>
  <si>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</si>
  <si>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</si>
  <si>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</si>
  <si>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</si>
  <si>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</si>
  <si>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</si>
  <si>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</si>
  <si>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</si>
  <si>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</si>
  <si>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</si>
  <si>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</si>
  <si>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</si>
  <si>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</si>
  <si>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</si>
  <si>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</si>
  <si>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</si>
  <si>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</si>
  <si>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</si>
  <si>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</si>
  <si>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</si>
  <si>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</si>
  <si>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</si>
  <si>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</si>
  <si>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</si>
  <si>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</si>
  <si>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</si>
  <si>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</si>
  <si>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</si>
  <si>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</si>
  <si>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</si>
  <si>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</si>
  <si>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</si>
  <si>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</si>
  <si>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</si>
  <si>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</si>
  <si>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</si>
  <si>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</si>
  <si>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</si>
  <si>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</si>
  <si>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</si>
  <si>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</si>
  <si>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</si>
  <si>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</si>
  <si>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</si>
  <si>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</si>
  <si>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</si>
  <si>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</si>
  <si>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</si>
  <si>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</si>
  <si>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</si>
  <si>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</si>
  <si>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</si>
  <si>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</si>
  <si>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</si>
  <si>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</si>
  <si>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</si>
  <si>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</si>
  <si>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</si>
  <si>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</si>
  <si>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</si>
  <si>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</si>
  <si>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</si>
  <si>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</si>
  <si>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</si>
  <si>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</si>
  <si>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</si>
  <si>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</si>
  <si>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</si>
  <si>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</si>
  <si>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</si>
  <si>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</si>
  <si>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</si>
  <si>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</si>
  <si>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</si>
  <si>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</si>
  <si>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</si>
  <si>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</si>
  <si>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</si>
  <si>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</si>
  <si>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</si>
  <si>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</si>
  <si>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</si>
  <si>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</si>
  <si>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</si>
  <si>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</si>
  <si>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</si>
  <si>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</si>
  <si>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</si>
  <si>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</si>
  <si>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</si>
  <si>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</si>
  <si>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</si>
  <si>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</si>
  <si>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</si>
  <si>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</si>
  <si>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</si>
  <si>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</si>
  <si>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</si>
  <si>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</si>
  <si>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</si>
  <si>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</si>
  <si>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</si>
  <si>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</si>
  <si>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</si>
  <si>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</si>
  <si>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</si>
  <si>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</si>
  <si>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</si>
  <si>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</si>
  <si>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</si>
  <si>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</si>
  <si>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</si>
  <si>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</si>
  <si>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</si>
  <si>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</si>
  <si>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</si>
  <si>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</si>
  <si>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</si>
  <si>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</si>
  <si>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</si>
  <si>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</si>
  <si>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</si>
  <si>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</si>
  <si>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</si>
  <si>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</si>
  <si>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</si>
  <si>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</si>
  <si>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</si>
  <si>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</si>
  <si>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</si>
  <si>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</si>
  <si>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</si>
  <si>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</si>
  <si>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</si>
  <si>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</si>
  <si>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</si>
  <si>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</si>
  <si>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</si>
  <si>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</si>
  <si>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</si>
  <si>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</si>
  <si>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</si>
  <si>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</si>
  <si>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</si>
  <si>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</si>
  <si>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</si>
  <si>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</si>
  <si>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</si>
  <si>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</si>
  <si>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</si>
  <si>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</si>
  <si>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</si>
  <si>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</si>
  <si>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</si>
  <si>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</si>
  <si>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</si>
  <si>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</si>
  <si>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</si>
  <si>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</si>
  <si>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</si>
  <si>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</si>
  <si>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</si>
  <si>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</si>
  <si>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</si>
  <si>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</si>
  <si>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</si>
  <si>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</si>
  <si>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</si>
  <si>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</si>
  <si>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</si>
  <si>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</si>
  <si>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</si>
  <si>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</si>
  <si>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</si>
  <si>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</si>
  <si>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</si>
  <si>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</si>
  <si>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</si>
  <si>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</si>
  <si>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</si>
  <si>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</si>
  <si>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</si>
  <si>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</si>
  <si>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</si>
  <si>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</si>
  <si>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</si>
  <si>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</si>
  <si>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</si>
  <si>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</si>
  <si>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</si>
  <si>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</si>
  <si>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</si>
  <si>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</si>
  <si>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</si>
  <si>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</si>
  <si>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</si>
  <si>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</si>
  <si>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</si>
  <si>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</si>
  <si>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</si>
  <si>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</si>
  <si>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</si>
  <si>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</si>
  <si>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</si>
  <si>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</si>
  <si>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</si>
  <si>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</si>
  <si>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</si>
  <si>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</si>
  <si>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</si>
  <si>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</si>
  <si>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</si>
  <si>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</si>
  <si>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</si>
  <si>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</si>
  <si>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</si>
  <si>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</si>
  <si>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</si>
  <si>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</si>
  <si>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</si>
  <si>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</si>
  <si>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</si>
  <si>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</si>
  <si>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</si>
  <si>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</si>
  <si>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</si>
  <si>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</si>
  <si>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</si>
  <si>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</si>
  <si>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</si>
  <si>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</si>
  <si>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</si>
  <si>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</si>
  <si>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</si>
  <si>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</si>
  <si>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</si>
  <si>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</si>
  <si>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</si>
  <si>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</si>
  <si>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</si>
  <si>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</si>
  <si>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</si>
  <si>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</si>
  <si>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</si>
  <si>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</si>
  <si>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</si>
  <si>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</si>
  <si>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</si>
  <si>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</si>
  <si>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</si>
  <si>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</si>
  <si>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</si>
  <si>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</si>
  <si>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</si>
  <si>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</si>
  <si>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</si>
  <si>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</si>
  <si>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</si>
  <si>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</si>
  <si>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</si>
  <si>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</si>
  <si>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</si>
  <si>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</si>
  <si>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</si>
  <si>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</si>
  <si>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</si>
  <si>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</si>
  <si>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</si>
  <si>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</si>
  <si>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</si>
  <si>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</si>
  <si>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</si>
  <si>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</si>
  <si>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</si>
  <si>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</si>
  <si>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</si>
  <si>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</si>
  <si>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</si>
  <si>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</si>
  <si>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</si>
  <si>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</si>
  <si>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</si>
  <si>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</si>
  <si>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</si>
  <si>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</si>
  <si>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</si>
  <si>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</si>
  <si>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</si>
  <si>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</si>
  <si>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</si>
  <si>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</si>
  <si>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</si>
  <si>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</si>
  <si>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</si>
  <si>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</si>
  <si>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</si>
  <si>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</si>
  <si>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</si>
  <si>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</si>
  <si>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</si>
  <si>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</si>
  <si>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</si>
  <si>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</si>
  <si>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</si>
  <si>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</si>
  <si>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</si>
  <si>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</si>
  <si>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</si>
  <si>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</si>
  <si>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</si>
  <si>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</si>
  <si>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</si>
  <si>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</si>
  <si>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</si>
  <si>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</si>
  <si>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</si>
  <si>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</si>
  <si>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</si>
  <si>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</si>
  <si>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</si>
  <si>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</si>
  <si>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</si>
  <si>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</si>
  <si>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</si>
  <si>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</si>
  <si>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</si>
  <si>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</si>
  <si>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</si>
  <si>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</si>
  <si>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</si>
  <si>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</si>
  <si>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</si>
  <si>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</si>
  <si>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</si>
  <si>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</si>
  <si>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</si>
  <si>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</si>
  <si>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</si>
  <si>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</si>
  <si>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</si>
  <si>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</si>
  <si>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</si>
  <si>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</si>
  <si>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</si>
  <si>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</si>
  <si>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</si>
  <si>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</si>
  <si>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</si>
  <si>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</si>
  <si>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</si>
  <si>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</si>
  <si>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</si>
  <si>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</si>
  <si>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</si>
  <si>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</si>
  <si>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</si>
  <si>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</si>
  <si>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</si>
  <si>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</si>
  <si>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</si>
  <si>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</si>
  <si>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</si>
  <si>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</si>
  <si>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</si>
  <si>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</si>
  <si>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</si>
  <si>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</si>
  <si>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</si>
  <si>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</si>
  <si>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</si>
  <si>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</si>
  <si>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</si>
  <si>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</si>
  <si>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</si>
  <si>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</si>
  <si>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</si>
  <si>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</si>
  <si>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</si>
  <si>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</si>
  <si>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</si>
  <si>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</si>
  <si>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</si>
  <si>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</si>
  <si>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</si>
  <si>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</si>
  <si>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</si>
  <si>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</si>
  <si>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</si>
  <si>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</si>
  <si>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</si>
  <si>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</si>
  <si>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</si>
  <si>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</si>
  <si>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</si>
  <si>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</si>
  <si>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</si>
  <si>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</si>
  <si>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</si>
  <si>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</si>
  <si>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</si>
  <si>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</si>
  <si>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</si>
  <si>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</si>
  <si>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</si>
  <si>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</si>
  <si>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</si>
  <si>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</si>
  <si>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</si>
  <si>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</si>
  <si>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</si>
  <si>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</si>
  <si>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</si>
  <si>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</si>
  <si>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</si>
  <si>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</si>
  <si>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</si>
  <si>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</si>
  <si>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</si>
  <si>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</si>
  <si>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</si>
  <si>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</si>
  <si>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</si>
  <si>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</si>
  <si>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</si>
  <si>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</si>
  <si>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</si>
  <si>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</si>
  <si>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</si>
  <si>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</si>
  <si>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</si>
  <si>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</si>
  <si>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</si>
  <si>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</si>
  <si>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</si>
  <si>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</si>
  <si>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</si>
  <si>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</si>
  <si>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</si>
  <si>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</si>
  <si>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</si>
  <si>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</si>
  <si>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</si>
  <si>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</si>
  <si>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</si>
  <si>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</si>
  <si>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</si>
  <si>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</si>
  <si>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</si>
  <si>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</si>
  <si>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</si>
  <si>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</si>
  <si>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</si>
  <si>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</si>
  <si>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</si>
  <si>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</si>
  <si>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</si>
  <si>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</si>
  <si>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</si>
  <si>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</si>
  <si>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</si>
  <si>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</si>
  <si>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</si>
  <si>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</si>
  <si>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</si>
  <si>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</si>
  <si>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</si>
  <si>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</si>
  <si>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</si>
  <si>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</si>
  <si>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</si>
  <si>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</si>
  <si>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</si>
  <si>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</si>
  <si>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</si>
  <si>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</si>
  <si>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</si>
  <si>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</si>
  <si>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</si>
  <si>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</si>
  <si>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</si>
  <si>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</si>
  <si>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</si>
  <si>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</si>
  <si>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</si>
  <si>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</si>
  <si>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</si>
  <si>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</si>
  <si>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</si>
  <si>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</si>
  <si>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</si>
  <si>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</si>
  <si>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</si>
  <si>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</si>
  <si>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</si>
  <si>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</si>
  <si>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</si>
  <si>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</si>
  <si>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</si>
  <si>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</si>
  <si>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</si>
  <si>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</si>
  <si>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</si>
  <si>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</si>
  <si>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</si>
  <si>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</si>
  <si>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</si>
  <si>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</si>
  <si>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</si>
  <si>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</si>
  <si>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</si>
  <si>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</si>
  <si>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</si>
  <si>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</si>
  <si>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</si>
  <si>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</si>
  <si>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</si>
  <si>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</si>
  <si>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</si>
  <si>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</si>
  <si>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</si>
  <si>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</si>
  <si>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</si>
  <si>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</si>
  <si>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</si>
  <si>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</si>
  <si>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</si>
  <si>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</si>
  <si>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</si>
  <si>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</si>
  <si>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</si>
  <si>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</si>
  <si>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</si>
  <si>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</si>
  <si>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</si>
  <si>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</si>
  <si>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</si>
  <si>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</si>
  <si>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</si>
  <si>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</si>
  <si>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</si>
  <si>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</si>
  <si>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</si>
  <si>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</si>
  <si>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</si>
  <si>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</si>
  <si>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</si>
  <si>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</si>
  <si>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</si>
  <si>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</si>
  <si>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</si>
  <si>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</si>
  <si>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</si>
  <si>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</si>
  <si>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</si>
  <si>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</si>
  <si>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</si>
  <si>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</si>
  <si>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</si>
  <si>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</si>
  <si>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</si>
  <si>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</si>
  <si>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</si>
  <si>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</si>
  <si>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</si>
  <si>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</si>
  <si>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</si>
  <si>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</si>
  <si>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</si>
  <si>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</si>
  <si>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</si>
  <si>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</si>
  <si>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</si>
  <si>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</si>
  <si>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</si>
  <si>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</si>
  <si>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</si>
  <si>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</si>
  <si>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</si>
  <si>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</si>
  <si>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</si>
  <si>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</si>
  <si>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</si>
  <si>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</si>
  <si>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</si>
  <si>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</si>
  <si>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</si>
  <si>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</si>
  <si>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</si>
  <si>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</si>
  <si>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</si>
  <si>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</si>
  <si>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</si>
  <si>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</si>
  <si>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</si>
  <si>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</si>
  <si>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</si>
  <si>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</si>
  <si>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</si>
  <si>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</si>
  <si>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</si>
  <si>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</si>
  <si>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</si>
  <si>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</si>
  <si>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</si>
  <si>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</si>
  <si>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</si>
  <si>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</si>
  <si>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</si>
  <si>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</si>
  <si>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</si>
  <si>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</si>
  <si>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</si>
  <si>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</si>
  <si>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</si>
  <si>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</si>
  <si>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</si>
  <si>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</si>
  <si>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</si>
  <si>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</si>
  <si>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</si>
  <si>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</si>
  <si>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</si>
  <si>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</si>
  <si>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</si>
  <si>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</si>
  <si>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</si>
  <si>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</si>
  <si>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</si>
  <si>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</si>
  <si>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</si>
  <si>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</si>
  <si>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</si>
  <si>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</si>
  <si>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</si>
  <si>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</si>
  <si>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</si>
  <si>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</si>
  <si>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</si>
  <si>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</si>
  <si>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</si>
  <si>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</si>
  <si>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</si>
  <si>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</si>
  <si>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</si>
  <si>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</si>
  <si>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</si>
  <si>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</si>
  <si>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</si>
  <si>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</si>
  <si>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</si>
  <si>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</si>
  <si>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</si>
  <si>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</si>
  <si>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</si>
  <si>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</si>
  <si>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</si>
  <si>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</si>
  <si>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</si>
  <si>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</si>
  <si>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</si>
  <si>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</si>
  <si>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</si>
  <si>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</si>
  <si>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</si>
  <si>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</si>
  <si>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</si>
  <si>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</si>
  <si>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</si>
  <si>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</si>
  <si>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</si>
  <si>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</si>
  <si>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</si>
  <si>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</si>
  <si>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</si>
  <si>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</si>
  <si>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</si>
  <si>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</si>
  <si>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</si>
  <si>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</si>
  <si>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</si>
  <si>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</si>
  <si>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</si>
  <si>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</si>
  <si>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</si>
  <si>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</si>
  <si>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</si>
  <si>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</si>
  <si>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</si>
  <si>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</si>
  <si>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</si>
  <si>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</si>
  <si>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</si>
  <si>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</si>
  <si>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</si>
  <si>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</si>
  <si>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</si>
  <si>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</si>
  <si>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</si>
  <si>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</si>
  <si>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</si>
  <si>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</si>
  <si>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</si>
  <si>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</si>
  <si>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</si>
  <si>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</si>
  <si>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</si>
  <si>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</si>
  <si>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</si>
  <si>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</si>
  <si>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</si>
  <si>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</si>
  <si>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</si>
  <si>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</si>
  <si>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</si>
  <si>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</si>
  <si>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</si>
  <si>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</si>
  <si>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</si>
  <si>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</si>
  <si>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</si>
  <si>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</si>
  <si>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</si>
  <si>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</si>
  <si>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</si>
  <si>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</si>
  <si>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</si>
  <si>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</si>
  <si>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</si>
  <si>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</si>
  <si>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</si>
  <si>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</si>
  <si>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</si>
  <si>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</si>
  <si>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</si>
  <si>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</si>
  <si>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</si>
  <si>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</si>
  <si>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</si>
  <si>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</si>
  <si>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</si>
  <si>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</si>
  <si>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</si>
  <si>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</si>
  <si>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</si>
  <si>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</si>
  <si>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</si>
  <si>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</si>
  <si>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</si>
  <si>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</si>
  <si>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</si>
  <si>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</si>
  <si>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</si>
  <si>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</si>
  <si>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</si>
  <si>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</si>
  <si>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</si>
  <si>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</si>
  <si>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</si>
  <si>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</si>
  <si>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</si>
  <si>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</si>
  <si>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</si>
  <si>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</si>
  <si>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</si>
  <si>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</si>
  <si>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</si>
  <si>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</si>
  <si>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</si>
  <si>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</si>
  <si>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</si>
  <si>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</si>
  <si>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</si>
  <si>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</si>
  <si>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</si>
  <si>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</si>
  <si>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</si>
  <si>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</si>
  <si>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</si>
  <si>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</si>
  <si>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</si>
  <si>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</si>
  <si>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</si>
  <si>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</si>
  <si>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</si>
  <si>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</si>
  <si>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</si>
  <si>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</si>
  <si>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</si>
  <si>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</si>
  <si>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</si>
  <si>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</si>
  <si>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</si>
  <si>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</si>
  <si>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</si>
  <si>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</si>
  <si>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</si>
  <si>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</si>
  <si>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</si>
  <si>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</si>
  <si>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</si>
  <si>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</si>
  <si>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</si>
  <si>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</si>
  <si>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</si>
  <si>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</si>
  <si>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</si>
  <si>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</si>
  <si>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</si>
  <si>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</si>
  <si>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</si>
  <si>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</si>
  <si>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</si>
  <si>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</si>
  <si>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</si>
  <si>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</si>
  <si>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</si>
  <si>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</si>
  <si>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</si>
  <si>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</si>
  <si>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</si>
  <si>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</si>
  <si>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</si>
  <si>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</si>
  <si>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</si>
  <si>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</si>
  <si>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</si>
  <si>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</si>
  <si>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</si>
  <si>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</si>
  <si>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</si>
  <si>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</si>
  <si>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</si>
  <si>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</si>
  <si>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</si>
  <si>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</si>
  <si>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</si>
  <si>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</si>
  <si>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</si>
  <si>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</si>
  <si>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</si>
  <si>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</si>
  <si>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</si>
  <si>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</si>
  <si>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</si>
  <si>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</si>
  <si>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</si>
  <si>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</si>
  <si>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</si>
  <si>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</si>
  <si>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</si>
  <si>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</si>
  <si>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</si>
  <si>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</si>
  <si>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</si>
  <si>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</si>
  <si>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</si>
  <si>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</si>
  <si>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</si>
  <si>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</si>
  <si>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</si>
  <si>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</si>
  <si>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</si>
  <si>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</si>
  <si>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</si>
  <si>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</si>
  <si>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</si>
  <si>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</si>
  <si>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</si>
  <si>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</si>
  <si>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</si>
  <si>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</si>
  <si>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</si>
  <si>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</si>
  <si>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</si>
  <si>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</si>
  <si>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</si>
  <si>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</si>
  <si>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</si>
  <si>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</si>
  <si>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</si>
  <si>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</si>
  <si>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</si>
  <si>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</si>
  <si>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</si>
  <si>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</si>
  <si>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</si>
  <si>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</si>
  <si>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</si>
  <si>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</si>
  <si>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</si>
  <si>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</si>
  <si>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</si>
  <si>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</si>
  <si>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</si>
  <si>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</si>
  <si>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</si>
  <si>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</si>
  <si>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</si>
  <si>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</si>
  <si>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</si>
  <si>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</si>
  <si>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</si>
  <si>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</si>
  <si>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</si>
  <si>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</si>
  <si>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</si>
  <si>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</si>
  <si>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</si>
  <si>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</si>
  <si>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</si>
  <si>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</si>
  <si>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</si>
  <si>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</si>
  <si>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</si>
  <si>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</si>
  <si>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</si>
  <si>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</si>
  <si>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</si>
  <si>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</si>
  <si>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</si>
  <si>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</si>
  <si>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</si>
  <si>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</si>
  <si>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</si>
  <si>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</si>
  <si>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</si>
  <si>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</si>
  <si>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</si>
  <si>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</si>
  <si>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</si>
  <si>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</si>
  <si>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</si>
  <si>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</si>
  <si>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</si>
  <si>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</si>
  <si>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</si>
  <si>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</si>
  <si>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</si>
  <si>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</si>
  <si>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</si>
  <si>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</si>
  <si>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</si>
  <si>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</si>
  <si>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</si>
  <si>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</si>
  <si>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</si>
  <si>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</si>
  <si>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</si>
  <si>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</si>
  <si>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</si>
  <si>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</si>
  <si>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</si>
  <si>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</si>
  <si>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</si>
  <si>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</si>
  <si>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</si>
  <si>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</si>
  <si>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</si>
  <si>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</si>
  <si>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</si>
  <si>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</si>
  <si>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</si>
  <si>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</si>
  <si>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</si>
  <si>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</si>
  <si>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</si>
  <si>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</si>
  <si>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</si>
  <si>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</si>
  <si>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</si>
  <si>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</si>
  <si>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</si>
  <si>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</si>
  <si>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</si>
  <si>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</si>
  <si>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</si>
  <si>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</si>
  <si>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</si>
  <si>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</si>
  <si>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</si>
  <si>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</si>
  <si>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</si>
  <si>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</si>
  <si>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</si>
  <si>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</si>
  <si>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</si>
  <si>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</si>
  <si>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</si>
  <si>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</si>
  <si>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</si>
  <si>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</si>
  <si>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</si>
  <si>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</si>
  <si>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</si>
  <si>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</si>
  <si>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</si>
  <si>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</si>
  <si>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</si>
  <si>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</si>
  <si>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</si>
  <si>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</si>
  <si>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</si>
  <si>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</si>
  <si>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</si>
  <si>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</si>
  <si>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</si>
  <si>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</si>
  <si>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</si>
  <si>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</si>
  <si>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</si>
  <si>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</si>
  <si>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</si>
  <si>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</si>
  <si>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</si>
  <si>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</si>
  <si>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</si>
  <si>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</si>
  <si>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</si>
  <si>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</si>
  <si>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</si>
  <si>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</si>
  <si>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</si>
  <si>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</si>
  <si>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</si>
  <si>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</si>
  <si>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</si>
  <si>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</si>
  <si>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</si>
  <si>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</si>
  <si>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</si>
  <si>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</si>
  <si>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</si>
  <si>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</si>
  <si>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</si>
  <si>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</si>
  <si>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</si>
  <si>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</si>
  <si>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</si>
  <si>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</si>
  <si>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</si>
  <si>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</si>
  <si>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</si>
  <si>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</si>
  <si>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</si>
  <si>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</si>
  <si>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</si>
  <si>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</si>
  <si>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</si>
  <si>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</si>
  <si>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</si>
  <si>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</si>
  <si>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</si>
  <si>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</si>
  <si>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</si>
  <si>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</si>
  <si>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</si>
  <si>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</si>
  <si>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</si>
  <si>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</si>
  <si>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</si>
  <si>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</si>
  <si>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</si>
  <si>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</si>
  <si>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</si>
  <si>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</si>
  <si>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</si>
  <si>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</si>
  <si>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</si>
  <si>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</si>
  <si>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</si>
  <si>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</si>
  <si>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</si>
  <si>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</si>
  <si>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</si>
  <si>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</si>
  <si>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</si>
  <si>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</si>
  <si>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</si>
  <si>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</si>
  <si>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</si>
  <si>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</si>
  <si>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</si>
  <si>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</si>
  <si>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</si>
  <si>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</si>
  <si>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</si>
  <si>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</si>
  <si>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</si>
  <si>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</si>
  <si>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</si>
  <si>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</si>
  <si>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</si>
  <si>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</si>
  <si>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</si>
  <si>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</si>
  <si>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</si>
  <si>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</si>
  <si>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</si>
  <si>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</si>
  <si>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</si>
  <si>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</si>
  <si>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</si>
  <si>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</si>
  <si>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</si>
  <si>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</si>
  <si>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</si>
  <si>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</si>
  <si>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</si>
  <si>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</si>
  <si>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</si>
  <si>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</si>
  <si>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</si>
  <si>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</si>
  <si>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</si>
  <si>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</si>
  <si>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</si>
  <si>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</si>
  <si>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</si>
  <si>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</si>
  <si>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</si>
  <si>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</si>
  <si>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</si>
  <si>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</si>
  <si>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</si>
  <si>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</si>
  <si>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</si>
  <si>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</si>
  <si>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</si>
  <si>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</si>
  <si>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</si>
  <si>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</si>
  <si>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</si>
  <si>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</si>
  <si>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</si>
  <si>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</si>
  <si>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</si>
  <si>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</si>
  <si>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</si>
  <si>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</si>
  <si>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</si>
  <si>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</si>
  <si>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</si>
  <si>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</si>
  <si>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</si>
  <si>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</si>
  <si>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</si>
  <si>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</si>
  <si>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</si>
  <si>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</si>
  <si>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</si>
  <si>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</si>
  <si>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</si>
  <si>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</si>
  <si>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</si>
  <si>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</si>
  <si>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</si>
  <si>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</si>
  <si>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</si>
  <si>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</si>
  <si>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</si>
  <si>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</si>
  <si>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</si>
  <si>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</si>
  <si>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</si>
  <si>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</si>
  <si>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</si>
  <si>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</si>
  <si>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</si>
  <si>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</si>
  <si>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</si>
  <si>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</si>
  <si>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</si>
  <si>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</si>
  <si>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</si>
  <si>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</si>
  <si>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</si>
  <si>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</si>
  <si>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</si>
  <si>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</si>
  <si>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</si>
  <si>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</si>
  <si>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</si>
  <si>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</si>
  <si>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</si>
  <si>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</si>
  <si>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</si>
  <si>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</si>
  <si>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</si>
  <si>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</si>
  <si>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</si>
  <si>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</si>
  <si>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</si>
  <si>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</si>
  <si>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</si>
  <si>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</si>
  <si>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</si>
  <si>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</si>
  <si>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</si>
  <si>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</si>
  <si>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</si>
  <si>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</si>
  <si>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</si>
  <si>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</si>
  <si>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</si>
  <si>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</si>
  <si>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</si>
  <si>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</si>
  <si>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</si>
  <si>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</si>
  <si>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</si>
  <si>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</si>
  <si>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</si>
  <si>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</si>
  <si>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</si>
  <si>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</si>
  <si>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</si>
  <si>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</si>
  <si>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</si>
  <si>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</si>
  <si>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</si>
  <si>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</si>
  <si>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</si>
  <si>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</si>
  <si>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</si>
  <si>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</si>
  <si>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</si>
  <si>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</si>
  <si>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</si>
  <si>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</si>
  <si>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</si>
  <si>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</si>
  <si>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</si>
  <si>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</si>
  <si>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</si>
  <si>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</si>
  <si>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</si>
  <si>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</si>
  <si>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</si>
  <si>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</si>
  <si>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</si>
  <si>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</si>
  <si>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</si>
  <si>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</si>
  <si>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</si>
  <si>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</si>
  <si>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</si>
  <si>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</si>
  <si>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</si>
  <si>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</si>
  <si>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</si>
  <si>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</si>
  <si>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</si>
  <si>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</si>
  <si>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</si>
  <si>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</si>
  <si>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</si>
  <si>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</si>
  <si>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</si>
  <si>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</si>
  <si>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</si>
  <si>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</si>
  <si>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</si>
  <si>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</si>
  <si>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</si>
  <si>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</si>
  <si>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</si>
  <si>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</si>
  <si>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</si>
  <si>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</si>
  <si>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</si>
  <si>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</si>
  <si>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</si>
  <si>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</si>
  <si>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</si>
  <si>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</si>
  <si>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</si>
  <si>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</si>
  <si>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</si>
  <si>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</si>
  <si>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</si>
  <si>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</si>
  <si>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</si>
  <si>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</si>
  <si>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</si>
  <si>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</si>
  <si>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</si>
  <si>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</si>
  <si>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</si>
  <si>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</si>
  <si>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</si>
  <si>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</si>
  <si>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</si>
  <si>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</si>
  <si>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</si>
  <si>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</si>
  <si>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</si>
  <si>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</si>
  <si>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</si>
  <si>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</si>
  <si>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</si>
  <si>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</si>
  <si>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</si>
  <si>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</si>
  <si>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</si>
  <si>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</si>
  <si>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</si>
  <si>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</si>
  <si>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</si>
  <si>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</si>
  <si>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</si>
  <si>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</si>
  <si>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</si>
  <si>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</si>
  <si>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</si>
  <si>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</si>
  <si>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</si>
  <si>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</si>
  <si>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</si>
  <si>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</si>
  <si>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</si>
  <si>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</si>
  <si>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</si>
  <si>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</si>
  <si>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</si>
  <si>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</si>
  <si>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</si>
  <si>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</si>
  <si>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</si>
  <si>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</si>
  <si>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</si>
  <si>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</si>
  <si>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</si>
  <si>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</si>
  <si>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</si>
  <si>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</si>
  <si>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</si>
  <si>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</si>
  <si>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</si>
  <si>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</si>
  <si>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</si>
  <si>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</si>
  <si>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</si>
  <si>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</si>
  <si>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</si>
  <si>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</si>
  <si>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</si>
  <si>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</si>
  <si>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</si>
  <si>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</si>
  <si>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</si>
  <si>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</si>
  <si>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</si>
  <si>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</si>
  <si>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</si>
  <si>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</si>
  <si>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</si>
  <si>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</si>
  <si>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</si>
  <si>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</si>
  <si>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</si>
  <si>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</si>
  <si>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</si>
  <si>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</si>
  <si>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</si>
  <si>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</si>
  <si>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</si>
  <si>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</si>
  <si>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</si>
  <si>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</si>
  <si>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</si>
  <si>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</si>
  <si>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</si>
  <si>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</si>
  <si>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</si>
  <si>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</si>
  <si>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</si>
  <si>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</si>
  <si>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</si>
  <si>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</si>
  <si>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</si>
  <si>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</si>
  <si>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</si>
  <si>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</si>
  <si>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</si>
  <si>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</si>
  <si>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</si>
  <si>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</si>
  <si>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</si>
  <si>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</si>
  <si>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</si>
  <si>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</si>
  <si>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</si>
  <si>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</si>
  <si>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</si>
  <si>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</si>
  <si>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</si>
  <si>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</si>
  <si>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</si>
  <si>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</si>
  <si>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</si>
  <si>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</si>
  <si>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</si>
  <si>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</si>
  <si>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</si>
  <si>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</si>
  <si>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</si>
  <si>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</si>
  <si>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</si>
  <si>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</si>
  <si>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</si>
  <si>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</si>
  <si>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</si>
  <si>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</si>
  <si>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</si>
  <si>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</si>
  <si>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</si>
  <si>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</si>
  <si>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</si>
  <si>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</si>
  <si>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</si>
  <si>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</si>
  <si>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</si>
  <si>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</si>
  <si>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</si>
  <si>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</si>
  <si>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</si>
  <si>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</si>
  <si>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</si>
  <si>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</si>
  <si>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</si>
  <si>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</si>
  <si>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</si>
  <si>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</si>
  <si>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</si>
  <si>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</si>
  <si>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</si>
  <si>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</si>
  <si>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</si>
  <si>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</si>
  <si>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</si>
  <si>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</si>
  <si>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</si>
  <si>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</si>
  <si>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</si>
  <si>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</si>
  <si>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</si>
  <si>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</si>
  <si>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</si>
  <si>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</si>
  <si>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</si>
  <si>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</si>
  <si>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</si>
  <si>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</si>
  <si>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</si>
  <si>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</si>
  <si>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</si>
  <si>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</si>
  <si>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</si>
  <si>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</si>
  <si>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</si>
  <si>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</si>
  <si>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</si>
  <si>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</si>
  <si>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</si>
  <si>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</si>
  <si>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</si>
  <si>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</si>
  <si>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</si>
  <si>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</si>
  <si>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</si>
  <si>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</si>
  <si>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</si>
  <si>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</si>
  <si>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</si>
  <si>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</si>
  <si>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</si>
  <si>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</si>
  <si>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</si>
  <si>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</si>
  <si>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</si>
  <si>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</si>
  <si>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</si>
  <si>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</si>
  <si>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</si>
  <si>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</si>
  <si>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</si>
  <si>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</si>
  <si>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</si>
  <si>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</si>
  <si>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</si>
  <si>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</si>
  <si>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</si>
  <si>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</si>
  <si>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</si>
  <si>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</si>
  <si>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</si>
  <si>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</si>
  <si>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</si>
  <si>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</si>
  <si>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</si>
  <si>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</si>
  <si>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</si>
  <si>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</si>
  <si>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</si>
  <si>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</si>
  <si>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</si>
  <si>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</si>
  <si>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</si>
  <si>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</si>
  <si>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</si>
  <si>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</si>
  <si>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</si>
  <si>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</si>
  <si>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</si>
  <si>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</si>
  <si>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</si>
  <si>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</si>
  <si>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</si>
  <si>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</si>
  <si>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</si>
  <si>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</si>
  <si>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</si>
  <si>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</si>
  <si>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</si>
  <si>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</si>
  <si>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</si>
  <si>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</si>
  <si>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</si>
  <si>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</si>
  <si>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</si>
  <si>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</si>
  <si>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</si>
  <si>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</si>
  <si>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</si>
  <si>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</si>
  <si>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</si>
  <si>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</si>
  <si>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</si>
  <si>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</si>
  <si>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</si>
  <si>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</si>
  <si>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</si>
  <si>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</si>
  <si>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</si>
  <si>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</si>
  <si>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</si>
  <si>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</si>
  <si>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</si>
  <si>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</si>
  <si>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</si>
  <si>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</si>
  <si>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</si>
  <si>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</si>
  <si>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</si>
  <si>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</si>
  <si>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</si>
  <si>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</si>
  <si>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</si>
  <si>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</si>
  <si>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</si>
  <si>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</si>
  <si>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</si>
  <si>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</si>
  <si>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</si>
  <si>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</si>
  <si>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</si>
  <si>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</si>
  <si>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</si>
  <si>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</si>
  <si>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</si>
  <si>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</si>
  <si>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</si>
  <si>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</si>
  <si>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</si>
  <si>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</si>
  <si>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</si>
  <si>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</si>
  <si>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</si>
  <si>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</si>
  <si>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</si>
  <si>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</si>
  <si>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</si>
  <si>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</si>
  <si>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</si>
  <si>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</si>
  <si>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</si>
  <si>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</si>
  <si>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</si>
  <si>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</si>
  <si>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</si>
  <si>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</si>
  <si>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</si>
  <si>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</si>
  <si>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</si>
  <si>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</si>
  <si>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</si>
  <si>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</si>
  <si>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</si>
  <si>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</si>
  <si>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</si>
  <si>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</si>
  <si>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</si>
  <si>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</si>
  <si>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</si>
  <si>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</si>
  <si>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</si>
  <si>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</si>
  <si>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</si>
  <si>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</si>
  <si>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</si>
  <si>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</si>
  <si>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</si>
  <si>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</si>
  <si>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</si>
  <si>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</si>
  <si>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</si>
  <si>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</si>
  <si>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</si>
  <si>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</si>
  <si>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</si>
  <si>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</si>
  <si>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</si>
  <si>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</si>
  <si>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</si>
  <si>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</si>
  <si>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</si>
  <si>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</si>
  <si>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</si>
  <si>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</si>
  <si>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</si>
  <si>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</si>
  <si>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</si>
  <si>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</si>
  <si>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</si>
  <si>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</si>
  <si>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</si>
  <si>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</si>
  <si>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</si>
  <si>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</si>
  <si>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</si>
  <si>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</si>
  <si>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</si>
  <si>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</si>
  <si>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</si>
  <si>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</si>
  <si>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</si>
  <si>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</si>
  <si>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</si>
  <si>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</si>
  <si>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</si>
  <si>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</si>
  <si>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</si>
  <si>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</si>
  <si>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</si>
  <si>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</si>
  <si>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</si>
  <si>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</si>
  <si>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</si>
  <si>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</si>
  <si>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</si>
  <si>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</si>
  <si>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</si>
  <si>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</si>
  <si>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</si>
  <si>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</si>
  <si>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</si>
  <si>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</si>
  <si>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</si>
  <si>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</si>
  <si>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</si>
  <si>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</si>
  <si>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</si>
  <si>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</si>
  <si>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</si>
  <si>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</si>
  <si>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</si>
  <si>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</si>
  <si>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</si>
  <si>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</si>
  <si>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</si>
  <si>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</si>
  <si>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</si>
  <si>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</si>
  <si>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</si>
  <si>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</si>
  <si>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</si>
  <si>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</si>
  <si>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</si>
  <si>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</si>
  <si>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</si>
  <si>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</si>
  <si>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</si>
  <si>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</si>
  <si>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</si>
  <si>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</si>
  <si>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</si>
  <si>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</si>
  <si>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</si>
  <si>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</si>
  <si>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</si>
  <si>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</si>
  <si>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</si>
  <si>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</si>
  <si>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</si>
  <si>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</si>
  <si>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</si>
  <si>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</si>
  <si>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</si>
  <si>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</si>
  <si>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</si>
  <si>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</si>
  <si>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</si>
  <si>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</si>
  <si>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</si>
  <si>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</si>
  <si>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</si>
  <si>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</si>
  <si>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</si>
  <si>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</si>
  <si>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</si>
  <si>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</si>
  <si>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</si>
  <si>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</si>
  <si>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</si>
  <si>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</si>
  <si>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</si>
  <si>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</si>
  <si>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</si>
  <si>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</si>
  <si>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</si>
  <si>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</si>
  <si>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</si>
  <si>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</si>
  <si>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</si>
  <si>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</si>
  <si>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</si>
  <si>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</si>
  <si>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</si>
  <si>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</si>
  <si>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</si>
  <si>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</si>
  <si>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</si>
  <si>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</si>
  <si>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</si>
  <si>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</si>
  <si>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</si>
  <si>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</si>
  <si>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</si>
  <si>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</si>
  <si>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</si>
  <si>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</si>
  <si>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</si>
  <si>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</si>
  <si>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</si>
  <si>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</si>
  <si>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</si>
  <si>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</si>
  <si>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</si>
  <si>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</si>
  <si>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</si>
  <si>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</si>
  <si>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</si>
  <si>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</si>
  <si>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</si>
  <si>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</si>
  <si>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</si>
  <si>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</si>
  <si>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</si>
  <si>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</si>
  <si>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</si>
  <si>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</si>
  <si>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</si>
  <si>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</si>
  <si>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</si>
  <si>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</si>
  <si>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</si>
  <si>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</si>
  <si>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</si>
  <si>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</si>
  <si>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</si>
  <si>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</si>
  <si>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</si>
  <si>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</si>
  <si>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</si>
  <si>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</si>
  <si>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</si>
  <si>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</si>
  <si>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</si>
  <si>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</si>
  <si>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</si>
  <si>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</si>
  <si>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</si>
  <si>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</si>
  <si>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</si>
  <si>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</si>
  <si>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</si>
  <si>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</si>
  <si>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</si>
  <si>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</si>
  <si>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</si>
  <si>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</si>
  <si>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</si>
  <si>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</si>
  <si>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</si>
  <si>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</si>
  <si>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</si>
  <si>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</si>
  <si>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</si>
  <si>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</si>
  <si>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</si>
  <si>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</si>
  <si>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</si>
  <si>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</si>
  <si>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</si>
  <si>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</si>
  <si>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</si>
  <si>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</si>
  <si>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</si>
  <si>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</si>
  <si>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</si>
  <si>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</si>
  <si>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</si>
  <si>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</si>
  <si>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</si>
  <si>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</si>
  <si>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</si>
  <si>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</si>
  <si>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</si>
  <si>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</si>
  <si>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</si>
  <si>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</si>
  <si>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</si>
  <si>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</si>
  <si>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</si>
  <si>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</si>
  <si>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</si>
  <si>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</si>
  <si>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</si>
  <si>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</si>
  <si>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</si>
  <si>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</si>
  <si>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</si>
  <si>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</si>
  <si>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</si>
  <si>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</si>
  <si>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</si>
  <si>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</si>
  <si>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</si>
  <si>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</si>
  <si>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</si>
  <si>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</si>
  <si>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</si>
  <si>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</si>
  <si>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</si>
  <si>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</si>
  <si>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</si>
  <si>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</si>
  <si>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</si>
  <si>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</si>
  <si>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</si>
  <si>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</si>
  <si>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</si>
  <si>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</si>
  <si>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</si>
  <si>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</si>
  <si>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</si>
  <si>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</si>
  <si>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</si>
  <si>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</si>
  <si>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</si>
  <si>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</si>
  <si>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</si>
  <si>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</si>
  <si>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</si>
  <si>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</si>
  <si>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</si>
  <si>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</si>
  <si>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</si>
  <si>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</si>
  <si>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</si>
  <si>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</si>
  <si>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</si>
  <si>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</si>
  <si>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</si>
  <si>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</si>
  <si>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</si>
  <si>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</si>
  <si>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</si>
  <si>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</si>
  <si>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</si>
  <si>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</si>
  <si>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</si>
  <si>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</si>
  <si>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</si>
  <si>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</si>
  <si>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</si>
  <si>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</si>
  <si>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</si>
  <si>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</si>
  <si>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</si>
  <si>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</si>
  <si>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</si>
  <si>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</si>
  <si>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</si>
  <si>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</si>
  <si>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</si>
  <si>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</si>
  <si>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</si>
  <si>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</si>
  <si>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</si>
  <si>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</si>
  <si>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</si>
  <si>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</si>
  <si>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</si>
  <si>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</si>
  <si>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</si>
  <si>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</si>
  <si>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</si>
  <si>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</si>
  <si>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</si>
  <si>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</si>
  <si>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</si>
  <si>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</si>
  <si>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</si>
  <si>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</si>
  <si>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</si>
  <si>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</si>
  <si>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</si>
  <si>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</si>
  <si>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</si>
  <si>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</si>
  <si>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</si>
  <si>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</si>
  <si>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</si>
  <si>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</si>
  <si>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</si>
  <si>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</si>
  <si>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</si>
  <si>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</si>
  <si>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</si>
  <si>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</si>
  <si>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</si>
  <si>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</si>
  <si>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</si>
  <si>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</si>
  <si>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</si>
  <si>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</si>
  <si>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</si>
  <si>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</si>
  <si>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</si>
  <si>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</si>
  <si>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</si>
  <si>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</si>
  <si>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</si>
  <si>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</si>
  <si>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</si>
  <si>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</si>
  <si>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</si>
  <si>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</si>
  <si>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</si>
  <si>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</si>
  <si>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</si>
  <si>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</si>
  <si>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</si>
  <si>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</si>
  <si>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</si>
  <si>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</si>
  <si>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</si>
  <si>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</si>
  <si>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</si>
  <si>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</si>
  <si>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</si>
  <si>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</si>
  <si>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</si>
  <si>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</si>
  <si>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</si>
  <si>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</si>
  <si>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</si>
  <si>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</si>
  <si>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</si>
  <si>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</si>
  <si>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</si>
  <si>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</si>
  <si>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</si>
  <si>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</si>
  <si>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</si>
  <si>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</si>
  <si>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</si>
  <si>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</si>
  <si>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</si>
  <si>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</si>
  <si>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</si>
  <si>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</si>
  <si>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</si>
  <si>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</si>
  <si>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</si>
  <si>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</si>
  <si>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</si>
  <si>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</si>
  <si>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</si>
  <si>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</si>
  <si>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</si>
  <si>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</si>
  <si>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</si>
  <si>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</si>
  <si>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</si>
  <si>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</si>
  <si>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</si>
  <si>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</si>
  <si>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</si>
  <si>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</si>
  <si>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</si>
  <si>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</si>
  <si>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</si>
  <si>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</si>
  <si>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</si>
  <si>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</si>
  <si>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</si>
  <si>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</si>
  <si>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</si>
  <si>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</si>
  <si>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</si>
  <si>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</si>
  <si>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</si>
  <si>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</si>
  <si>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</si>
  <si>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</si>
  <si>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</si>
  <si>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</si>
  <si>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</si>
  <si>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</si>
  <si>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</si>
  <si>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</si>
  <si>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</si>
  <si>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</si>
  <si>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</si>
  <si>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</si>
  <si>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</si>
  <si>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</si>
  <si>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</si>
  <si>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</si>
  <si>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</si>
  <si>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</si>
  <si>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</si>
  <si>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</si>
  <si>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</si>
  <si>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</si>
  <si>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</si>
  <si>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</si>
  <si>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</si>
  <si>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</si>
  <si>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</si>
  <si>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</si>
  <si>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</si>
  <si>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</si>
  <si>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</si>
  <si>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</si>
  <si>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</si>
  <si>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</si>
  <si>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</si>
  <si>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</si>
  <si>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</si>
  <si>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</si>
  <si>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</si>
  <si>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</si>
  <si>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</si>
  <si>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</si>
  <si>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</si>
  <si>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</si>
  <si>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</si>
  <si>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</si>
  <si>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</si>
  <si>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</si>
  <si>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</si>
  <si>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</si>
  <si>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</si>
  <si>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</si>
  <si>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</si>
  <si>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</si>
  <si>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</si>
  <si>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</si>
  <si>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</si>
  <si>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</si>
  <si>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</si>
  <si>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</si>
  <si>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</si>
  <si>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</si>
  <si>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</si>
  <si>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</si>
  <si>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</si>
  <si>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</si>
  <si>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</si>
  <si>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</si>
  <si>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</si>
  <si>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</si>
  <si>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</si>
  <si>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</si>
  <si>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</si>
  <si>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</si>
  <si>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</si>
  <si>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</si>
  <si>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</si>
  <si>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</si>
  <si>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</si>
  <si>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</si>
  <si>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</si>
  <si>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</si>
  <si>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</si>
  <si>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</si>
  <si>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</si>
  <si>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</si>
  <si>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</si>
  <si>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</si>
  <si>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</si>
  <si>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</si>
  <si>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</si>
  <si>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</si>
  <si>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</si>
  <si>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</si>
  <si>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</si>
  <si>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</si>
  <si>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</si>
  <si>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</si>
  <si>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</si>
  <si>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</si>
  <si>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</si>
  <si>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</si>
  <si>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</si>
  <si>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</si>
  <si>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</si>
  <si>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</si>
  <si>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</si>
  <si>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</si>
  <si>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</si>
  <si>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</si>
  <si>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</si>
  <si>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</si>
  <si>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</si>
  <si>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</si>
  <si>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</si>
  <si>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</si>
  <si>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</si>
  <si>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</si>
  <si>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</si>
  <si>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</si>
  <si>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</si>
  <si>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</si>
  <si>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</si>
  <si>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</si>
  <si>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</si>
  <si>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</si>
  <si>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</si>
  <si>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</si>
  <si>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</si>
  <si>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</si>
  <si>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</si>
  <si>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</si>
  <si>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</si>
  <si>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</si>
  <si>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</si>
  <si>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</si>
  <si>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</si>
  <si>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</si>
  <si>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</si>
  <si>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</si>
  <si>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</si>
  <si>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</si>
  <si>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</si>
  <si>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</si>
  <si>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</si>
  <si>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</si>
  <si>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</si>
  <si>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</si>
  <si>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</si>
  <si>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</si>
  <si>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</si>
  <si>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</si>
  <si>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</si>
  <si>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</si>
  <si>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</si>
  <si>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</si>
  <si>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</si>
  <si>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</si>
  <si>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</si>
  <si>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</si>
  <si>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</si>
  <si>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</si>
  <si>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</si>
  <si>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</si>
  <si>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</si>
  <si>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</si>
  <si>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</si>
  <si>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</si>
  <si>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</si>
  <si>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</si>
  <si>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</si>
  <si>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</si>
  <si>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</si>
  <si>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</si>
  <si>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</si>
  <si>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</si>
  <si>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</si>
  <si>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</si>
  <si>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</si>
  <si>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</si>
  <si>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</si>
  <si>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</si>
  <si>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</si>
  <si>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</si>
  <si>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</si>
  <si>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</si>
  <si>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</si>
  <si>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</si>
  <si>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</si>
  <si>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</si>
  <si>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</si>
  <si>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</si>
  <si>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</si>
  <si>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</si>
  <si>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</si>
  <si>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</si>
  <si>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</si>
  <si>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</si>
  <si>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</si>
  <si>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</si>
  <si>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</si>
  <si>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</si>
  <si>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</si>
  <si>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</si>
  <si>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</si>
  <si>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</si>
  <si>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</si>
  <si>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</si>
  <si>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</si>
  <si>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</si>
  <si>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</si>
  <si>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</si>
  <si>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</si>
  <si>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</si>
  <si>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</si>
  <si>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</si>
  <si>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</si>
  <si>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</si>
  <si>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</si>
  <si>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</si>
  <si>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</si>
  <si>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</si>
  <si>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</si>
  <si>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</si>
  <si>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</si>
  <si>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</si>
  <si>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</si>
  <si>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</si>
  <si>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</si>
  <si>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</si>
  <si>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</si>
  <si>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</si>
  <si>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</si>
  <si>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</si>
  <si>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</si>
  <si>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</si>
  <si>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</si>
  <si>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</si>
  <si>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</si>
  <si>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</si>
  <si>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</si>
  <si>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</si>
  <si>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</si>
  <si>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</si>
  <si>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</si>
  <si>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</si>
  <si>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</si>
  <si>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</si>
  <si>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</si>
  <si>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</si>
  <si>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</si>
  <si>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</si>
  <si>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</si>
  <si>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</si>
  <si>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</si>
  <si>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</si>
  <si>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</si>
  <si>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</si>
  <si>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</si>
  <si>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</si>
  <si>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</si>
  <si>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</si>
  <si>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</si>
  <si>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</si>
  <si>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</si>
  <si>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</si>
  <si>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</si>
  <si>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</si>
  <si>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</si>
  <si>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</si>
  <si>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</si>
  <si>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</si>
  <si>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</si>
  <si>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</si>
  <si>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</si>
  <si>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</si>
  <si>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</si>
  <si>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</si>
  <si>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</si>
  <si>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</si>
  <si>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</si>
  <si>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</si>
  <si>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</si>
  <si>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</si>
  <si>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</si>
  <si>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</si>
  <si>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</si>
  <si>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</si>
  <si>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</si>
  <si>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</si>
  <si>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</si>
  <si>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</si>
  <si>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</si>
  <si>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</si>
  <si>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</si>
  <si>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</si>
  <si>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</si>
  <si>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</si>
  <si>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</si>
  <si>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</si>
  <si>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</si>
  <si>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</si>
  <si>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</si>
  <si>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</si>
  <si>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</si>
  <si>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</si>
  <si>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</si>
  <si>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</si>
  <si>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</si>
  <si>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</si>
  <si>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</si>
  <si>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</si>
  <si>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</si>
  <si>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</si>
  <si>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</si>
  <si>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</si>
  <si>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</si>
  <si>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</si>
  <si>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</si>
  <si>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</si>
  <si>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</si>
  <si>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</si>
  <si>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</si>
  <si>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</si>
  <si>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</si>
  <si>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</si>
  <si>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</si>
  <si>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</si>
  <si>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</si>
  <si>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</si>
  <si>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</si>
  <si>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</si>
  <si>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</si>
  <si>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</si>
  <si>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</si>
  <si>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</si>
  <si>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</si>
  <si>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</si>
  <si>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</si>
  <si>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</si>
  <si>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</si>
  <si>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</si>
  <si>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</si>
  <si>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</si>
  <si>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</si>
  <si>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</si>
  <si>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</si>
  <si>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</si>
  <si>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</si>
  <si>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</si>
  <si>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</si>
  <si>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</si>
  <si>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</si>
  <si>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</si>
  <si>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</si>
  <si>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</si>
  <si>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</si>
  <si>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</si>
  <si>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</si>
  <si>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</si>
  <si>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</si>
  <si>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</si>
  <si>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</si>
  <si>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</si>
  <si>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</si>
  <si>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</si>
  <si>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</si>
  <si>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</si>
  <si>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</si>
  <si>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</si>
  <si>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</si>
  <si>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</si>
  <si>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</si>
  <si>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</si>
  <si>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</si>
  <si>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</si>
  <si>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</si>
  <si>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</si>
  <si>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</si>
  <si>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</si>
  <si>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</si>
  <si>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</si>
  <si>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</si>
  <si>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</si>
  <si>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</si>
  <si>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</si>
  <si>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</si>
  <si>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</si>
  <si>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</si>
  <si>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</si>
  <si>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</si>
  <si>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</si>
  <si>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</si>
  <si>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</si>
  <si>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</si>
  <si>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</si>
  <si>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</si>
  <si>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</si>
  <si>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</si>
  <si>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</si>
  <si>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</si>
  <si>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</si>
  <si>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</si>
  <si>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</si>
  <si>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</si>
  <si>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</si>
  <si>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</si>
  <si>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</si>
  <si>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</si>
  <si>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</si>
  <si>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</si>
  <si>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</si>
  <si>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</si>
  <si>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</si>
  <si>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</si>
  <si>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</si>
  <si>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</si>
  <si>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</si>
  <si>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</si>
  <si>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</si>
  <si>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</si>
  <si>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</si>
  <si>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</si>
  <si>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</si>
  <si>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</si>
  <si>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</si>
  <si>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</si>
  <si>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</si>
  <si>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</si>
  <si>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</si>
  <si>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</si>
  <si>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</si>
  <si>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</si>
  <si>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</si>
  <si>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</si>
  <si>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</si>
  <si>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</si>
  <si>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</si>
  <si>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</si>
  <si>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</si>
  <si>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</si>
  <si>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</si>
  <si>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</si>
  <si>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</si>
  <si>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</si>
  <si>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</si>
  <si>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</si>
  <si>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</si>
  <si>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</si>
  <si>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</si>
  <si>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</si>
  <si>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</si>
  <si>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</si>
  <si>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</si>
  <si>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</si>
  <si>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</si>
  <si>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</si>
  <si>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</si>
  <si>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</si>
  <si>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</si>
  <si>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</si>
  <si>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</si>
  <si>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</si>
  <si>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</si>
  <si>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</si>
  <si>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</si>
  <si>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</si>
  <si>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</si>
  <si>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</si>
  <si>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</si>
  <si>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</si>
  <si>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</si>
  <si>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</si>
  <si>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</si>
  <si>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</si>
  <si>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</si>
  <si>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</si>
  <si>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</si>
  <si>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</si>
  <si>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</si>
  <si>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</si>
  <si>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</si>
  <si>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</si>
  <si>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</si>
  <si>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</si>
  <si>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</si>
  <si>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</si>
  <si>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</si>
  <si>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</si>
  <si>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</si>
  <si>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</si>
  <si>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</si>
  <si>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</si>
  <si>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</si>
  <si>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</si>
  <si>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</si>
  <si>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</si>
  <si>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</si>
  <si>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</si>
  <si>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</si>
  <si>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</si>
  <si>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</si>
  <si>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</si>
  <si>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</si>
  <si>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</si>
  <si>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</si>
  <si>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</si>
  <si>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</si>
  <si>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</si>
  <si>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</si>
  <si>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</si>
  <si>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</si>
  <si>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</si>
  <si>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</si>
  <si>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</si>
  <si>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</si>
  <si>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</si>
  <si>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</si>
  <si>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</si>
  <si>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</si>
  <si>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</si>
  <si>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</si>
  <si>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</si>
  <si>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</si>
  <si>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</si>
  <si>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</si>
  <si>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</si>
  <si>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</si>
  <si>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</si>
  <si>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</si>
  <si>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</si>
  <si>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</si>
  <si>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</si>
  <si>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</si>
  <si>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</si>
  <si>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</si>
  <si>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</si>
  <si>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</si>
  <si>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</si>
  <si>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</si>
  <si>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</si>
  <si>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</si>
  <si>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</si>
  <si>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</si>
  <si>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</si>
  <si>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</si>
  <si>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</si>
  <si>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</si>
  <si>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</si>
  <si>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</si>
  <si>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</si>
  <si>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</si>
  <si>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</si>
  <si>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</si>
  <si>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</si>
  <si>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</si>
  <si>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</si>
  <si>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</si>
  <si>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</si>
  <si>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</si>
  <si>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</si>
  <si>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</si>
  <si>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</si>
  <si>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</si>
  <si>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</si>
  <si>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</si>
  <si>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</si>
  <si>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</si>
  <si>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</si>
  <si>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</si>
  <si>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</si>
  <si>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</si>
  <si>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</si>
  <si>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</si>
  <si>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</si>
  <si>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</si>
  <si>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</si>
  <si>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</si>
  <si>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</si>
  <si>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</si>
  <si>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</si>
  <si>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</si>
  <si>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</si>
  <si>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</si>
  <si>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</si>
  <si>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</si>
  <si>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</si>
  <si>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</si>
  <si>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</si>
  <si>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</si>
  <si>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</si>
  <si>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</si>
  <si>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</si>
  <si>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</si>
  <si>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</si>
  <si>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</si>
  <si>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</si>
  <si>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</si>
  <si>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</si>
  <si>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</si>
  <si>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</si>
  <si>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</si>
  <si>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</si>
  <si>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</si>
  <si>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</si>
  <si>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</si>
  <si>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</si>
  <si>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</si>
  <si>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</si>
  <si>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</si>
  <si>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</si>
  <si>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</si>
  <si>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</si>
  <si>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</si>
  <si>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</si>
  <si>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</si>
  <si>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</si>
  <si>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</si>
  <si>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</si>
  <si>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</si>
  <si>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</si>
  <si>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</si>
  <si>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</si>
  <si>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</si>
  <si>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</si>
  <si>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</si>
  <si>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</si>
  <si>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</si>
  <si>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</si>
  <si>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</si>
  <si>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</si>
  <si>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</si>
  <si>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</si>
  <si>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</si>
  <si>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</si>
  <si>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</si>
  <si>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</si>
  <si>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</si>
  <si>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</si>
  <si>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</si>
  <si>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</si>
  <si>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</si>
  <si>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</si>
  <si>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</si>
  <si>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</si>
  <si>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</si>
  <si>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</si>
  <si>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</si>
  <si>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</si>
  <si>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</si>
  <si>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</si>
  <si>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</si>
  <si>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</si>
  <si>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</si>
  <si>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</si>
  <si>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</si>
  <si>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</si>
  <si>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</si>
  <si>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</si>
  <si>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</si>
  <si>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</si>
  <si>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</si>
  <si>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</si>
  <si>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</si>
  <si>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</si>
  <si>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</si>
  <si>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</si>
  <si>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</si>
  <si>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</si>
  <si>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</si>
  <si>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</si>
  <si>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</si>
  <si>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</si>
  <si>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</si>
  <si>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</si>
  <si>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</si>
  <si>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</si>
  <si>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</si>
  <si>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</si>
  <si>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</si>
  <si>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</si>
  <si>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</si>
  <si>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</si>
  <si>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</si>
  <si>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</si>
  <si>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</si>
  <si>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</si>
  <si>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</si>
  <si>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</si>
  <si>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</si>
  <si>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</si>
  <si>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</si>
  <si>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</si>
  <si>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</si>
  <si>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</si>
  <si>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</si>
  <si>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</si>
  <si>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</si>
  <si>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</si>
  <si>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</si>
  <si>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</si>
  <si>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</si>
  <si>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</si>
  <si>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</si>
  <si>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</si>
  <si>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</si>
  <si>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</si>
  <si>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</si>
  <si>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</si>
  <si>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</si>
  <si>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</si>
  <si>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</si>
  <si>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</si>
  <si>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</si>
  <si>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</si>
  <si>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</si>
  <si>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</si>
  <si>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</si>
  <si>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</si>
  <si>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</si>
  <si>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</si>
  <si>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</si>
  <si>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</si>
  <si>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</si>
  <si>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</si>
  <si>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</si>
  <si>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</si>
  <si>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</si>
  <si>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</si>
  <si>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</si>
  <si>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</si>
  <si>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</si>
  <si>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</si>
  <si>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</si>
  <si>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</si>
  <si>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</si>
  <si>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</si>
  <si>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</si>
  <si>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</si>
  <si>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</si>
  <si>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</si>
  <si>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</si>
  <si>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</si>
  <si>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</si>
  <si>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</si>
  <si>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</si>
  <si>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</si>
  <si>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</si>
  <si>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</si>
  <si>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</si>
  <si>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</si>
  <si>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</si>
  <si>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</si>
  <si>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</si>
  <si>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</si>
  <si>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</si>
  <si>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</si>
  <si>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</si>
  <si>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</si>
  <si>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</si>
  <si>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</si>
  <si>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</si>
  <si>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</si>
  <si>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</si>
  <si>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</si>
  <si>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</si>
  <si>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</si>
  <si>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</si>
  <si>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</si>
  <si>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</si>
  <si>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</si>
  <si>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</si>
  <si>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</si>
  <si>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</si>
  <si>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</si>
  <si>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</si>
  <si>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</si>
  <si>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</si>
  <si>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</si>
  <si>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</si>
  <si>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</si>
  <si>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</si>
  <si>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</si>
  <si>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</si>
  <si>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</si>
  <si>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</si>
  <si>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</si>
  <si>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</si>
  <si>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</si>
  <si>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</si>
  <si>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</si>
  <si>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</si>
  <si>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</si>
  <si>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</si>
  <si>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</si>
  <si>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</si>
  <si>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</si>
  <si>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</si>
  <si>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</si>
  <si>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</si>
  <si>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</si>
  <si>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</si>
  <si>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</si>
  <si>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</si>
  <si>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</si>
  <si>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</si>
  <si>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</si>
  <si>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</si>
  <si>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</si>
  <si>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</si>
  <si>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</si>
  <si>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</si>
  <si>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</si>
  <si>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</si>
  <si>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</si>
  <si>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</si>
  <si>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</si>
  <si>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</si>
  <si>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</si>
  <si>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</si>
  <si>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</si>
  <si>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</si>
  <si>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</si>
  <si>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</si>
  <si>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</si>
  <si>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</si>
  <si>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</si>
  <si>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</si>
  <si>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</si>
  <si>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</si>
  <si>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</si>
  <si>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</si>
  <si>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</si>
  <si>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</si>
  <si>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</si>
  <si>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</si>
  <si>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</si>
  <si>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</si>
  <si>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</si>
  <si>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</si>
  <si>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</si>
  <si>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</si>
  <si>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</si>
  <si>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</si>
  <si>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</si>
  <si>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</si>
  <si>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</si>
  <si>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</si>
  <si>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</si>
  <si>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</si>
  <si>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</si>
  <si>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</si>
  <si>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</si>
  <si>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</si>
  <si>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</si>
  <si>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</si>
  <si>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</si>
  <si>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</si>
  <si>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</si>
  <si>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</si>
  <si>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</si>
  <si>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</si>
  <si>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</si>
  <si>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</si>
  <si>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</si>
  <si>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</si>
  <si>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</si>
  <si>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</si>
  <si>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</si>
  <si>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</si>
  <si>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</si>
  <si>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</si>
  <si>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</si>
  <si>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</si>
  <si>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</si>
  <si>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</si>
  <si>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</si>
  <si>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</si>
  <si>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</si>
  <si>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</si>
  <si>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</si>
  <si>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</si>
  <si>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</si>
  <si>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</si>
  <si>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</si>
  <si>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</si>
  <si>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</si>
  <si>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</si>
  <si>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</si>
  <si>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</si>
  <si>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</si>
  <si>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</si>
  <si>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</si>
  <si>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</si>
  <si>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</si>
  <si>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</si>
  <si>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</si>
  <si>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</si>
  <si>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</si>
  <si>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</si>
  <si>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</si>
  <si>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</si>
  <si>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</si>
  <si>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</si>
  <si>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</si>
  <si>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</si>
  <si>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</si>
  <si>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</si>
  <si>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</si>
  <si>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</si>
  <si>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</si>
  <si>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</si>
  <si>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</si>
  <si>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</si>
  <si>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</si>
  <si>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</si>
  <si>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</si>
  <si>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</si>
  <si>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</si>
  <si>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</si>
  <si>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</si>
  <si>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</si>
  <si>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</si>
  <si>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</si>
  <si>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</si>
  <si>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</si>
  <si>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</si>
  <si>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</si>
  <si>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</si>
  <si>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</si>
  <si>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</si>
  <si>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</si>
  <si>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</si>
  <si>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</si>
  <si>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</si>
  <si>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</si>
  <si>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</si>
  <si>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</si>
  <si>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</si>
  <si>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</si>
  <si>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</si>
  <si>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</si>
  <si>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</si>
  <si>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</si>
  <si>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</si>
  <si>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</si>
  <si>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</si>
  <si>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</si>
  <si>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</si>
  <si>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</si>
  <si>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</si>
  <si>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</si>
  <si>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</si>
  <si>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</si>
  <si>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</si>
  <si>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</si>
  <si>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</si>
  <si>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</si>
  <si>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</si>
  <si>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</si>
  <si>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</si>
  <si>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</si>
  <si>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</si>
  <si>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</si>
  <si>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</si>
  <si>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</si>
  <si>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</si>
  <si>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</si>
  <si>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</si>
  <si>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</si>
  <si>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</si>
  <si>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</si>
  <si>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</si>
  <si>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</si>
  <si>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</si>
  <si>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</si>
  <si>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</si>
  <si>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</si>
  <si>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</si>
  <si>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</si>
  <si>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</si>
  <si>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</si>
  <si>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</si>
  <si>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</si>
  <si>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</si>
  <si>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</si>
  <si>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</si>
  <si>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</si>
  <si>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</si>
  <si>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</si>
  <si>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</si>
  <si>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</si>
  <si>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</si>
  <si>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</si>
  <si>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</si>
  <si>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</si>
  <si>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</si>
  <si>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</si>
  <si>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</si>
  <si>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</si>
  <si>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</si>
  <si>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</si>
  <si>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</si>
  <si>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</si>
  <si>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</si>
  <si>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</si>
  <si>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</si>
  <si>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</si>
  <si>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</si>
  <si>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</si>
  <si>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</si>
  <si>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</si>
  <si>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</si>
  <si>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</si>
  <si>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</si>
  <si>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</si>
  <si>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</si>
  <si>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</si>
  <si>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</si>
  <si>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</si>
  <si>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</si>
  <si>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</si>
  <si>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</si>
  <si>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</si>
  <si>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</si>
  <si>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</si>
  <si>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</si>
  <si>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</si>
  <si>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</si>
  <si>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</si>
  <si>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</si>
  <si>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</si>
  <si>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</si>
  <si>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</si>
  <si>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</si>
  <si>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</si>
  <si>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</si>
  <si>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</si>
  <si>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</si>
  <si>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</si>
  <si>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</si>
  <si>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</si>
  <si>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</si>
  <si>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</si>
  <si>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</si>
  <si>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</si>
  <si>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</si>
  <si>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</si>
  <si>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</si>
  <si>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</si>
  <si>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</si>
  <si>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</si>
  <si>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</si>
  <si>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</si>
  <si>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</si>
  <si>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</si>
  <si>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</si>
  <si>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</si>
  <si>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</si>
  <si>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</si>
  <si>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</si>
  <si>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</si>
  <si>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</si>
  <si>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</si>
  <si>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</si>
  <si>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</si>
  <si>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</si>
  <si>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</si>
  <si>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</si>
  <si>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</si>
  <si>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</si>
  <si>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</si>
  <si>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</si>
  <si>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</si>
  <si>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</si>
  <si>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</si>
  <si>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</si>
  <si>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</si>
  <si>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</si>
  <si>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</si>
  <si>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</si>
  <si>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</si>
  <si>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</si>
  <si>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</si>
  <si>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</si>
  <si>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</si>
  <si>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</si>
  <si>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</si>
  <si>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</si>
  <si>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</si>
  <si>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</si>
  <si>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</si>
  <si>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</si>
  <si>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</si>
  <si>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</si>
  <si>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</si>
  <si>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</si>
  <si>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</si>
  <si>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</si>
  <si>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</si>
  <si>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</si>
  <si>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</si>
  <si>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</si>
  <si>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</si>
  <si>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</si>
  <si>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</si>
  <si>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</si>
  <si>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</si>
  <si>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</si>
  <si>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</si>
  <si>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</si>
  <si>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</si>
  <si>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</si>
  <si>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</si>
  <si>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</si>
  <si>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</si>
  <si>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</si>
  <si>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</si>
  <si>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</si>
  <si>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</si>
  <si>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</si>
  <si>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</si>
  <si>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</si>
  <si>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</si>
  <si>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</si>
  <si>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</si>
  <si>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</si>
  <si>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</si>
  <si>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</si>
  <si>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</si>
  <si>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</si>
  <si>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</si>
  <si>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</si>
  <si>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</si>
  <si>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</si>
  <si>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</si>
  <si>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</si>
  <si>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</si>
  <si>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</si>
  <si>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</si>
  <si>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</si>
  <si>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</si>
  <si>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</si>
  <si>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</si>
  <si>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</si>
  <si>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</si>
  <si>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</si>
  <si>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</si>
  <si>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</si>
  <si>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</si>
  <si>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</si>
  <si>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</si>
  <si>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</si>
  <si>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</si>
  <si>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</si>
  <si>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</si>
  <si>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</si>
  <si>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</si>
  <si>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</si>
  <si>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</si>
  <si>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</si>
  <si>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</si>
  <si>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</si>
  <si>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</si>
  <si>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</si>
  <si>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</si>
  <si>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</si>
  <si>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</si>
  <si>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</si>
  <si>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</si>
  <si>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</si>
  <si>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</si>
  <si>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</si>
  <si>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</si>
  <si>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</si>
  <si>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</si>
  <si>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</si>
  <si>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</si>
  <si>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</si>
  <si>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</si>
  <si>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</si>
  <si>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</si>
  <si>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</si>
  <si>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</si>
  <si>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</si>
  <si>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</si>
  <si>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</si>
  <si>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</si>
  <si>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</si>
  <si>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</si>
  <si>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</si>
  <si>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</si>
  <si>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</si>
  <si>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</si>
  <si>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</si>
  <si>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</si>
  <si>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</si>
  <si>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</si>
  <si>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</si>
  <si>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</si>
  <si>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</si>
  <si>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</si>
  <si>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</si>
  <si>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</si>
  <si>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</si>
  <si>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</si>
  <si>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</si>
  <si>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</si>
  <si>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</si>
  <si>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</si>
  <si>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</si>
  <si>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</si>
  <si>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</si>
  <si>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</si>
  <si>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</si>
  <si>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</si>
  <si>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</si>
  <si>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</si>
  <si>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</si>
  <si>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</si>
  <si>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</si>
  <si>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</si>
  <si>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</si>
  <si>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</si>
  <si>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</si>
  <si>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</si>
  <si>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</si>
  <si>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</si>
  <si>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</si>
  <si>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</si>
  <si>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</si>
  <si>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</si>
  <si>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</si>
  <si>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</si>
  <si>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</si>
  <si>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</si>
  <si>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</si>
  <si>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</si>
  <si>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</si>
  <si>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</si>
  <si>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</si>
  <si>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</si>
  <si>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</si>
  <si>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</si>
  <si>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</si>
  <si>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</si>
  <si>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</si>
  <si>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</si>
  <si>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</si>
  <si>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</si>
  <si>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</si>
  <si>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</si>
  <si>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</si>
  <si>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</si>
  <si>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</si>
  <si>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</si>
  <si>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</si>
  <si>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</si>
  <si>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</si>
  <si>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</si>
  <si>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</si>
  <si>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</si>
  <si>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</si>
  <si>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</si>
  <si>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</si>
  <si>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</si>
  <si>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</si>
  <si>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</si>
  <si>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</si>
  <si>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</si>
  <si>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</si>
  <si>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</si>
  <si>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</si>
  <si>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</si>
  <si>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</si>
  <si>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</si>
  <si>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</si>
  <si>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</si>
  <si>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</si>
  <si>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</si>
  <si>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</si>
  <si>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</si>
  <si>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</si>
  <si>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</si>
  <si>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</si>
  <si>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</si>
  <si>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</si>
  <si>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</si>
  <si>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</si>
  <si>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</si>
  <si>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</si>
  <si>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</si>
  <si>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</si>
  <si>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</si>
  <si>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</si>
  <si>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</si>
  <si>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</si>
  <si>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</si>
  <si>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</si>
  <si>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</si>
  <si>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</si>
  <si>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</si>
  <si>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</si>
  <si>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</si>
  <si>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</si>
  <si>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</si>
  <si>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</si>
  <si>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</si>
  <si>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</si>
  <si>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</si>
  <si>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</si>
  <si>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</si>
  <si>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</si>
  <si>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</si>
  <si>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</si>
  <si>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</si>
  <si>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</si>
  <si>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</si>
  <si>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</si>
  <si>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</si>
  <si>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</si>
  <si>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</si>
  <si>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</si>
  <si>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</si>
  <si>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</si>
  <si>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</si>
  <si>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</si>
  <si>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</si>
  <si>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</si>
  <si>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</si>
  <si>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</si>
  <si>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</si>
  <si>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</si>
  <si>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</si>
  <si>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</si>
  <si>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</si>
  <si>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</si>
  <si>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</si>
  <si>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</si>
  <si>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</si>
  <si>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</si>
  <si>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</si>
  <si>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</si>
  <si>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</si>
  <si>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</si>
  <si>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</si>
  <si>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</si>
  <si>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</si>
  <si>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</si>
  <si>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</si>
  <si>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</si>
  <si>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</si>
  <si>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</si>
  <si>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</si>
  <si>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</si>
  <si>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</si>
  <si>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</si>
  <si>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</si>
  <si>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</si>
  <si>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</si>
  <si>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</si>
  <si>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</si>
  <si>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</si>
  <si>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</si>
  <si>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</si>
  <si>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</si>
  <si>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</si>
  <si>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</si>
  <si>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</si>
  <si>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</si>
  <si>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</si>
  <si>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</si>
  <si>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</si>
  <si>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</si>
  <si>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</si>
  <si>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</si>
  <si>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</si>
  <si>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</si>
  <si>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</si>
  <si>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</si>
  <si>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</si>
  <si>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</si>
  <si>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</si>
  <si>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</si>
  <si>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</si>
  <si>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</si>
  <si>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</si>
  <si>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</si>
  <si>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</si>
  <si>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</si>
  <si>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</si>
  <si>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</si>
  <si>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</si>
  <si>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</si>
  <si>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</si>
  <si>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</si>
  <si>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</si>
  <si>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</si>
  <si>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</si>
  <si>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</si>
  <si>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</si>
  <si>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</si>
  <si>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</si>
  <si>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</si>
  <si>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</si>
  <si>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</si>
  <si>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</si>
  <si>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</si>
  <si>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</si>
  <si>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</si>
  <si>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</si>
  <si>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</si>
  <si>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</si>
  <si>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</si>
  <si>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</si>
  <si>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</si>
  <si>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</si>
  <si>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</si>
  <si>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</si>
  <si>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</si>
  <si>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</si>
  <si>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</si>
  <si>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</si>
  <si>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</si>
  <si>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</si>
  <si>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</si>
  <si>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</si>
  <si>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</si>
  <si>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</si>
  <si>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</si>
  <si>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</si>
  <si>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</si>
  <si>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</si>
  <si>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</si>
  <si>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</si>
  <si>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</si>
  <si>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</si>
  <si>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</si>
  <si>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</si>
  <si>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</si>
  <si>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</si>
  <si>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</si>
  <si>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</si>
  <si>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</si>
  <si>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</si>
  <si>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</si>
  <si>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</si>
  <si>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</si>
  <si>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</si>
  <si>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</si>
  <si>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</si>
  <si>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</si>
  <si>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</si>
  <si>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</si>
  <si>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</si>
  <si>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</si>
  <si>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</si>
  <si>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</si>
  <si>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</si>
  <si>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</si>
  <si>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</si>
  <si>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</si>
  <si>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</si>
  <si>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</si>
  <si>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</si>
  <si>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</si>
  <si>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</si>
  <si>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</si>
  <si>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</si>
  <si>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</si>
  <si>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</si>
  <si>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</si>
  <si>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</si>
  <si>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</si>
  <si>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</si>
  <si>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</si>
  <si>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</si>
  <si>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</si>
  <si>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</si>
  <si>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</si>
  <si>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</si>
  <si>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</si>
  <si>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</si>
  <si>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</si>
  <si>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</si>
  <si>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</si>
  <si>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</si>
  <si>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</si>
  <si>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</si>
  <si>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</si>
  <si>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</si>
  <si>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</si>
  <si>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</si>
  <si>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</si>
  <si>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</si>
  <si>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</si>
  <si>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</si>
  <si>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</si>
  <si>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</si>
  <si>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</si>
  <si>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</si>
  <si>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</si>
  <si>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</si>
  <si>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</si>
  <si>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</si>
  <si>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</si>
  <si>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</si>
  <si>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</si>
  <si>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</si>
  <si>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</si>
  <si>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</si>
  <si>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</si>
  <si>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</si>
  <si>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</si>
  <si>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</si>
  <si>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</si>
  <si>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</si>
  <si>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</si>
  <si>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</si>
  <si>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</si>
  <si>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</si>
  <si>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</si>
  <si>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</si>
  <si>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</si>
  <si>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</si>
  <si>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</si>
  <si>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</si>
  <si>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</si>
  <si>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</si>
  <si>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</si>
  <si>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</si>
  <si>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</si>
  <si>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</si>
  <si>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</si>
  <si>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</si>
  <si>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</si>
  <si>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</si>
  <si>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</si>
  <si>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</si>
  <si>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</si>
  <si>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</si>
  <si>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</si>
  <si>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</si>
  <si>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</si>
  <si>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</si>
  <si>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</si>
  <si>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</si>
  <si>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</si>
  <si>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</si>
  <si>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</si>
  <si>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</si>
  <si>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</si>
  <si>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</si>
  <si>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</si>
  <si>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</si>
  <si>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</si>
  <si>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</si>
  <si>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</si>
  <si>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</si>
  <si>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</si>
  <si>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</si>
  <si>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</si>
  <si>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</si>
  <si>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</si>
  <si>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</si>
  <si>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</si>
  <si>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</si>
  <si>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</si>
  <si>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</si>
  <si>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</si>
  <si>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</si>
  <si>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</si>
  <si>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</si>
  <si>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</si>
  <si>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</si>
  <si>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</si>
  <si>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</si>
  <si>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</si>
  <si>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</si>
  <si>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</si>
  <si>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</si>
  <si>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</si>
  <si>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</si>
  <si>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</si>
  <si>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</si>
  <si>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</si>
  <si>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</si>
  <si>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</si>
  <si>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</si>
  <si>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</si>
  <si>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</si>
  <si>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</si>
  <si>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</si>
  <si>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</si>
  <si>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</si>
  <si>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</si>
  <si>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</si>
  <si>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</si>
  <si>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</si>
  <si>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</si>
  <si>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</si>
  <si>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</si>
  <si>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</si>
  <si>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</si>
  <si>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</si>
  <si>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</si>
  <si>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</si>
  <si>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</si>
  <si>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</si>
  <si>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</si>
  <si>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</si>
  <si>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</si>
  <si>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</si>
  <si>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</si>
  <si>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</si>
  <si>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</si>
  <si>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</si>
  <si>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</si>
  <si>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</si>
  <si>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</si>
  <si>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</si>
  <si>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</si>
  <si>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</si>
  <si>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</si>
  <si>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</si>
  <si>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</si>
  <si>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</si>
  <si>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</si>
  <si>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</si>
  <si>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</si>
  <si>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</si>
  <si>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</si>
  <si>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</si>
  <si>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</si>
  <si>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</si>
  <si>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</si>
  <si>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</si>
  <si>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</si>
  <si>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</si>
  <si>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</si>
  <si>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</si>
  <si>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</si>
  <si>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</si>
  <si>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</si>
  <si>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</si>
  <si>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</si>
  <si>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</si>
  <si>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</si>
  <si>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</si>
  <si>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</si>
  <si>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</si>
  <si>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</si>
  <si>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</si>
  <si>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</si>
  <si>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</si>
  <si>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</si>
  <si>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</si>
  <si>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</si>
  <si>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</si>
  <si>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</si>
  <si>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</si>
  <si>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</si>
  <si>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</si>
  <si>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</si>
  <si>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</si>
  <si>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</si>
  <si>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</si>
  <si>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</si>
  <si>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</si>
  <si>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</si>
  <si>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</si>
  <si>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</si>
  <si>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</si>
  <si>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</si>
  <si>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</si>
  <si>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</si>
  <si>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</si>
  <si>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</si>
  <si>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</si>
  <si>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</si>
  <si>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</si>
  <si>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</si>
  <si>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</si>
  <si>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</si>
  <si>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</si>
  <si>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</si>
  <si>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</si>
  <si>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</si>
  <si>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</si>
  <si>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</si>
  <si>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</si>
  <si>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</si>
  <si>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</si>
  <si>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</si>
  <si>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</si>
  <si>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</si>
  <si>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</si>
  <si>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</si>
  <si>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</si>
  <si>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</si>
  <si>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</si>
  <si>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</si>
  <si>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</si>
  <si>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</si>
  <si>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</si>
  <si>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</si>
  <si>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</si>
  <si>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</si>
  <si>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</si>
  <si>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</si>
  <si>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</si>
  <si>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</si>
  <si>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</si>
  <si>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</si>
  <si>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</si>
  <si>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</si>
  <si>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</si>
  <si>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</si>
  <si>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</si>
  <si>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</si>
  <si>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</si>
  <si>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</si>
  <si>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</si>
  <si>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</si>
  <si>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</si>
  <si>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</si>
  <si>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</si>
  <si>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</si>
  <si>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</si>
  <si>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</si>
  <si>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</si>
  <si>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</si>
  <si>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</si>
  <si>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</si>
  <si>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</si>
  <si>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</si>
  <si>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</si>
  <si>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</si>
  <si>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</si>
  <si>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</si>
  <si>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</si>
  <si>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</si>
  <si>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</si>
  <si>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</si>
  <si>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</si>
  <si>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</si>
  <si>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</si>
  <si>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</si>
  <si>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</si>
  <si>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</si>
  <si>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</si>
  <si>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</si>
  <si>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</si>
  <si>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</si>
  <si>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</si>
  <si>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</si>
  <si>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</si>
  <si>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</si>
  <si>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</si>
  <si>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</si>
  <si>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</si>
  <si>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</si>
  <si>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</si>
  <si>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</si>
  <si>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</si>
  <si>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</si>
  <si>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</si>
  <si>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</si>
  <si>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</si>
  <si>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</si>
  <si>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</si>
  <si>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</si>
  <si>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</si>
  <si>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</si>
  <si>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</si>
  <si>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</si>
  <si>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</si>
  <si>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</si>
  <si>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</si>
  <si>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</si>
  <si>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</si>
  <si>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</si>
  <si>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</si>
  <si>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</si>
  <si>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</si>
  <si>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</si>
  <si>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</si>
  <si>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</si>
  <si>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</si>
  <si>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</si>
  <si>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</si>
  <si>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</si>
  <si>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</si>
  <si>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</si>
  <si>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</si>
  <si>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</si>
  <si>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</si>
  <si>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</si>
  <si>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</si>
  <si>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</si>
  <si>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</si>
  <si>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</si>
  <si>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</si>
  <si>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</si>
  <si>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</si>
  <si>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</si>
  <si>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</si>
  <si>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</si>
  <si>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</si>
  <si>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</si>
  <si>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</si>
  <si>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</si>
  <si>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</si>
  <si>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</si>
  <si>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</si>
  <si>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</si>
  <si>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</si>
  <si>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</si>
  <si>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</si>
  <si>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</si>
  <si>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</si>
  <si>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</si>
  <si>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</si>
  <si>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</si>
  <si>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</si>
  <si>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</si>
  <si>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</si>
  <si>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</si>
  <si>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</si>
  <si>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</si>
  <si>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</si>
  <si>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</si>
  <si>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</si>
  <si>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</si>
  <si>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</si>
  <si>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</si>
  <si>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</si>
  <si>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</si>
  <si>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</si>
  <si>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</si>
  <si>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</si>
  <si>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</si>
  <si>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</si>
  <si>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</si>
  <si>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</si>
  <si>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</si>
  <si>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</si>
  <si>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</si>
  <si>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</si>
  <si>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</si>
  <si>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</si>
  <si>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</si>
  <si>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</si>
  <si>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</si>
  <si>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</si>
  <si>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</si>
  <si>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</si>
  <si>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</si>
  <si>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</si>
  <si>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</si>
  <si>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</si>
  <si>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</si>
  <si>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</si>
  <si>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</si>
  <si>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</si>
  <si>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</si>
  <si>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</si>
  <si>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</si>
  <si>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</si>
  <si>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</si>
  <si>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</si>
  <si>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</si>
  <si>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</si>
  <si>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</si>
  <si>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</si>
  <si>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</si>
  <si>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</si>
  <si>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</si>
  <si>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</si>
  <si>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</si>
  <si>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</si>
  <si>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</si>
  <si>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</si>
  <si>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</si>
  <si>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</si>
  <si>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</si>
  <si>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</si>
  <si>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</si>
  <si>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</si>
  <si>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</si>
  <si>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</si>
  <si>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</si>
  <si>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</si>
  <si>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</si>
  <si>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</si>
  <si>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</si>
  <si>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</si>
  <si>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</si>
  <si>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</si>
  <si>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</si>
  <si>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</si>
  <si>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</si>
  <si>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</si>
  <si>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</si>
  <si>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</si>
  <si>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</si>
  <si>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</si>
  <si>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</si>
  <si>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</si>
  <si>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</si>
  <si>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</si>
  <si>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</si>
  <si>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</si>
  <si>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</si>
  <si>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</si>
  <si>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</si>
  <si>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</si>
  <si>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</si>
  <si>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</si>
  <si>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</si>
  <si>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</si>
  <si>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</si>
  <si>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</si>
  <si>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</si>
  <si>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</si>
  <si>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</si>
  <si>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</si>
  <si>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</si>
  <si>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</si>
  <si>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</si>
  <si>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</si>
  <si>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</si>
  <si>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</si>
  <si>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</si>
  <si>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</si>
  <si>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</si>
  <si>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</si>
  <si>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</si>
  <si>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</si>
  <si>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</si>
  <si>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</si>
  <si>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</si>
  <si>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</si>
  <si>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</si>
  <si>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</si>
  <si>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</si>
  <si>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</si>
  <si>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</si>
  <si>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</si>
  <si>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</si>
  <si>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</si>
  <si>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</si>
  <si>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</si>
  <si>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</si>
  <si>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</si>
  <si>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</si>
  <si>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</si>
  <si>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</si>
  <si>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</si>
  <si>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</si>
  <si>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</si>
  <si>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</si>
  <si>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</si>
  <si>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</si>
  <si>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</si>
  <si>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</si>
  <si>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</si>
  <si>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</si>
  <si>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</si>
  <si>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</si>
  <si>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</si>
  <si>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</si>
  <si>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</si>
  <si>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</si>
  <si>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</si>
  <si>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</si>
  <si>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</si>
  <si>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</si>
  <si>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</si>
  <si>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</si>
  <si>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</si>
  <si>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</si>
  <si>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</si>
  <si>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</si>
  <si>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</si>
  <si>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</si>
  <si>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</si>
  <si>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</si>
  <si>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</si>
  <si>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</si>
  <si>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</si>
  <si>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</si>
  <si>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</si>
  <si>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</si>
  <si>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</si>
  <si>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</si>
  <si>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</si>
  <si>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</si>
  <si>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</si>
  <si>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</si>
  <si>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</si>
  <si>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</si>
  <si>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</si>
  <si>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</si>
  <si>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</si>
  <si>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</si>
  <si>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</si>
  <si>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</si>
  <si>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</si>
  <si>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</si>
  <si>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</si>
  <si>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</si>
  <si>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</si>
  <si>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</si>
  <si>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</si>
  <si>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</si>
  <si>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</si>
  <si>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</si>
  <si>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</si>
  <si>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</si>
  <si>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</si>
  <si>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</si>
  <si>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</si>
  <si>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</si>
  <si>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</si>
  <si>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</si>
  <si>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</si>
  <si>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</si>
  <si>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</si>
  <si>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</si>
  <si>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</si>
  <si>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</si>
  <si>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</si>
  <si>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</si>
  <si>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</si>
  <si>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</si>
  <si>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</si>
  <si>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</si>
  <si>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</si>
  <si>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</si>
  <si>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</si>
  <si>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</si>
  <si>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</si>
  <si>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</si>
  <si>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</si>
  <si>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</si>
  <si>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</si>
  <si>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</si>
  <si>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</si>
  <si>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</si>
  <si>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</si>
  <si>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</si>
  <si>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</si>
  <si>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</si>
  <si>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</si>
  <si>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</si>
  <si>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</si>
  <si>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</si>
  <si>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</si>
  <si>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</si>
  <si>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</si>
  <si>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</si>
  <si>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</si>
  <si>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</si>
  <si>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</si>
  <si>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</si>
  <si>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</si>
  <si>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</si>
  <si>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</si>
  <si>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</si>
  <si>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</si>
  <si>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</si>
  <si>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</si>
  <si>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</si>
  <si>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</si>
  <si>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</si>
  <si>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</si>
  <si>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</si>
  <si>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</si>
  <si>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</si>
  <si>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</si>
  <si>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</si>
  <si>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</si>
  <si>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</si>
  <si>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</si>
  <si>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</si>
  <si>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</si>
  <si>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</si>
  <si>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</si>
  <si>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</si>
  <si>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</si>
  <si>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</si>
  <si>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</si>
  <si>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</si>
  <si>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</si>
  <si>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</si>
  <si>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</si>
  <si>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</si>
  <si>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</si>
  <si>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</si>
  <si>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</si>
  <si>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</si>
  <si>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</si>
  <si>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</si>
  <si>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</si>
  <si>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</si>
  <si>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</si>
  <si>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</si>
  <si>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</si>
  <si>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</si>
  <si>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</si>
  <si>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</si>
  <si>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</si>
  <si>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</si>
  <si>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</si>
  <si>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</si>
  <si>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</si>
  <si>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</si>
  <si>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</si>
  <si>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</si>
  <si>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</si>
  <si>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</si>
  <si>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</si>
  <si>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</si>
  <si>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</si>
  <si>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</si>
  <si>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</si>
  <si>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</si>
  <si>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</si>
  <si>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</si>
  <si>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</si>
  <si>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</si>
  <si>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</si>
  <si>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</si>
  <si>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</si>
  <si>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</si>
  <si>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</si>
  <si>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</si>
  <si>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</si>
  <si>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</si>
  <si>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</si>
  <si>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</si>
  <si>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</si>
  <si>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</si>
  <si>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</si>
  <si>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</si>
  <si>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</si>
  <si>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</si>
  <si>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</si>
  <si>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</si>
  <si>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</si>
  <si>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</si>
  <si>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</si>
  <si>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</si>
  <si>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</si>
  <si>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</si>
  <si>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</si>
  <si>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</si>
  <si>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</si>
  <si>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</si>
  <si>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</si>
  <si>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</si>
  <si>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</si>
  <si>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</si>
  <si>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</si>
  <si>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</si>
  <si>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</si>
  <si>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</si>
  <si>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</si>
  <si>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</si>
  <si>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</si>
  <si>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</si>
  <si>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</si>
  <si>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</si>
  <si>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</si>
  <si>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</si>
  <si>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</si>
  <si>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</si>
  <si>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</si>
  <si>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</si>
  <si>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</si>
  <si>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</si>
  <si>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</si>
  <si>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</si>
  <si>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</si>
  <si>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</si>
  <si>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</si>
  <si>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</si>
  <si>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</si>
  <si>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</si>
  <si>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</si>
  <si>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</si>
  <si>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</si>
  <si>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</si>
  <si>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</si>
  <si>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</si>
  <si>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</si>
  <si>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</si>
  <si>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</si>
  <si>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</si>
  <si>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</si>
  <si>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</si>
  <si>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</si>
  <si>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</si>
  <si>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</si>
  <si>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</si>
  <si>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</si>
  <si>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</si>
  <si>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</si>
  <si>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</si>
  <si>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</si>
  <si>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</si>
  <si>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</si>
  <si>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</si>
  <si>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</si>
  <si>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</si>
  <si>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</si>
  <si>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</si>
  <si>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</si>
  <si>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</si>
  <si>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</si>
  <si>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</si>
  <si>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</si>
  <si>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</si>
  <si>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</si>
  <si>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</si>
  <si>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</si>
  <si>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</si>
  <si>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</si>
  <si>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</si>
  <si>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</si>
  <si>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</si>
  <si>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</si>
  <si>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</si>
  <si>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</si>
  <si>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</si>
  <si>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</si>
  <si>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</si>
  <si>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</si>
  <si>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</si>
  <si>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</si>
  <si>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</si>
  <si>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</si>
  <si>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</si>
  <si>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</si>
  <si>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</si>
  <si>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</si>
  <si>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</si>
  <si>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</si>
  <si>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</si>
  <si>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</si>
  <si>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</si>
  <si>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</si>
  <si>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</si>
  <si>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</si>
  <si>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</si>
  <si>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</si>
  <si>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</si>
  <si>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</si>
  <si>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</si>
  <si>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</si>
  <si>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</si>
  <si>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</si>
  <si>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</si>
  <si>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</si>
  <si>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</si>
  <si>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</si>
  <si>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</si>
  <si>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</si>
  <si>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</si>
  <si>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</si>
  <si>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</si>
  <si>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</si>
  <si>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</si>
  <si>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</si>
  <si>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</si>
  <si>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</si>
  <si>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</si>
  <si>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</si>
  <si>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</si>
  <si>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</si>
  <si>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</si>
  <si>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</si>
  <si>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</si>
  <si>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</si>
  <si>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</si>
  <si>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</si>
  <si>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</si>
  <si>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</si>
  <si>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</si>
  <si>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</si>
  <si>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</si>
  <si>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</si>
  <si>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</si>
  <si>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</si>
  <si>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</si>
  <si>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</si>
  <si>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</si>
  <si>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</si>
  <si>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</si>
  <si>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</si>
  <si>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</si>
  <si>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</si>
  <si>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</si>
  <si>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</si>
  <si>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</si>
  <si>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</si>
  <si>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</si>
  <si>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</si>
  <si>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</si>
  <si>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</si>
  <si>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</si>
  <si>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</si>
  <si>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</si>
  <si>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</si>
  <si>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</si>
  <si>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</si>
  <si>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</si>
  <si>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</si>
  <si>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</si>
  <si>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</si>
  <si>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</si>
  <si>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</si>
  <si>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</si>
  <si>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</si>
  <si>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</si>
  <si>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</si>
  <si>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</si>
  <si>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</si>
  <si>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</si>
  <si>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</si>
  <si>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</si>
  <si>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</si>
  <si>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</si>
  <si>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</si>
  <si>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</si>
  <si>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</si>
  <si>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</si>
  <si>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</si>
  <si>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</si>
  <si>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</si>
  <si>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</si>
  <si>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</si>
  <si>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</si>
  <si>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</si>
  <si>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</si>
  <si>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</si>
  <si>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</si>
  <si>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</si>
  <si>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</si>
  <si>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</si>
  <si>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</si>
  <si>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</si>
  <si>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</si>
  <si>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</si>
  <si>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</si>
  <si>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</si>
  <si>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</si>
  <si>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</si>
  <si>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</si>
  <si>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</si>
  <si>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</si>
  <si>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</si>
  <si>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</si>
  <si>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</si>
  <si>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</si>
  <si>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</si>
  <si>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</si>
  <si>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</si>
  <si>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</si>
  <si>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</si>
  <si>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</si>
  <si>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</si>
  <si>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</si>
  <si>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</si>
  <si>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</si>
  <si>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</si>
  <si>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</si>
  <si>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</si>
  <si>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</si>
  <si>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</si>
  <si>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</si>
  <si>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</si>
  <si>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</si>
  <si>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</si>
  <si>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</si>
  <si>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</si>
  <si>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</si>
  <si>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</si>
  <si>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</si>
  <si>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</si>
  <si>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</si>
  <si>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</si>
  <si>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</si>
  <si>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</si>
  <si>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</si>
  <si>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</si>
  <si>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</si>
  <si>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</si>
  <si>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</si>
  <si>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</si>
  <si>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</si>
  <si>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</si>
  <si>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</si>
  <si>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</si>
  <si>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</si>
  <si>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</si>
  <si>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</si>
  <si>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</si>
  <si>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</si>
  <si>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</si>
  <si>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</si>
  <si>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</si>
  <si>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</si>
  <si>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</si>
  <si>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</si>
  <si>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</si>
  <si>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</si>
  <si>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</si>
  <si>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</si>
  <si>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</si>
  <si>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</si>
  <si>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</si>
  <si>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</si>
  <si>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</si>
  <si>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</si>
  <si>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</si>
  <si>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</si>
  <si>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</si>
  <si>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</si>
  <si>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</si>
  <si>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</si>
  <si>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</si>
  <si>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</si>
  <si>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</si>
  <si>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</si>
  <si>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</si>
  <si>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</si>
  <si>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</si>
  <si>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</si>
  <si>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</si>
  <si>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</si>
  <si>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</si>
  <si>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</si>
  <si>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</si>
  <si>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</si>
  <si>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</si>
  <si>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</si>
  <si>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</si>
  <si>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</si>
  <si>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</si>
  <si>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</si>
  <si>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</si>
  <si>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</si>
  <si>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</si>
  <si>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</si>
  <si>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</si>
  <si>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</si>
  <si>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</si>
  <si>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</si>
  <si>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</si>
  <si>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</si>
  <si>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</si>
  <si>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</si>
  <si>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</si>
  <si>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</si>
  <si>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</si>
  <si>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</si>
  <si>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</si>
  <si>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</si>
  <si>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</si>
  <si>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</si>
  <si>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</si>
  <si>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</si>
  <si>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</si>
  <si>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</si>
  <si>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</si>
  <si>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</si>
  <si>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</si>
  <si>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</si>
  <si>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</si>
  <si>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</si>
  <si>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</si>
  <si>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</si>
  <si>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</si>
  <si>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</si>
  <si>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</si>
  <si>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</si>
  <si>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</si>
  <si>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</si>
  <si>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</si>
  <si>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</si>
  <si>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</si>
  <si>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</si>
  <si>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</si>
  <si>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</si>
  <si>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</si>
  <si>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</si>
  <si>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</si>
  <si>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</si>
  <si>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</si>
  <si>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</si>
  <si>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</si>
  <si>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</si>
  <si>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</si>
  <si>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</si>
  <si>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</si>
  <si>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</si>
  <si>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</si>
  <si>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</si>
  <si>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</si>
  <si>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</si>
  <si>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</si>
  <si>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</si>
  <si>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</si>
  <si>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</si>
  <si>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</si>
  <si>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</si>
  <si>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</si>
  <si>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</si>
  <si>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</si>
  <si>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</si>
  <si>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</si>
  <si>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</si>
  <si>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</si>
  <si>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</si>
  <si>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</si>
  <si>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</si>
  <si>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</si>
  <si>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</si>
  <si>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</si>
  <si>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</si>
  <si>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</si>
  <si>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</si>
  <si>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</si>
  <si>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</si>
  <si>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</si>
  <si>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</si>
  <si>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</si>
  <si>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</si>
  <si>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</si>
  <si>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</si>
  <si>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</si>
  <si>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</si>
  <si>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</si>
  <si>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</si>
  <si>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</si>
  <si>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</si>
  <si>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</si>
  <si>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</si>
  <si>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</si>
  <si>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</si>
  <si>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</si>
  <si>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</si>
  <si>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</si>
  <si>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</si>
  <si>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</si>
  <si>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</si>
  <si>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</si>
  <si>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</si>
  <si>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</si>
  <si>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</si>
  <si>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</si>
  <si>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</si>
  <si>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</si>
  <si>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</si>
  <si>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</si>
  <si>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</si>
  <si>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</si>
  <si>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</si>
  <si>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</si>
  <si>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</si>
  <si>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</si>
  <si>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</si>
  <si>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</si>
  <si>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</si>
  <si>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</si>
  <si>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</si>
  <si>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</si>
  <si>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</si>
  <si>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</si>
  <si>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</si>
  <si>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</si>
  <si>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</si>
  <si>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</si>
  <si>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</si>
  <si>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</si>
  <si>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</si>
  <si>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</si>
  <si>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</si>
  <si>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</si>
  <si>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</si>
  <si>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</si>
  <si>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</si>
  <si>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</si>
  <si>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</si>
  <si>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</si>
  <si>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</si>
  <si>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</si>
  <si>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</si>
  <si>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</si>
  <si>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</si>
  <si>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</si>
  <si>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</si>
  <si>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</si>
  <si>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</si>
  <si>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</si>
  <si>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</si>
  <si>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</si>
  <si>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</si>
  <si>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</si>
  <si>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</si>
  <si>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</si>
  <si>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</si>
  <si>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</si>
  <si>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</si>
  <si>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</si>
  <si>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</si>
  <si>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</si>
  <si>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</si>
  <si>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</si>
  <si>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</si>
  <si>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</si>
  <si>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</si>
  <si>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</si>
  <si>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</si>
  <si>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</si>
  <si>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</si>
  <si>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</si>
  <si>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</si>
  <si>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</si>
  <si>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</si>
  <si>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</si>
  <si>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</si>
  <si>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</si>
  <si>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</si>
  <si>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</si>
  <si>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</si>
  <si>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</si>
  <si>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</si>
  <si>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</si>
  <si>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</si>
  <si>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</si>
  <si>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</si>
  <si>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</si>
  <si>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</si>
  <si>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</si>
  <si>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</si>
  <si>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</si>
  <si>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</si>
  <si>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</si>
  <si>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</si>
  <si>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</si>
  <si>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</si>
  <si>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</si>
  <si>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</si>
  <si>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</si>
  <si>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</si>
  <si>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</si>
  <si>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</si>
  <si>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</si>
  <si>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</si>
  <si>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</si>
  <si>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</si>
  <si>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</si>
  <si>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</si>
  <si>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</si>
  <si>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</si>
  <si>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</si>
  <si>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</si>
  <si>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</si>
  <si>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</si>
  <si>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</si>
  <si>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</si>
  <si>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</si>
  <si>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</si>
  <si>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</si>
  <si>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</si>
  <si>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</si>
  <si>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</si>
  <si>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</si>
  <si>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</si>
  <si>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</si>
  <si>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</si>
  <si>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</si>
  <si>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</si>
  <si>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</si>
  <si>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</si>
  <si>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</si>
  <si>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</si>
  <si>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</si>
  <si>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</si>
  <si>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</si>
  <si>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</si>
  <si>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</si>
  <si>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</si>
  <si>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</si>
  <si>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</si>
  <si>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</si>
  <si>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</si>
  <si>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</si>
  <si>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</si>
  <si>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</si>
  <si>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</si>
  <si>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</si>
  <si>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</si>
  <si>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</si>
  <si>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</si>
  <si>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</si>
  <si>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</si>
  <si>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</si>
  <si>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</si>
  <si>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</si>
  <si>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</si>
  <si>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</si>
  <si>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</si>
  <si>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</si>
  <si>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</si>
  <si>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</si>
  <si>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</si>
  <si>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</si>
  <si>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</si>
  <si>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</si>
  <si>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</si>
  <si>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</si>
  <si>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</si>
  <si>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</si>
  <si>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</si>
  <si>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</si>
  <si>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</si>
  <si>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</si>
  <si>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</si>
  <si>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</si>
  <si>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</si>
  <si>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</si>
  <si>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</si>
  <si>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</si>
  <si>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</si>
  <si>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</si>
  <si>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</si>
  <si>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</si>
  <si>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</si>
  <si>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</si>
  <si>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</si>
  <si>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</si>
  <si>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</si>
  <si>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</si>
  <si>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</si>
  <si>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</si>
  <si>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</si>
  <si>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</si>
  <si>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</si>
  <si>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</si>
  <si>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</si>
  <si>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</si>
  <si>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</si>
  <si>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</si>
  <si>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</si>
  <si>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</si>
  <si>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</si>
  <si>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</si>
  <si>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</si>
  <si>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</si>
  <si>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</si>
  <si>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</si>
  <si>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</si>
  <si>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</si>
  <si>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</si>
  <si>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</si>
  <si>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</si>
  <si>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</si>
  <si>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</si>
  <si>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</si>
  <si>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</si>
  <si>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</si>
  <si>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</si>
  <si>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</si>
  <si>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</si>
  <si>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</si>
  <si>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</si>
  <si>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</si>
  <si>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</si>
  <si>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</si>
  <si>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</si>
  <si>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</si>
  <si>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</si>
  <si>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</si>
  <si>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</si>
  <si>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</si>
  <si>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</si>
  <si>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</si>
  <si>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</si>
  <si>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</si>
  <si>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</si>
  <si>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</si>
  <si>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</si>
  <si>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</si>
  <si>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</si>
  <si>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</si>
  <si>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</si>
  <si>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</si>
  <si>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</si>
  <si>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</si>
  <si>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</si>
  <si>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</si>
  <si>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</si>
  <si>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</si>
  <si>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</si>
  <si>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</si>
  <si>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</si>
  <si>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</si>
  <si>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</si>
  <si>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</si>
  <si>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</si>
  <si>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</si>
  <si>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</si>
  <si>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</si>
  <si>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</si>
  <si>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</si>
  <si>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</si>
  <si>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</si>
  <si>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</si>
  <si>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</si>
  <si>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</si>
  <si>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</si>
  <si>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</si>
  <si>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</si>
  <si>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</si>
  <si>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</si>
  <si>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</si>
  <si>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</si>
  <si>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</si>
  <si>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</si>
  <si>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</si>
  <si>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</si>
  <si>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</si>
  <si>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</si>
  <si>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</si>
  <si>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</si>
  <si>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</si>
  <si>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</si>
  <si>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</si>
  <si>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</si>
  <si>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</si>
  <si>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</si>
  <si>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</si>
  <si>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</si>
  <si>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</si>
  <si>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</si>
  <si>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</si>
  <si>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</si>
  <si>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</si>
  <si>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</si>
  <si>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</si>
  <si>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</si>
  <si>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</si>
  <si>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</si>
  <si>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</si>
  <si>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</si>
  <si>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</si>
  <si>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</si>
  <si>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</si>
  <si>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</si>
  <si>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</si>
  <si>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</si>
  <si>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</si>
  <si>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</si>
  <si>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</si>
  <si>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</si>
  <si>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</si>
  <si>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</si>
  <si>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</si>
  <si>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</si>
  <si>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</si>
  <si>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</si>
  <si>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</si>
  <si>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</si>
  <si>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</si>
  <si>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</si>
  <si>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</si>
  <si>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</si>
  <si>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</si>
  <si>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</si>
  <si>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</si>
  <si>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</si>
  <si>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</si>
  <si>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</si>
  <si>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</si>
  <si>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</si>
  <si>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</si>
  <si>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</si>
  <si>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</si>
  <si>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</si>
  <si>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</si>
  <si>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</si>
  <si>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</si>
  <si>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</si>
  <si>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</si>
  <si>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</si>
  <si>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</si>
  <si>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</si>
  <si>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</si>
  <si>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</si>
  <si>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</si>
  <si>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</si>
  <si>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</si>
  <si>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</si>
  <si>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</si>
  <si>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</si>
  <si>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</si>
  <si>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</si>
  <si>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</si>
  <si>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</si>
  <si>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</si>
  <si>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</si>
  <si>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</si>
  <si>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</si>
  <si>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</si>
  <si>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</si>
  <si>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</si>
  <si>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</si>
  <si>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</si>
  <si>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</si>
  <si>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</si>
  <si>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</si>
  <si>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</si>
  <si>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</si>
  <si>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</si>
  <si>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</si>
  <si>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</si>
  <si>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</si>
  <si>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</si>
  <si>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</si>
  <si>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</si>
  <si>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</si>
  <si>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</si>
  <si>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</si>
  <si>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</si>
  <si>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</si>
  <si>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</si>
  <si>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</si>
  <si>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</si>
  <si>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</si>
  <si>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</si>
  <si>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</si>
  <si>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</si>
  <si>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</si>
  <si>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</si>
  <si>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</si>
  <si>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</si>
  <si>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</si>
  <si>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</si>
  <si>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</si>
  <si>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</si>
  <si>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</si>
  <si>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</si>
  <si>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</si>
  <si>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</si>
  <si>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</si>
  <si>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</si>
  <si>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</si>
  <si>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</si>
  <si>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</si>
  <si>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</si>
  <si>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</si>
  <si>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</si>
  <si>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</si>
  <si>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</si>
  <si>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</si>
  <si>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</si>
  <si>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</si>
  <si>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</si>
  <si>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</si>
  <si>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</si>
  <si>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</si>
  <si>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</si>
  <si>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</si>
  <si>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</si>
  <si>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</si>
  <si>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</si>
  <si>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</si>
  <si>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</si>
  <si>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</si>
  <si>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</si>
  <si>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</si>
  <si>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</si>
  <si>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</si>
  <si>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</si>
  <si>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</si>
  <si>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</si>
  <si>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</si>
  <si>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</si>
  <si>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</si>
  <si>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</si>
  <si>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</si>
  <si>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</si>
  <si>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</si>
  <si>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</si>
  <si>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</si>
  <si>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</si>
  <si>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</si>
  <si>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</si>
  <si>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</si>
  <si>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</si>
  <si>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</si>
  <si>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</si>
  <si>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</si>
  <si>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</si>
  <si>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</si>
  <si>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</si>
  <si>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</si>
  <si>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</si>
  <si>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</si>
  <si>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</si>
  <si>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</si>
  <si>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</si>
  <si>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</si>
  <si>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</si>
  <si>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</si>
  <si>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</si>
  <si>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</si>
  <si>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</si>
  <si>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</si>
  <si>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</si>
  <si>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</si>
  <si>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</si>
  <si>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</si>
  <si>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</si>
  <si>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</si>
  <si>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</si>
  <si>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</si>
  <si>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</si>
  <si>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</si>
  <si>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</si>
  <si>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</si>
  <si>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</si>
  <si>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</si>
  <si>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</si>
  <si>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</si>
  <si>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</si>
  <si>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</si>
  <si>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</si>
  <si>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</si>
  <si>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</si>
  <si>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</si>
  <si>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</si>
  <si>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</si>
  <si>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</si>
  <si>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</si>
  <si>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</si>
  <si>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</si>
  <si>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</si>
  <si>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</si>
  <si>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</si>
  <si>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</si>
  <si>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</si>
  <si>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</si>
  <si>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</si>
  <si>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</si>
  <si>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</si>
  <si>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</si>
  <si>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</si>
  <si>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</si>
  <si>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</si>
  <si>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</si>
  <si>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</si>
  <si>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</si>
  <si>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</si>
  <si>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</si>
  <si>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</si>
  <si>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</si>
  <si>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</si>
  <si>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</si>
  <si>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</si>
  <si>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</si>
  <si>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</si>
  <si>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</si>
  <si>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</si>
  <si>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</si>
  <si>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</si>
  <si>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</si>
  <si>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</si>
  <si>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</si>
  <si>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</si>
  <si>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</si>
  <si>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</si>
  <si>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</si>
  <si>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</si>
  <si>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</si>
  <si>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</si>
  <si>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</si>
  <si>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</si>
  <si>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</si>
  <si>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</si>
  <si>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</si>
  <si>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</si>
  <si>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</si>
  <si>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</si>
  <si>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</si>
  <si>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</si>
  <si>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</si>
  <si>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</si>
  <si>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</si>
  <si>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</si>
  <si>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</si>
  <si>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</si>
  <si>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</si>
  <si>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</si>
  <si>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</si>
  <si>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</si>
  <si>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</si>
  <si>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</si>
  <si>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</si>
  <si>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</si>
  <si>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</si>
  <si>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</si>
  <si>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</si>
  <si>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</si>
  <si>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</si>
  <si>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</si>
  <si>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</si>
  <si>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</si>
  <si>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</si>
  <si>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</si>
  <si>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</si>
  <si>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</si>
  <si>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</si>
  <si>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</si>
  <si>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</si>
  <si>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</si>
  <si>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</si>
  <si>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</si>
  <si>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</si>
  <si>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</si>
  <si>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</si>
  <si>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</si>
  <si>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</si>
  <si>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</si>
  <si>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</si>
  <si>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</si>
  <si>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</si>
  <si>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</si>
  <si>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</si>
  <si>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</si>
  <si>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</si>
  <si>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</si>
  <si>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</si>
  <si>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</si>
  <si>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</si>
  <si>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</si>
  <si>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</si>
  <si>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</si>
  <si>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</si>
  <si>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</si>
  <si>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</si>
  <si>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</si>
  <si>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</si>
  <si>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</si>
  <si>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</si>
  <si>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</si>
  <si>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</si>
  <si>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</si>
  <si>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</si>
  <si>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</si>
  <si>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</si>
  <si>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</si>
  <si>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</si>
  <si>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</si>
  <si>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</si>
  <si>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</si>
  <si>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</si>
  <si>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</si>
  <si>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</si>
  <si>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</si>
  <si>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</si>
  <si>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</si>
  <si>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</si>
  <si>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</si>
  <si>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</si>
  <si>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</si>
  <si>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</si>
  <si>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</si>
  <si>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</si>
  <si>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</si>
  <si>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</si>
  <si>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</si>
  <si>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</si>
  <si>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</si>
  <si>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</si>
  <si>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</si>
  <si>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</si>
  <si>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</si>
  <si>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</si>
  <si>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</si>
  <si>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</si>
  <si>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</si>
  <si>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</si>
  <si>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</si>
  <si>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</si>
  <si>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</si>
  <si>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</si>
  <si>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</si>
  <si>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</si>
  <si>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</si>
  <si>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</si>
  <si>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</si>
  <si>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</si>
  <si>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</si>
  <si>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</si>
  <si>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</si>
  <si>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</si>
  <si>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</si>
  <si>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</si>
  <si>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</si>
  <si>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</si>
  <si>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</si>
  <si>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</si>
  <si>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</si>
  <si>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</si>
  <si>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</si>
  <si>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</si>
  <si>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</si>
  <si>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</si>
  <si>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</si>
  <si>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</si>
  <si>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</si>
  <si>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</si>
  <si>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</si>
  <si>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</si>
  <si>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</si>
  <si>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</si>
  <si>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</si>
  <si>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</si>
  <si>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</si>
  <si>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</si>
  <si>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</si>
  <si>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</si>
  <si>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</si>
  <si>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</si>
  <si>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</si>
  <si>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</si>
  <si>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</si>
  <si>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</si>
  <si>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</si>
  <si>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</si>
  <si>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</si>
  <si>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</si>
  <si>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</si>
  <si>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</si>
  <si>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</si>
  <si>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</si>
  <si>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</si>
  <si>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</si>
  <si>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</si>
  <si>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</si>
  <si>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</si>
  <si>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</si>
  <si>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</si>
  <si>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</si>
  <si>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</si>
  <si>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</si>
  <si>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</si>
  <si>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</si>
  <si>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</si>
  <si>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</si>
  <si>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</si>
  <si>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</si>
  <si>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</si>
  <si>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</si>
  <si>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</si>
  <si>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</si>
  <si>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</si>
  <si>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</si>
  <si>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</si>
  <si>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</si>
  <si>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</si>
  <si>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</si>
  <si>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</si>
  <si>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</si>
  <si>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</si>
  <si>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</si>
  <si>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</si>
  <si>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</si>
  <si>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</si>
  <si>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</si>
  <si>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</si>
  <si>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</si>
  <si>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</si>
  <si>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</si>
  <si>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</si>
  <si>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</si>
  <si>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</si>
  <si>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</si>
  <si>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</si>
  <si>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</si>
  <si>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</si>
  <si>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</si>
  <si>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</si>
  <si>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</si>
  <si>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</si>
  <si>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</si>
  <si>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</si>
  <si>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</si>
  <si>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</si>
  <si>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</si>
  <si>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</si>
  <si>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</si>
  <si>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</si>
  <si>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</si>
  <si>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</si>
  <si>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</si>
  <si>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</si>
  <si>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</si>
  <si>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</si>
  <si>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</si>
  <si>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</si>
  <si>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</si>
  <si>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</si>
  <si>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</si>
  <si>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</si>
  <si>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</si>
  <si>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</si>
  <si>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</si>
  <si>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</si>
  <si>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</si>
  <si>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</si>
  <si>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</si>
  <si>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</si>
  <si>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</si>
  <si>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</si>
  <si>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</si>
  <si>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</si>
  <si>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</si>
  <si>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</si>
  <si>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</si>
  <si>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</si>
  <si>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</si>
  <si>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</si>
  <si>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</si>
  <si>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</si>
  <si>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</si>
  <si>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</si>
  <si>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</si>
  <si>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</si>
  <si>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</si>
  <si>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</si>
  <si>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</si>
  <si>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</si>
  <si>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</si>
  <si>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</si>
  <si>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</si>
  <si>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</si>
  <si>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</si>
  <si>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</si>
  <si>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</si>
  <si>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</si>
  <si>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</si>
  <si>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</si>
  <si>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</si>
  <si>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</si>
  <si>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</si>
  <si>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</si>
  <si>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</si>
  <si>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</si>
  <si>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</si>
  <si>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</si>
  <si>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</si>
  <si>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</si>
  <si>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</si>
  <si>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</si>
  <si>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</si>
  <si>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</si>
  <si>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</si>
  <si>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</si>
  <si>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</si>
  <si>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</si>
  <si>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</si>
  <si>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</si>
  <si>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</si>
  <si>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</si>
  <si>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</si>
  <si>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</si>
  <si>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</si>
  <si>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</si>
  <si>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</si>
  <si>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</si>
  <si>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</si>
  <si>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</si>
  <si>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</si>
  <si>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</si>
  <si>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</si>
  <si>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</si>
  <si>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</si>
  <si>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</si>
  <si>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</si>
  <si>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</si>
  <si>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</si>
  <si>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</si>
  <si>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</si>
  <si>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</si>
  <si>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</si>
  <si>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</si>
  <si>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</si>
  <si>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</si>
  <si>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</si>
  <si>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</si>
  <si>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</si>
  <si>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</si>
  <si>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</si>
  <si>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</si>
  <si>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</si>
  <si>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</si>
  <si>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</si>
  <si>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</si>
  <si>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</si>
  <si>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</si>
  <si>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</si>
  <si>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</si>
  <si>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</si>
  <si>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</si>
  <si>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</si>
  <si>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</si>
  <si>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</si>
  <si>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</si>
  <si>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</si>
  <si>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</si>
  <si>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</si>
  <si>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</si>
  <si>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</si>
  <si>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</si>
  <si>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</si>
  <si>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</si>
  <si>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</si>
  <si>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</si>
  <si>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</si>
  <si>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</si>
  <si>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</si>
  <si>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</si>
  <si>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</si>
  <si>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</si>
  <si>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</si>
  <si>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</si>
  <si>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</si>
  <si>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</si>
  <si>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</si>
  <si>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</si>
  <si>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</si>
  <si>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</si>
  <si>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</si>
  <si>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</si>
  <si>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</si>
  <si>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</si>
  <si>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</si>
  <si>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</si>
  <si>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</si>
  <si>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</si>
  <si>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</si>
  <si>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</si>
  <si>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</si>
  <si>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</si>
  <si>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</si>
  <si>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</si>
  <si>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</si>
  <si>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</si>
  <si>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</si>
  <si>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</si>
  <si>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</si>
  <si>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</si>
  <si>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</si>
  <si>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</si>
  <si>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</si>
  <si>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</si>
  <si>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</si>
  <si>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</si>
  <si>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</si>
  <si>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</si>
  <si>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</si>
  <si>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</si>
  <si>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</si>
  <si>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</si>
  <si>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</si>
  <si>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</si>
  <si>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</si>
  <si>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</si>
  <si>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</si>
  <si>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</si>
  <si>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</si>
  <si>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</si>
  <si>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</si>
  <si>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</si>
  <si>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</si>
  <si>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</si>
  <si>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</si>
  <si>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</si>
  <si>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</si>
  <si>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</si>
  <si>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</si>
  <si>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</si>
  <si>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</si>
  <si>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</si>
  <si>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</si>
  <si>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</si>
  <si>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</si>
  <si>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</si>
  <si>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</si>
  <si>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</si>
  <si>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</si>
  <si>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</si>
  <si>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</si>
  <si>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</si>
  <si>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</si>
  <si>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</si>
  <si>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</si>
  <si>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</si>
  <si>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</si>
  <si>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</si>
  <si>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</si>
  <si>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</si>
  <si>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</si>
  <si>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</si>
  <si>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</si>
  <si>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</si>
  <si>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</si>
  <si>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</si>
  <si>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</si>
  <si>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</si>
  <si>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</si>
  <si>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</si>
  <si>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</si>
  <si>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</si>
  <si>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</si>
  <si>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</si>
  <si>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</si>
  <si>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</si>
  <si>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</si>
  <si>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</si>
  <si>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</si>
  <si>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</si>
  <si>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</si>
  <si>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</si>
  <si>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</si>
  <si>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</si>
  <si>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</si>
  <si>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</si>
  <si>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</si>
  <si>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</si>
  <si>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</si>
  <si>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</si>
  <si>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</si>
  <si>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</si>
  <si>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</si>
  <si>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</si>
  <si>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</si>
  <si>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</si>
  <si>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</si>
  <si>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</si>
  <si>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</si>
  <si>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</si>
  <si>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</si>
  <si>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</si>
  <si>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</si>
  <si>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</si>
  <si>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</si>
  <si>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</si>
  <si>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</si>
  <si>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</si>
  <si>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</si>
  <si>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</si>
  <si>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</si>
  <si>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</si>
  <si>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</si>
  <si>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</si>
  <si>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</si>
  <si>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</si>
  <si>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</si>
  <si>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</si>
  <si>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</si>
  <si>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</si>
  <si>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</si>
  <si>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</si>
  <si>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</si>
  <si>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</si>
  <si>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</si>
  <si>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</si>
  <si>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</si>
  <si>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</si>
  <si>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</si>
  <si>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</si>
  <si>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</si>
  <si>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</si>
  <si>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</si>
  <si>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</si>
  <si>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</si>
  <si>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</si>
  <si>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</si>
  <si>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</si>
  <si>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</si>
  <si>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</si>
  <si>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</si>
  <si>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</si>
  <si>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</si>
  <si>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</si>
  <si>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</si>
  <si>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</si>
  <si>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</si>
  <si>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</si>
  <si>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</si>
  <si>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</si>
  <si>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</si>
  <si>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</si>
  <si>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</si>
  <si>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</si>
  <si>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</si>
  <si>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</si>
  <si>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</si>
  <si>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</si>
  <si>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</si>
  <si>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</si>
  <si>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</si>
  <si>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</si>
  <si>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</si>
  <si>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</si>
  <si>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</si>
  <si>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</si>
  <si>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</si>
  <si>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</si>
  <si>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</si>
  <si>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</si>
  <si>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</si>
  <si>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</si>
  <si>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</si>
  <si>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</si>
  <si>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</si>
  <si>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</si>
  <si>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</si>
  <si>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</si>
  <si>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</si>
  <si>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</si>
  <si>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</si>
  <si>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</si>
  <si>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</si>
  <si>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</si>
  <si>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</si>
  <si>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</si>
  <si>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</si>
  <si>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</si>
  <si>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</si>
  <si>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</si>
  <si>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</si>
  <si>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</si>
  <si>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</si>
  <si>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</si>
  <si>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</si>
  <si>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</si>
  <si>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</si>
  <si>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</si>
  <si>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</si>
  <si>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</si>
  <si>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</si>
  <si>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</si>
  <si>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</si>
  <si>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</si>
  <si>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</si>
  <si>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</si>
  <si>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</si>
  <si>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</si>
  <si>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</si>
  <si>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</si>
  <si>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</si>
  <si>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</si>
  <si>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</si>
  <si>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</si>
  <si>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</si>
  <si>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</si>
  <si>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</si>
  <si>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</si>
  <si>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</si>
  <si>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</si>
  <si>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</si>
  <si>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</si>
  <si>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</si>
  <si>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</si>
  <si>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</si>
  <si>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</si>
  <si>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</si>
  <si>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</si>
  <si>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</si>
  <si>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</si>
  <si>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</si>
  <si>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</si>
  <si>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</si>
  <si>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</si>
  <si>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</si>
  <si>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</si>
  <si>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</si>
  <si>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</si>
  <si>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</si>
  <si>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</si>
  <si>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</si>
  <si>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</si>
  <si>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</si>
  <si>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</si>
  <si>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</si>
  <si>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</si>
  <si>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</si>
  <si>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</si>
  <si>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</si>
  <si>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</si>
  <si>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</si>
  <si>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</si>
  <si>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</si>
  <si>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</si>
  <si>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</si>
  <si>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</si>
  <si>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</si>
  <si>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</si>
  <si>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</si>
  <si>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</si>
  <si>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</si>
  <si>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</si>
  <si>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</si>
  <si>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</si>
  <si>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</si>
  <si>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</si>
  <si>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</si>
  <si>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</si>
  <si>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</si>
  <si>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</si>
  <si>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</si>
  <si>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</si>
  <si>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</si>
  <si>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</si>
  <si>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</si>
  <si>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</si>
  <si>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</si>
  <si>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</si>
  <si>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</si>
  <si>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</si>
  <si>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</si>
  <si>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</si>
  <si>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</si>
  <si>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</si>
  <si>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</si>
  <si>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</si>
  <si>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</si>
  <si>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</si>
  <si>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</si>
  <si>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</si>
  <si>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</si>
  <si>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</si>
  <si>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</si>
  <si>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</si>
  <si>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</si>
  <si>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</si>
  <si>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</si>
  <si>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</si>
  <si>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</si>
  <si>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</si>
  <si>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</si>
  <si>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</si>
  <si>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</si>
  <si>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</si>
  <si>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</si>
  <si>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</si>
  <si>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</si>
  <si>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</si>
  <si>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</si>
  <si>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</si>
  <si>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</si>
  <si>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</si>
  <si>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</si>
  <si>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</si>
  <si>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</si>
  <si>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</si>
  <si>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</si>
  <si>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</si>
  <si>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</si>
  <si>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</si>
  <si>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</si>
  <si>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</si>
  <si>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</si>
  <si>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</si>
  <si>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</si>
  <si>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</si>
  <si>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</si>
  <si>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</si>
  <si>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</si>
  <si>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</si>
  <si>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</si>
  <si>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</si>
  <si>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</si>
  <si>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</si>
  <si>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</si>
  <si>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</si>
  <si>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</si>
  <si>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</si>
  <si>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</si>
  <si>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</si>
  <si>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</si>
  <si>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</si>
  <si>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</si>
  <si>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</si>
  <si>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</si>
  <si>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</si>
  <si>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</si>
  <si>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</si>
  <si>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</si>
  <si>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</si>
  <si>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</si>
  <si>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</si>
  <si>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</si>
  <si>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</si>
  <si>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</si>
  <si>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</si>
  <si>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</si>
  <si>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</si>
  <si>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</si>
  <si>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</si>
  <si>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</si>
  <si>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</si>
  <si>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</si>
  <si>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</si>
  <si>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</si>
  <si>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</si>
  <si>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</si>
  <si>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</si>
  <si>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</si>
  <si>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</si>
  <si>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</si>
  <si>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</si>
  <si>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</si>
  <si>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</si>
  <si>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</si>
  <si>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</si>
  <si>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</si>
  <si>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</si>
  <si>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</si>
  <si>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</si>
  <si>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</si>
  <si>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</si>
  <si>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</si>
  <si>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</si>
  <si>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</si>
  <si>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</si>
  <si>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</si>
  <si>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</si>
  <si>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</si>
  <si>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</si>
  <si>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</si>
  <si>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</si>
  <si>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</si>
  <si>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</si>
  <si>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</si>
  <si>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</si>
  <si>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</si>
  <si>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</si>
  <si>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</si>
  <si>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</si>
  <si>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</si>
  <si>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</si>
  <si>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</si>
  <si>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</si>
  <si>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</si>
  <si>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</si>
  <si>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</si>
  <si>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</si>
  <si>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</si>
  <si>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</si>
  <si>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</si>
  <si>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</si>
  <si>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</si>
  <si>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</si>
  <si>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</si>
  <si>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</si>
  <si>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</si>
  <si>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</si>
  <si>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</si>
  <si>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</si>
  <si>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</si>
  <si>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</si>
  <si>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</si>
  <si>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</si>
  <si>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</si>
  <si>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</si>
  <si>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</si>
  <si>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</si>
  <si>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</si>
  <si>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</si>
  <si>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</si>
  <si>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</si>
  <si>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</si>
  <si>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</si>
  <si>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</si>
  <si>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</si>
  <si>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</si>
  <si>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</si>
  <si>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</si>
  <si>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</si>
  <si>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</si>
  <si>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</si>
  <si>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</si>
  <si>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</si>
  <si>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</si>
  <si>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</si>
  <si>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</si>
  <si>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</si>
  <si>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</si>
  <si>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</si>
  <si>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</si>
  <si>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</si>
  <si>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</si>
  <si>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</si>
  <si>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</si>
  <si>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</si>
  <si>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</si>
  <si>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</si>
  <si>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</si>
  <si>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</si>
  <si>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</si>
  <si>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</si>
  <si>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</si>
  <si>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</si>
  <si>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</si>
  <si>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</si>
  <si>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</si>
  <si>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</si>
  <si>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</si>
  <si>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</si>
  <si>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</si>
  <si>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</si>
  <si>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</si>
  <si>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</si>
  <si>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</si>
  <si>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</si>
  <si>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</si>
  <si>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</si>
  <si>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</si>
  <si>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</si>
  <si>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</si>
  <si>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</si>
  <si>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</si>
  <si>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</si>
  <si>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</si>
  <si>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</si>
  <si>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</si>
  <si>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</si>
  <si>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</si>
  <si>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</si>
  <si>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</si>
  <si>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</si>
  <si>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</si>
  <si>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</si>
  <si>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</si>
  <si>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</si>
  <si>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</si>
  <si>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</si>
  <si>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</si>
  <si>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</si>
  <si>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</si>
  <si>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</si>
  <si>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</si>
  <si>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</si>
  <si>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</si>
  <si>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</si>
  <si>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</si>
  <si>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</si>
  <si>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</si>
  <si>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</si>
  <si>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</si>
  <si>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</si>
  <si>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</si>
  <si>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</si>
  <si>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</si>
  <si>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</si>
  <si>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</si>
  <si>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</si>
  <si>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</si>
  <si>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</si>
  <si>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</si>
  <si>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</si>
  <si>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</si>
  <si>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</si>
  <si>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</si>
  <si>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</si>
  <si>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</si>
  <si>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</si>
  <si>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</si>
  <si>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</si>
  <si>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</si>
  <si>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</si>
  <si>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</si>
  <si>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</si>
  <si>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</si>
  <si>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</si>
  <si>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</si>
  <si>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</si>
  <si>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</si>
  <si>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</si>
  <si>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</si>
  <si>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</si>
  <si>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</si>
  <si>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</si>
  <si>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</si>
  <si>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</si>
  <si>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</si>
  <si>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</si>
  <si>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</si>
  <si>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</si>
  <si>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</si>
  <si>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</si>
  <si>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</si>
  <si>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</si>
  <si>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</si>
  <si>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</si>
  <si>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</si>
  <si>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</si>
  <si>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</si>
  <si>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</si>
  <si>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</si>
  <si>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</si>
  <si>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</si>
  <si>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</si>
  <si>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</si>
  <si>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</si>
  <si>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</si>
  <si>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</si>
  <si>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</si>
  <si>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</si>
  <si>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</si>
  <si>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</si>
  <si>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</si>
  <si>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</si>
  <si>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</si>
  <si>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</si>
  <si>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</si>
  <si>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</si>
  <si>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</si>
  <si>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</si>
  <si>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</si>
  <si>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</si>
  <si>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</si>
  <si>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</si>
  <si>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</si>
  <si>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</si>
  <si>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</si>
  <si>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</si>
  <si>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</si>
  <si>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</si>
  <si>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</si>
  <si>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</si>
  <si>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</si>
  <si>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</si>
  <si>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</si>
  <si>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</si>
  <si>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</si>
  <si>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</si>
  <si>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</si>
  <si>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</si>
  <si>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</si>
  <si>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</si>
  <si>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</si>
  <si>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</si>
  <si>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</si>
  <si>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</si>
  <si>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</si>
  <si>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</si>
  <si>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</si>
  <si>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</si>
  <si>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</si>
  <si>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</si>
  <si>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</si>
  <si>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</si>
  <si>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</si>
  <si>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</si>
  <si>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</si>
  <si>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</si>
  <si>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</si>
  <si>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</si>
  <si>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</si>
  <si>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</si>
  <si>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</si>
  <si>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</si>
  <si>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</si>
  <si>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</si>
  <si>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</si>
  <si>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</si>
  <si>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</si>
  <si>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</si>
  <si>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</si>
  <si>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</si>
  <si>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</si>
  <si>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</si>
  <si>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</si>
  <si>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</si>
  <si>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</si>
  <si>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</si>
  <si>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</si>
  <si>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</si>
  <si>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</si>
  <si>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</si>
  <si>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</si>
  <si>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</si>
  <si>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</si>
  <si>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</si>
  <si>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</si>
  <si>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</si>
  <si>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</si>
  <si>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</si>
  <si>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</si>
  <si>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</si>
  <si>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</si>
  <si>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</si>
  <si>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</si>
  <si>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</si>
  <si>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</si>
  <si>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</si>
  <si>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</si>
  <si>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</si>
  <si>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</si>
  <si>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</si>
  <si>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</si>
  <si>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</si>
  <si>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</si>
  <si>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</si>
  <si>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</si>
  <si>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</si>
  <si>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</si>
  <si>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</si>
  <si>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</si>
  <si>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</si>
  <si>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</si>
  <si>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</si>
  <si>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</si>
  <si>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</si>
  <si>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</si>
  <si>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</si>
  <si>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</si>
  <si>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</si>
  <si>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</si>
  <si>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</si>
  <si>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</si>
  <si>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</si>
  <si>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</si>
  <si>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</si>
  <si>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</si>
  <si>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</si>
  <si>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</si>
  <si>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</si>
  <si>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</si>
  <si>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</si>
  <si>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</si>
  <si>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</si>
  <si>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</si>
  <si>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</si>
  <si>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</si>
  <si>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</si>
  <si>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</si>
  <si>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</si>
  <si>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</si>
  <si>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</si>
  <si>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</si>
  <si>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</si>
  <si>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</si>
  <si>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</si>
  <si>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</si>
  <si>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</si>
  <si>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</si>
  <si>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</si>
  <si>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</si>
  <si>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</si>
  <si>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</si>
  <si>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</si>
  <si>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</si>
  <si>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</si>
  <si>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</si>
  <si>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</si>
  <si>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</si>
  <si>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</si>
  <si>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</si>
  <si>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</si>
  <si>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</si>
  <si>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</si>
  <si>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</si>
  <si>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</si>
  <si>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</si>
  <si>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</si>
  <si>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</si>
  <si>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</si>
  <si>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</si>
  <si>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</si>
  <si>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</si>
  <si>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</si>
  <si>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</si>
  <si>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</si>
  <si>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</si>
  <si>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</si>
  <si>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</si>
  <si>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</si>
  <si>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</si>
  <si>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</si>
  <si>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</si>
  <si>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</si>
  <si>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</si>
  <si>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</si>
  <si>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</si>
  <si>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</si>
  <si>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</si>
  <si>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</si>
  <si>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</si>
  <si>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</si>
  <si>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</si>
  <si>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</si>
  <si>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</si>
  <si>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</si>
  <si>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</si>
  <si>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</si>
  <si>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</si>
  <si>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</si>
  <si>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</si>
  <si>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</si>
  <si>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</si>
  <si>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</si>
  <si>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</si>
  <si>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</si>
  <si>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</si>
  <si>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</si>
  <si>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</si>
  <si>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</si>
  <si>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</si>
  <si>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</si>
  <si>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</si>
  <si>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</si>
  <si>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</si>
  <si>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</si>
  <si>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</si>
  <si>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</si>
  <si>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</si>
  <si>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</si>
  <si>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</si>
  <si>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</si>
  <si>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</si>
  <si>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</si>
  <si>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</si>
  <si>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</si>
  <si>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</si>
  <si>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</si>
  <si>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</si>
  <si>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</si>
  <si>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</si>
  <si>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</si>
  <si>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</si>
  <si>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</si>
  <si>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</si>
  <si>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</si>
  <si>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</si>
  <si>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</si>
  <si>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</si>
  <si>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</si>
  <si>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</si>
  <si>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</si>
  <si>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</si>
  <si>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</si>
  <si>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</si>
  <si>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</si>
  <si>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</si>
  <si>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</si>
  <si>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</si>
  <si>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</si>
  <si>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</si>
  <si>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</si>
  <si>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</si>
  <si>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</si>
  <si>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</si>
  <si>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</si>
  <si>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</si>
  <si>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</si>
  <si>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</si>
  <si>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</si>
  <si>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</si>
  <si>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</si>
  <si>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</si>
  <si>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</si>
  <si>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</si>
  <si>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</si>
  <si>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</si>
  <si>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</si>
  <si>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</si>
  <si>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</si>
  <si>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</si>
  <si>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</si>
  <si>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</si>
  <si>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</si>
  <si>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</si>
  <si>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</si>
  <si>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</si>
  <si>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</si>
  <si>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</si>
  <si>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</si>
  <si>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</si>
  <si>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</si>
  <si>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</si>
  <si>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</si>
  <si>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</si>
  <si>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</si>
  <si>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</si>
  <si>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</si>
  <si>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</si>
  <si>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</si>
  <si>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</si>
  <si>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</si>
  <si>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</si>
  <si>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</si>
  <si>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</si>
  <si>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</si>
  <si>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</si>
  <si>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</si>
  <si>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</si>
  <si>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</si>
  <si>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</si>
  <si>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</si>
  <si>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</si>
  <si>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</si>
  <si>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</si>
  <si>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</si>
  <si>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</si>
  <si>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</si>
  <si>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</si>
  <si>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</si>
  <si>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</si>
  <si>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</si>
  <si>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</si>
  <si>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</si>
  <si>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</si>
  <si>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</si>
  <si>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</si>
  <si>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</si>
  <si>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</si>
  <si>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</si>
  <si>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</si>
  <si>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</si>
  <si>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</si>
  <si>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</si>
  <si>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</si>
  <si>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</si>
  <si>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</si>
  <si>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</si>
  <si>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</si>
  <si>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</si>
  <si>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</si>
  <si>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</si>
  <si>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</si>
  <si>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</si>
  <si>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</si>
  <si>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</si>
  <si>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</si>
  <si>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</si>
  <si>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</si>
  <si>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</si>
  <si>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</si>
  <si>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</si>
  <si>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</si>
  <si>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</si>
  <si>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</si>
  <si>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</si>
  <si>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</si>
  <si>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</si>
  <si>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</si>
  <si>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</si>
  <si>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</si>
  <si>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</si>
  <si>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</si>
  <si>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</si>
  <si>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</si>
  <si>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</si>
  <si>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</si>
  <si>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</si>
  <si>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</si>
  <si>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</si>
  <si>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</si>
  <si>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</si>
  <si>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</si>
  <si>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</si>
  <si>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</si>
  <si>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</si>
  <si>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</si>
  <si>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</si>
  <si>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</si>
  <si>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</si>
  <si>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</si>
  <si>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</si>
  <si>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</si>
  <si>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</si>
  <si>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</si>
  <si>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</si>
  <si>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</si>
  <si>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</si>
  <si>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</si>
  <si>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</si>
  <si>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</si>
  <si>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</si>
  <si>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</si>
  <si>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</si>
  <si>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</si>
  <si>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</si>
  <si>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</si>
  <si>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</si>
  <si>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</si>
  <si>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</si>
  <si>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</si>
  <si>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</si>
  <si>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</si>
  <si>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</si>
  <si>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</si>
  <si>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</si>
  <si>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</si>
  <si>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</si>
  <si>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</si>
  <si>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</si>
  <si>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</si>
  <si>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</si>
  <si>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</si>
  <si>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</si>
  <si>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</si>
  <si>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</si>
  <si>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</si>
  <si>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</si>
  <si>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</si>
  <si>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</si>
  <si>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</si>
  <si>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</si>
  <si>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</si>
  <si>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</si>
  <si>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</si>
  <si>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</si>
  <si>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</si>
  <si>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</si>
  <si>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</si>
  <si>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</si>
  <si>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</si>
  <si>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</si>
  <si>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</si>
  <si>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</si>
  <si>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</si>
  <si>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</si>
  <si>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</si>
  <si>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</si>
  <si>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</si>
  <si>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</si>
  <si>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</si>
  <si>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</si>
  <si>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</si>
  <si>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</si>
  <si>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</si>
  <si>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</si>
  <si>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</si>
  <si>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</si>
  <si>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</si>
  <si>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</si>
  <si>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</si>
  <si>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</si>
  <si>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</si>
  <si>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</si>
  <si>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</si>
  <si>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</si>
  <si>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</si>
  <si>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</si>
  <si>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</si>
  <si>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</si>
  <si>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</si>
  <si>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</si>
  <si>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</si>
  <si>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</si>
  <si>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</si>
  <si>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</si>
  <si>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</si>
  <si>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</si>
  <si>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</si>
  <si>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</si>
  <si>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</si>
  <si>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</si>
  <si>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</si>
  <si>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</si>
  <si>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</si>
  <si>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</si>
  <si>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</si>
  <si>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</si>
  <si>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</si>
  <si>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</si>
  <si>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</si>
  <si>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</si>
  <si>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</si>
  <si>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</si>
  <si>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</si>
  <si>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</si>
  <si>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</si>
  <si>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</si>
  <si>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</si>
  <si>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</si>
  <si>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</si>
  <si>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</si>
  <si>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</si>
  <si>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</si>
  <si>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</si>
  <si>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</si>
  <si>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</si>
  <si>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</si>
  <si>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</si>
  <si>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</si>
  <si>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</si>
  <si>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</si>
  <si>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</si>
  <si>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</si>
  <si>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</si>
  <si>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</si>
  <si>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</si>
  <si>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</si>
  <si>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</si>
  <si>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</si>
  <si>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</si>
  <si>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</si>
  <si>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</si>
  <si>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</si>
  <si>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</si>
  <si>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</si>
  <si>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</si>
  <si>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</si>
  <si>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</si>
  <si>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</si>
  <si>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</si>
  <si>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</si>
  <si>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</si>
  <si>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</si>
  <si>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</si>
  <si>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</si>
  <si>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</si>
  <si>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</si>
  <si>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</si>
  <si>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</si>
  <si>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</si>
  <si>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</si>
  <si>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</si>
  <si>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</si>
  <si>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</si>
  <si>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</si>
  <si>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</si>
  <si>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</si>
  <si>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</si>
  <si>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</si>
  <si>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</si>
  <si>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</si>
  <si>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</si>
  <si>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</si>
  <si>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</si>
  <si>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</si>
  <si>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</si>
  <si>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</si>
  <si>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</si>
  <si>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</si>
  <si>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</si>
  <si>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</si>
  <si>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</si>
  <si>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</si>
  <si>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</si>
  <si>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</si>
  <si>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</si>
  <si>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</si>
  <si>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</si>
  <si>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</si>
  <si>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</si>
  <si>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</si>
  <si>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</si>
  <si>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</si>
  <si>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</si>
  <si>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</si>
  <si>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</si>
  <si>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</si>
  <si>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</si>
  <si>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</si>
  <si>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</si>
  <si>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</si>
  <si>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</si>
  <si>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</si>
  <si>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</si>
  <si>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</si>
  <si>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</si>
  <si>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</si>
  <si>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</si>
  <si>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</si>
  <si>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</si>
  <si>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</si>
  <si>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</si>
  <si>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</si>
  <si>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</si>
  <si>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</si>
  <si>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</si>
  <si>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</si>
  <si>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</si>
  <si>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</si>
  <si>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</si>
  <si>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</si>
  <si>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</si>
  <si>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</si>
  <si>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</si>
  <si>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</si>
  <si>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</si>
  <si>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</si>
  <si>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</si>
  <si>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</si>
  <si>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</si>
  <si>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</si>
  <si>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</si>
  <si>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</si>
  <si>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</si>
  <si>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</si>
  <si>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</si>
  <si>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</si>
  <si>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</si>
  <si>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</si>
  <si>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</si>
  <si>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</si>
  <si>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</si>
  <si>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</si>
  <si>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</si>
  <si>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</si>
  <si>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</si>
  <si>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</si>
  <si>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</si>
  <si>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</si>
  <si>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</si>
  <si>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</si>
  <si>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</si>
  <si>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</si>
  <si>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</si>
  <si>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</si>
  <si>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</si>
  <si>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</si>
  <si>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</si>
  <si>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</si>
  <si>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</si>
  <si>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</si>
  <si>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</si>
  <si>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</si>
  <si>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</si>
  <si>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</si>
  <si>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</si>
  <si>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</si>
  <si>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</si>
  <si>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</si>
  <si>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</si>
  <si>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</si>
  <si>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</si>
  <si>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</si>
  <si>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</si>
  <si>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</si>
  <si>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</si>
  <si>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</si>
  <si>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</si>
  <si>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</si>
  <si>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</si>
  <si>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</si>
  <si>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</si>
  <si>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</si>
  <si>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</si>
  <si>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</si>
  <si>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</si>
  <si>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</si>
  <si>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</si>
  <si>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</si>
  <si>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</si>
  <si>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</si>
  <si>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</si>
  <si>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</si>
  <si>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</si>
  <si>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</si>
  <si>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</si>
  <si>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</si>
  <si>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</si>
  <si>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</si>
  <si>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</si>
  <si>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</si>
  <si>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</si>
  <si>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</si>
  <si>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</si>
  <si>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</si>
  <si>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</si>
  <si>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</si>
  <si>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</si>
  <si>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</si>
  <si>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</si>
  <si>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</si>
  <si>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</si>
  <si>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</si>
  <si>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</si>
  <si>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</si>
  <si>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</si>
  <si>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</si>
  <si>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</si>
  <si>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</si>
  <si>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</si>
  <si>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</si>
  <si>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</si>
  <si>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</si>
  <si>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</si>
  <si>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</si>
  <si>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</si>
  <si>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</si>
  <si>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</si>
  <si>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</si>
  <si>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</si>
  <si>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</si>
  <si>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</si>
  <si>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</si>
  <si>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</si>
  <si>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</si>
  <si>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</si>
  <si>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</si>
  <si>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</si>
  <si>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</si>
  <si>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</si>
  <si>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</si>
  <si>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</si>
  <si>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</si>
  <si>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</si>
  <si>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</si>
  <si>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</si>
  <si>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</si>
  <si>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</si>
  <si>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</si>
  <si>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</si>
  <si>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</si>
  <si>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</si>
  <si>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</si>
  <si>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</si>
  <si>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</si>
  <si>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</si>
  <si>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</si>
  <si>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</si>
  <si>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</si>
  <si>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</si>
  <si>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</si>
  <si>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</si>
  <si>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</si>
  <si>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</si>
  <si>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</si>
  <si>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</si>
  <si>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</si>
  <si>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</si>
  <si>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</si>
  <si>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</si>
  <si>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</si>
  <si>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</si>
  <si>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</si>
  <si>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</si>
  <si>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</si>
  <si>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</si>
  <si>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</si>
  <si>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</si>
  <si>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</si>
  <si>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</si>
  <si>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</si>
  <si>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</si>
  <si>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</si>
  <si>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</si>
  <si>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</si>
  <si>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</si>
  <si>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</si>
  <si>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</si>
  <si>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</si>
  <si>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</si>
  <si>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</si>
  <si>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</si>
  <si>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</si>
  <si>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</si>
  <si>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</si>
  <si>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</si>
  <si>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</si>
  <si>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</si>
  <si>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</si>
  <si>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</si>
  <si>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</si>
  <si>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</si>
  <si>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</si>
  <si>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</si>
  <si>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</si>
  <si>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</si>
  <si>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</si>
  <si>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</si>
  <si>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</si>
  <si>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</si>
  <si>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</si>
  <si>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</si>
  <si>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</si>
  <si>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</si>
  <si>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</si>
  <si>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</si>
  <si>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</si>
  <si>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</si>
  <si>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</si>
  <si>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</si>
  <si>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</si>
  <si>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</si>
  <si>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</si>
  <si>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</si>
  <si>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</si>
  <si>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</si>
  <si>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</si>
  <si>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</si>
  <si>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</si>
  <si>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</si>
  <si>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</si>
  <si>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</si>
  <si>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</si>
  <si>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</si>
  <si>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</si>
  <si>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</si>
  <si>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</si>
  <si>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</si>
  <si>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</si>
  <si>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</si>
  <si>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</si>
  <si>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</si>
  <si>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</si>
  <si>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</si>
  <si>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</si>
  <si>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</si>
  <si>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</si>
  <si>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</si>
  <si>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</si>
  <si>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</si>
  <si>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</si>
  <si>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</si>
  <si>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</si>
  <si>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</si>
  <si>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</si>
  <si>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</si>
  <si>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</si>
  <si>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</si>
  <si>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</si>
  <si>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</si>
  <si>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</si>
  <si>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</si>
  <si>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</si>
  <si>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</si>
  <si>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</si>
  <si>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</si>
  <si>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</si>
  <si>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</si>
  <si>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</si>
  <si>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</si>
  <si>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</si>
  <si>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</si>
  <si>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</si>
  <si>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</si>
  <si>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</si>
  <si>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</si>
  <si>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</si>
  <si>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</si>
  <si>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</si>
  <si>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</si>
  <si>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</si>
  <si>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</si>
  <si>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</si>
  <si>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</si>
  <si>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</si>
  <si>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</si>
  <si>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</si>
  <si>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</si>
  <si>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</si>
  <si>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</si>
  <si>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</si>
  <si>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</si>
  <si>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</si>
  <si>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</si>
  <si>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</si>
  <si>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</si>
  <si>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</si>
  <si>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</si>
  <si>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</si>
  <si>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</si>
  <si>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</si>
  <si>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</si>
  <si>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</si>
  <si>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</si>
  <si>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</si>
  <si>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</si>
  <si>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</si>
  <si>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</si>
  <si>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</si>
  <si>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</si>
  <si>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</si>
  <si>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</si>
  <si>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</si>
  <si>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</si>
  <si>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</si>
  <si>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</si>
  <si>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</si>
  <si>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</si>
  <si>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</si>
  <si>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</si>
  <si>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</si>
  <si>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</si>
  <si>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</si>
  <si>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</si>
  <si>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</si>
  <si>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</si>
  <si>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</si>
  <si>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</si>
  <si>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</si>
  <si>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</si>
  <si>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</si>
  <si>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</si>
  <si>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</si>
  <si>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</si>
  <si>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</si>
  <si>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</si>
  <si>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</si>
  <si>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</si>
  <si>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</si>
  <si>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</si>
  <si>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</si>
  <si>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</si>
  <si>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</si>
  <si>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</si>
  <si>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</si>
  <si>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</si>
  <si>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</si>
  <si>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</si>
  <si>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</si>
  <si>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</si>
  <si>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</si>
  <si>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</si>
  <si>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</si>
  <si>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</si>
  <si>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</si>
  <si>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</si>
  <si>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</si>
  <si>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</si>
  <si>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</si>
  <si>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</si>
  <si>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</si>
  <si>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</si>
  <si>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</si>
  <si>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</si>
  <si>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</si>
  <si>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</si>
  <si>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</si>
  <si>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</si>
  <si>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</si>
  <si>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</si>
  <si>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</si>
  <si>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</si>
  <si>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</si>
  <si>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</si>
  <si>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</si>
  <si>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</si>
  <si>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</si>
  <si>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</si>
  <si>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</si>
  <si>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</si>
  <si>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</si>
  <si>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</si>
  <si>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</si>
  <si>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</si>
  <si>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</si>
  <si>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</si>
  <si>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</si>
  <si>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</si>
  <si>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</si>
  <si>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</si>
  <si>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</si>
  <si>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</si>
  <si>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</si>
  <si>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</si>
  <si>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</si>
  <si>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</si>
  <si>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</si>
  <si>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</si>
  <si>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</si>
  <si>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</si>
  <si>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</si>
  <si>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</si>
  <si>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</si>
  <si>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</si>
  <si>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</si>
  <si>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</si>
  <si>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</si>
  <si>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</si>
  <si>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</si>
  <si>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</si>
  <si>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</si>
  <si>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</si>
  <si>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</si>
  <si>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</si>
  <si>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</si>
  <si>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</si>
  <si>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</si>
  <si>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</si>
  <si>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</si>
  <si>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</si>
  <si>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</si>
  <si>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</si>
  <si>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</si>
  <si>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</si>
  <si>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</si>
  <si>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</si>
  <si>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</si>
  <si>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</si>
  <si>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</si>
  <si>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</si>
  <si>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</si>
  <si>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</si>
  <si>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</si>
  <si>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</si>
  <si>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</si>
  <si>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</si>
  <si>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</si>
  <si>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</si>
  <si>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</si>
  <si>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</si>
  <si>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</si>
  <si>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</si>
  <si>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</si>
  <si>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</si>
  <si>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</si>
  <si>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</si>
  <si>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</si>
  <si>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</si>
  <si>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</si>
  <si>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</si>
  <si>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</si>
  <si>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</si>
  <si>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</si>
  <si>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</si>
  <si>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</si>
  <si>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</si>
  <si>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</si>
  <si>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</si>
  <si>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</si>
  <si>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</si>
  <si>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</si>
  <si>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</si>
  <si>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</si>
  <si>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</si>
  <si>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</si>
  <si>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</si>
  <si>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</si>
  <si>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</si>
  <si>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</si>
  <si>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</si>
  <si>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</si>
  <si>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</si>
  <si>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</si>
  <si>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</si>
  <si>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</si>
  <si>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</si>
  <si>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</si>
  <si>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</si>
  <si>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</si>
  <si>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</si>
  <si>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</si>
  <si>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</si>
  <si>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</si>
  <si>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</si>
  <si>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</si>
  <si>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</si>
  <si>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</si>
  <si>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</si>
  <si>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</si>
  <si>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</si>
  <si>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</si>
  <si>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</si>
  <si>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</si>
  <si>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</si>
  <si>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</si>
  <si>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</si>
  <si>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</si>
  <si>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</si>
  <si>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</si>
  <si>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</si>
  <si>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</si>
  <si>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</si>
  <si>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</si>
  <si>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</si>
  <si>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</si>
  <si>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</si>
  <si>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</si>
  <si>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</si>
  <si>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</si>
  <si>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</si>
  <si>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</si>
  <si>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</si>
  <si>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</si>
  <si>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</si>
  <si>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</si>
  <si>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</si>
  <si>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</si>
  <si>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</si>
  <si>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</si>
  <si>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</si>
  <si>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</si>
  <si>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</si>
  <si>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</si>
  <si>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</si>
  <si>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</si>
  <si>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</si>
  <si>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</si>
  <si>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</si>
  <si>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</si>
  <si>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</si>
  <si>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</si>
  <si>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</si>
  <si>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</si>
  <si>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</si>
  <si>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</si>
  <si>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</si>
  <si>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</si>
  <si>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</si>
  <si>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</si>
  <si>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</si>
  <si>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</si>
  <si>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</si>
  <si>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</si>
  <si>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</si>
  <si>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</si>
  <si>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</si>
  <si>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</si>
  <si>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</si>
  <si>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</si>
  <si>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</si>
  <si>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</si>
  <si>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</si>
  <si>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</si>
  <si>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</si>
  <si>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</si>
  <si>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</si>
  <si>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</si>
  <si>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</si>
  <si>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</si>
  <si>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</si>
  <si>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</si>
  <si>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</si>
  <si>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</si>
  <si>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</si>
  <si>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</si>
  <si>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</si>
  <si>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</si>
  <si>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</si>
  <si>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</si>
  <si>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</si>
  <si>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</si>
  <si>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</si>
  <si>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</si>
  <si>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</si>
  <si>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</si>
  <si>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</si>
  <si>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</si>
  <si>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</si>
  <si>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</si>
  <si>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</si>
  <si>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</si>
  <si>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</si>
  <si>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</si>
  <si>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</si>
  <si>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</si>
  <si>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</si>
  <si>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</si>
  <si>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</si>
  <si>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</si>
  <si>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</si>
  <si>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</si>
  <si>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</si>
  <si>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</si>
  <si>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</si>
  <si>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</si>
  <si>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</si>
  <si>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</si>
  <si>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</si>
  <si>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</si>
  <si>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</si>
  <si>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</si>
  <si>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</si>
  <si>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</si>
  <si>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</si>
  <si>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</si>
  <si>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</si>
  <si>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</si>
  <si>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</si>
  <si>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</si>
  <si>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</si>
  <si>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</si>
  <si>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</si>
  <si>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</si>
  <si>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</si>
  <si>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</si>
  <si>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</si>
  <si>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</si>
  <si>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</si>
  <si>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</si>
  <si>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</si>
  <si>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</si>
  <si>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</si>
  <si>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</si>
  <si>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</si>
  <si>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</si>
  <si>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</si>
  <si>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</si>
  <si>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</si>
  <si>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</si>
  <si>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</si>
  <si>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</si>
  <si>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</si>
  <si>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</si>
  <si>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</si>
  <si>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</si>
  <si>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</si>
  <si>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</si>
  <si>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</si>
  <si>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</si>
  <si>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</si>
  <si>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</si>
  <si>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</si>
  <si>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</si>
  <si>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</si>
  <si>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</si>
  <si>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</si>
  <si>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</si>
  <si>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</si>
  <si>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</si>
  <si>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</si>
  <si>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</si>
  <si>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</si>
  <si>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</si>
  <si>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</si>
  <si>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</si>
  <si>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</si>
  <si>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</si>
  <si>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</si>
  <si>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</si>
  <si>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</si>
  <si>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</si>
  <si>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</si>
  <si>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</si>
  <si>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</si>
  <si>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</si>
  <si>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</si>
  <si>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</si>
  <si>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</si>
  <si>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</si>
  <si>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</si>
  <si>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</si>
  <si>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</si>
  <si>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</si>
  <si>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</si>
  <si>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</si>
  <si>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</si>
  <si>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</si>
  <si>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</si>
  <si>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</si>
  <si>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</si>
  <si>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</si>
  <si>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</si>
  <si>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</si>
  <si>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</si>
  <si>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</si>
  <si>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</si>
  <si>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</si>
  <si>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</si>
  <si>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</si>
  <si>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</si>
  <si>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</si>
  <si>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</si>
  <si>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</si>
  <si>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</si>
  <si>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</si>
  <si>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</si>
  <si>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</si>
  <si>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</si>
  <si>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</si>
  <si>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</si>
  <si>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</si>
  <si>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</si>
  <si>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</si>
  <si>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</si>
  <si>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</si>
  <si>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</si>
  <si>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</si>
  <si>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</si>
  <si>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</si>
  <si>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</si>
  <si>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</si>
  <si>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</si>
  <si>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</si>
  <si>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</si>
  <si>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</si>
  <si>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</si>
  <si>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</si>
  <si>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</si>
  <si>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</si>
  <si>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</si>
  <si>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</si>
  <si>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</si>
  <si>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</si>
  <si>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</si>
  <si>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</si>
  <si>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</si>
  <si>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</si>
  <si>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</si>
  <si>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</si>
  <si>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</si>
  <si>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</si>
  <si>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</si>
  <si>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</si>
  <si>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</si>
  <si>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</si>
  <si>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</si>
  <si>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</si>
  <si>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</si>
  <si>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</si>
  <si>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</si>
  <si>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</si>
  <si>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</si>
  <si>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</si>
  <si>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</si>
  <si>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</si>
  <si>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</si>
  <si>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</si>
  <si>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</si>
  <si>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</si>
  <si>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</si>
  <si>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</si>
  <si>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</si>
  <si>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</si>
  <si>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</si>
  <si>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</si>
  <si>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</si>
  <si>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</si>
  <si>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</si>
  <si>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</si>
  <si>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</si>
  <si>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</si>
  <si>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</si>
  <si>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</si>
  <si>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</si>
  <si>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</si>
  <si>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</si>
  <si>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</si>
  <si>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</si>
  <si>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</si>
  <si>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</si>
  <si>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</si>
  <si>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</si>
  <si>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</si>
  <si>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</si>
  <si>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</si>
  <si>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</si>
  <si>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</si>
  <si>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</si>
  <si>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</si>
  <si>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</si>
  <si>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</si>
  <si>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</si>
  <si>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</si>
  <si>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</si>
  <si>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</si>
  <si>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</si>
  <si>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</si>
  <si>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</si>
  <si>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</si>
  <si>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</si>
  <si>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</si>
  <si>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</si>
  <si>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</si>
  <si>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</si>
  <si>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</si>
  <si>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</si>
  <si>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</si>
  <si>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</si>
  <si>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</si>
  <si>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</si>
  <si>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</si>
  <si>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</si>
  <si>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</si>
  <si>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</si>
  <si>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</si>
  <si>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</si>
  <si>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</si>
  <si>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</si>
  <si>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</si>
  <si>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</si>
  <si>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</si>
  <si>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</si>
  <si>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</si>
  <si>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</si>
  <si>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</si>
  <si>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</si>
  <si>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</si>
  <si>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</si>
  <si>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</si>
  <si>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</si>
  <si>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</si>
  <si>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</si>
  <si>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</si>
  <si>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</si>
  <si>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</si>
  <si>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</si>
  <si>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</si>
  <si>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</si>
  <si>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</si>
  <si>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</si>
  <si>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</si>
  <si>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</si>
  <si>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</si>
  <si>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</si>
  <si>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</si>
  <si>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</si>
  <si>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</si>
  <si>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</si>
  <si>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</si>
  <si>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</si>
  <si>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</si>
  <si>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</si>
  <si>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</si>
  <si>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</si>
  <si>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</si>
  <si>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</si>
  <si>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</si>
  <si>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</si>
  <si>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</si>
  <si>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</si>
  <si>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</si>
  <si>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</si>
  <si>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</si>
  <si>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</si>
  <si>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</si>
  <si>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</si>
  <si>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</si>
  <si>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</si>
  <si>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</si>
  <si>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</si>
  <si>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</si>
  <si>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</si>
  <si>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</si>
  <si>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</si>
  <si>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</si>
  <si>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</si>
  <si>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</si>
  <si>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</si>
  <si>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</si>
  <si>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</si>
  <si>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</si>
  <si>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</si>
  <si>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</si>
  <si>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</si>
  <si>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</si>
  <si>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</si>
  <si>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</si>
  <si>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</si>
  <si>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</si>
  <si>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</si>
  <si>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</si>
  <si>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</si>
  <si>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</si>
  <si>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</si>
  <si>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</si>
  <si>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</si>
  <si>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</si>
  <si>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</si>
  <si>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</si>
  <si>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</si>
  <si>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</si>
  <si>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</si>
  <si>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</si>
  <si>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</si>
  <si>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</si>
  <si>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</si>
  <si>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</si>
  <si>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</si>
  <si>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</si>
  <si>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</si>
  <si>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</si>
  <si>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</si>
  <si>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</si>
  <si>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</si>
  <si>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</si>
  <si>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</si>
  <si>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</si>
  <si>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</si>
  <si>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</si>
  <si>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</si>
  <si>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</si>
  <si>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</si>
  <si>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</si>
  <si>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</si>
  <si>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</si>
  <si>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</si>
  <si>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</si>
  <si>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</si>
  <si>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</si>
  <si>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</si>
  <si>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</si>
  <si>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</si>
  <si>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</si>
  <si>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</si>
  <si>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</si>
  <si>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</si>
  <si>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</si>
  <si>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</si>
  <si>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</si>
  <si>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</si>
  <si>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</si>
  <si>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</si>
  <si>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</si>
  <si>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</si>
  <si>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</si>
  <si>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</si>
  <si>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</si>
  <si>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</si>
  <si>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</si>
  <si>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</si>
  <si>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</si>
  <si>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</si>
  <si>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</si>
  <si>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</si>
  <si>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</si>
  <si>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</si>
  <si>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</si>
  <si>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</si>
  <si>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</si>
  <si>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</si>
  <si>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</si>
  <si>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</si>
  <si>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</si>
  <si>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</si>
  <si>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</si>
  <si>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</si>
  <si>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</si>
  <si>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</si>
  <si>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</si>
  <si>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</si>
  <si>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</si>
  <si>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</si>
  <si>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</si>
  <si>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</si>
  <si>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</si>
  <si>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</si>
  <si>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</si>
  <si>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</si>
  <si>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</si>
  <si>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</si>
  <si>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</si>
  <si>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</si>
  <si>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</si>
  <si>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</si>
  <si>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</si>
  <si>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</si>
  <si>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</si>
  <si>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</si>
  <si>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</si>
  <si>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</si>
  <si>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</si>
  <si>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</si>
  <si>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</si>
  <si>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</si>
  <si>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</si>
  <si>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</si>
  <si>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</si>
  <si>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</si>
  <si>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</si>
  <si>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</si>
  <si>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</si>
  <si>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</si>
  <si>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</si>
  <si>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</si>
  <si>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</si>
  <si>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</si>
  <si>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</si>
  <si>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</si>
  <si>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</si>
  <si>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</si>
  <si>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</si>
  <si>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</si>
  <si>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</si>
  <si>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</si>
  <si>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</si>
  <si>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</si>
  <si>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</si>
  <si>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</si>
  <si>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</si>
  <si>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</si>
  <si>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</si>
  <si>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</si>
  <si>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</si>
  <si>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</si>
  <si>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</si>
  <si>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</si>
  <si>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</si>
  <si>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</si>
  <si>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</si>
  <si>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</si>
  <si>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</si>
  <si>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</si>
  <si>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</si>
  <si>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</si>
  <si>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</si>
  <si>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</si>
  <si>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</si>
  <si>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</si>
  <si>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</si>
  <si>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</si>
  <si>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</si>
  <si>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</si>
  <si>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</si>
  <si>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</si>
  <si>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</si>
  <si>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</si>
  <si>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</si>
  <si>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</si>
  <si>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</si>
  <si>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</si>
  <si>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</si>
  <si>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</si>
  <si>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</si>
  <si>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</si>
  <si>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</si>
  <si>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</si>
  <si>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</si>
  <si>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</si>
  <si>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</si>
  <si>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</si>
  <si>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</si>
  <si>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</si>
  <si>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</si>
  <si>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</si>
  <si>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</si>
  <si>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</si>
  <si>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</si>
  <si>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</si>
  <si>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</si>
  <si>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</si>
  <si>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</si>
  <si>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</si>
  <si>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</si>
  <si>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</si>
  <si>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</si>
  <si>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</si>
  <si>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</si>
  <si>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</si>
  <si>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</si>
  <si>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</si>
  <si>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</si>
  <si>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</si>
  <si>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</si>
  <si>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</si>
  <si>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</si>
  <si>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</si>
  <si>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</si>
  <si>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</si>
  <si>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</si>
  <si>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</si>
  <si>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</si>
  <si>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</si>
  <si>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</si>
  <si>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</si>
  <si>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</si>
  <si>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</si>
  <si>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</si>
  <si>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</si>
  <si>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</si>
  <si>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</si>
  <si>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</si>
  <si>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</si>
  <si>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</si>
  <si>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</si>
  <si>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</si>
  <si>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</si>
  <si>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</si>
  <si>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</si>
  <si>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</si>
  <si>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</si>
  <si>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</si>
  <si>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</si>
  <si>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</si>
  <si>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</si>
  <si>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</si>
  <si>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</si>
  <si>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</si>
  <si>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</si>
  <si>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</si>
  <si>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</si>
  <si>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</si>
  <si>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</si>
  <si>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</si>
  <si>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</si>
  <si>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</si>
  <si>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</si>
  <si>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</si>
  <si>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</si>
  <si>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</si>
  <si>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</si>
  <si>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</si>
  <si>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</si>
  <si>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</si>
  <si>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</si>
  <si>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</si>
  <si>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</si>
  <si>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</si>
  <si>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</si>
  <si>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</si>
  <si>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</si>
  <si>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</si>
  <si>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</si>
  <si>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</si>
  <si>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</si>
  <si>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</si>
  <si>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</si>
  <si>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</si>
  <si>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</si>
  <si>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</si>
  <si>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</si>
  <si>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</si>
  <si>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</si>
  <si>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</si>
  <si>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</si>
  <si>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</si>
  <si>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</si>
  <si>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</si>
  <si>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</si>
  <si>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</si>
  <si>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</si>
  <si>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</si>
  <si>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</si>
  <si>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</si>
  <si>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</si>
  <si>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</si>
  <si>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</si>
  <si>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</si>
  <si>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</si>
  <si>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</si>
  <si>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</si>
  <si>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</si>
  <si>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</si>
  <si>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</si>
  <si>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</si>
  <si>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</si>
  <si>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</si>
  <si>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</si>
  <si>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</si>
  <si>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</si>
  <si>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</si>
  <si>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</si>
  <si>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</si>
  <si>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</si>
  <si>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</si>
  <si>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</si>
  <si>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</si>
  <si>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</si>
  <si>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</si>
  <si>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</si>
  <si>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</si>
  <si>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</si>
  <si>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</si>
  <si>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</si>
  <si>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</si>
  <si>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</si>
  <si>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</si>
  <si>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</si>
  <si>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</si>
  <si>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</si>
  <si>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</si>
  <si>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</si>
  <si>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</si>
  <si>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</si>
  <si>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</si>
  <si>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</si>
  <si>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</si>
  <si>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</si>
  <si>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</si>
  <si>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</si>
  <si>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</si>
  <si>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</si>
  <si>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</si>
  <si>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</si>
  <si>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</si>
  <si>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</si>
  <si>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</si>
  <si>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</si>
  <si>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</si>
  <si>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</si>
  <si>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</si>
  <si>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</si>
  <si>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</si>
  <si>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</si>
  <si>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</si>
  <si>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</si>
  <si>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</si>
  <si>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</si>
  <si>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</si>
  <si>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</si>
  <si>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</si>
  <si>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</si>
  <si>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</si>
  <si>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</si>
  <si>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</si>
  <si>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</si>
  <si>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</si>
  <si>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</si>
  <si>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</si>
  <si>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</si>
  <si>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</si>
  <si>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</si>
  <si>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</si>
  <si>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</si>
  <si>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</si>
  <si>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</si>
  <si>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</si>
  <si>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</si>
  <si>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</si>
  <si>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</si>
  <si>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</si>
  <si>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</si>
  <si>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</si>
  <si>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</si>
  <si>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</si>
  <si>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</si>
  <si>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</si>
  <si>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</si>
  <si>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</si>
  <si>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</si>
  <si>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</si>
  <si>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</si>
  <si>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</si>
  <si>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</si>
  <si>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</si>
  <si>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</si>
  <si>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</si>
  <si>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</si>
  <si>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</si>
  <si>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</si>
  <si>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</si>
  <si>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</si>
  <si>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</si>
  <si>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</si>
  <si>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</si>
  <si>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</si>
  <si>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</si>
  <si>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</si>
  <si>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</si>
  <si>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</si>
  <si>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</si>
  <si>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</si>
  <si>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</si>
  <si>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</si>
  <si>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</si>
  <si>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</si>
  <si>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</si>
  <si>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</si>
  <si>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</si>
  <si>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</si>
  <si>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</si>
  <si>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</si>
  <si>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</si>
  <si>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</si>
  <si>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</si>
  <si>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</si>
  <si>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</si>
  <si>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</si>
  <si>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</si>
  <si>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</si>
  <si>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</si>
  <si>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</si>
  <si>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</si>
  <si>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</si>
  <si>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</si>
  <si>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</si>
  <si>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</si>
  <si>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</si>
  <si>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</si>
  <si>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</si>
  <si>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</si>
  <si>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</si>
  <si>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</si>
  <si>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</si>
  <si>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</si>
  <si>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</si>
  <si>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</si>
  <si>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</si>
  <si>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</si>
  <si>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</si>
  <si>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</si>
  <si>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</si>
  <si>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</si>
  <si>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</si>
  <si>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</si>
  <si>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</si>
  <si>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</si>
  <si>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</si>
  <si>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</si>
  <si>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</si>
  <si>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</si>
  <si>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</si>
  <si>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</si>
  <si>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</si>
  <si>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</si>
  <si>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</si>
  <si>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</si>
  <si>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</si>
  <si>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</si>
  <si>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</si>
  <si>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</si>
  <si>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</si>
  <si>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</si>
  <si>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</si>
  <si>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</si>
  <si>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</si>
  <si>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</si>
  <si>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</si>
  <si>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</si>
  <si>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</si>
  <si>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</si>
  <si>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</si>
  <si>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</si>
  <si>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</si>
  <si>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</si>
  <si>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</si>
  <si>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</si>
  <si>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</si>
  <si>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</si>
  <si>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</si>
  <si>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</si>
  <si>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</si>
  <si>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</si>
  <si>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</si>
  <si>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</si>
  <si>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</si>
  <si>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</si>
  <si>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</si>
  <si>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</si>
  <si>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</si>
  <si>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</si>
  <si>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</si>
  <si>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</si>
  <si>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</si>
  <si>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</si>
  <si>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</si>
  <si>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</si>
  <si>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</si>
  <si>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</si>
  <si>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</si>
  <si>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</si>
  <si>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</si>
  <si>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</si>
  <si>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</si>
  <si>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</si>
  <si>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</si>
  <si>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</si>
  <si>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</si>
  <si>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</si>
  <si>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</si>
  <si>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</si>
  <si>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</si>
  <si>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</si>
  <si>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</si>
  <si>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</si>
  <si>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</si>
  <si>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</si>
  <si>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</si>
  <si>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</si>
  <si>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</si>
  <si>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</si>
  <si>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</si>
  <si>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</si>
  <si>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</si>
  <si>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</si>
  <si>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</si>
  <si>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</si>
  <si>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</si>
  <si>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</si>
  <si>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</si>
  <si>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</si>
  <si>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</si>
  <si>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</si>
  <si>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</si>
  <si>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</si>
  <si>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</si>
  <si>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</si>
  <si>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</si>
  <si>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</si>
  <si>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</si>
  <si>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</si>
  <si>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</si>
  <si>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</si>
  <si>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</si>
  <si>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</si>
  <si>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</si>
  <si>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</si>
  <si>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</si>
  <si>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</si>
  <si>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</si>
  <si>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</si>
  <si>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</si>
  <si>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</si>
  <si>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</si>
  <si>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</si>
  <si>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</si>
  <si>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</si>
  <si>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</si>
  <si>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</si>
  <si>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</si>
  <si>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</si>
  <si>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</si>
  <si>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</si>
  <si>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</si>
  <si>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</si>
  <si>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</si>
  <si>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</si>
  <si>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</si>
  <si>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</si>
  <si>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</si>
  <si>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</si>
  <si>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</si>
  <si>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</si>
  <si>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</si>
  <si>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</si>
  <si>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</si>
  <si>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</si>
  <si>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</si>
  <si>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</si>
  <si>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</si>
  <si>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</si>
  <si>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</si>
  <si>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</si>
  <si>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</si>
  <si>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</si>
  <si>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</si>
  <si>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</si>
  <si>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</si>
  <si>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</si>
  <si>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</si>
  <si>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</si>
  <si>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</si>
  <si>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</si>
  <si>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</si>
  <si>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</si>
  <si>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</si>
  <si>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</si>
  <si>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</si>
  <si>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</si>
  <si>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</si>
  <si>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</si>
  <si>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</si>
  <si>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</si>
  <si>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</si>
  <si>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</si>
  <si>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</si>
  <si>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</si>
  <si>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</si>
  <si>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</si>
  <si>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</si>
  <si>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</si>
  <si>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</si>
  <si>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</si>
  <si>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</si>
  <si>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</si>
  <si>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</si>
  <si>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</si>
  <si>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</si>
  <si>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</si>
  <si>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</si>
  <si>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</si>
  <si>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</si>
  <si>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</si>
  <si>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</si>
  <si>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</si>
  <si>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</si>
  <si>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</si>
  <si>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</si>
  <si>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</si>
  <si>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</si>
  <si>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</si>
  <si>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</si>
  <si>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</si>
  <si>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</si>
  <si>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</si>
  <si>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</si>
  <si>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</si>
  <si>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</si>
  <si>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</si>
  <si>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</si>
  <si>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</si>
  <si>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</si>
  <si>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</si>
  <si>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</si>
  <si>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</si>
  <si>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</si>
  <si>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</si>
  <si>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</si>
  <si>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</si>
  <si>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</si>
  <si>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</si>
  <si>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</si>
  <si>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</si>
  <si>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</si>
  <si>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</si>
  <si>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</si>
  <si>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</si>
  <si>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</si>
  <si>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</si>
  <si>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</si>
  <si>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</si>
  <si>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</si>
  <si>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</si>
  <si>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</si>
  <si>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</si>
  <si>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</si>
  <si>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</si>
  <si>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</si>
  <si>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</si>
  <si>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</si>
  <si>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</si>
  <si>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</si>
  <si>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</si>
  <si>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</si>
  <si>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</si>
  <si>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</si>
  <si>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</si>
  <si>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</si>
  <si>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</si>
  <si>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</si>
  <si>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</si>
  <si>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</si>
  <si>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</si>
  <si>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</si>
  <si>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</si>
  <si>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</si>
  <si>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</si>
  <si>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</si>
  <si>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</si>
  <si>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</si>
  <si>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</si>
  <si>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</si>
  <si>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</si>
  <si>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</si>
  <si>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</si>
  <si>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</si>
  <si>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</si>
  <si>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</si>
  <si>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</si>
  <si>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</si>
  <si>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</si>
  <si>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</si>
  <si>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</si>
  <si>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</si>
  <si>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</si>
  <si>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</si>
  <si>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</si>
  <si>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</si>
  <si>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</si>
  <si>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</si>
  <si>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</si>
  <si>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</si>
  <si>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</si>
  <si>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</si>
  <si>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</si>
  <si>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</si>
  <si>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</si>
  <si>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</si>
  <si>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</si>
  <si>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</si>
  <si>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</si>
  <si>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</si>
  <si>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</si>
  <si>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</si>
  <si>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</si>
  <si>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</si>
  <si>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</si>
  <si>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</si>
  <si>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</si>
  <si>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</si>
  <si>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</si>
  <si>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</si>
  <si>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</si>
  <si>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</si>
  <si>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</si>
  <si>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</si>
  <si>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</si>
  <si>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</si>
  <si>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</si>
  <si>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</si>
  <si>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</si>
  <si>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</si>
  <si>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</si>
  <si>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</si>
  <si>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</si>
  <si>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</si>
  <si>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</si>
  <si>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</si>
  <si>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</si>
  <si>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</si>
  <si>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</si>
  <si>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</si>
  <si>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</si>
  <si>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</si>
  <si>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</si>
  <si>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</si>
  <si>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</si>
  <si>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</si>
  <si>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</si>
  <si>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</si>
  <si>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</si>
  <si>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</si>
  <si>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</si>
  <si>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</si>
  <si>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</si>
  <si>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</si>
  <si>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</si>
  <si>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</si>
  <si>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</si>
  <si>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</si>
  <si>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</si>
  <si>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</si>
  <si>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</si>
  <si>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</si>
  <si>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</si>
  <si>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</si>
  <si>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</si>
  <si>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</si>
  <si>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</si>
  <si>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</si>
  <si>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</si>
  <si>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</si>
  <si>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</si>
  <si>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</si>
  <si>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</si>
  <si>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</si>
  <si>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</si>
  <si>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</si>
  <si>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</si>
  <si>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</si>
  <si>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</si>
  <si>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</si>
  <si>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</si>
  <si>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</si>
  <si>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</si>
  <si>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</si>
  <si>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</si>
  <si>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</si>
  <si>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</si>
  <si>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</si>
  <si>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</si>
  <si>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</si>
  <si>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</si>
  <si>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</si>
  <si>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</si>
  <si>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</si>
  <si>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</si>
  <si>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</si>
  <si>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</si>
  <si>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</si>
  <si>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</si>
  <si>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</si>
  <si>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</si>
  <si>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</si>
  <si>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</si>
  <si>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</si>
  <si>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</si>
  <si>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</si>
  <si>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</si>
  <si>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</si>
  <si>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</si>
  <si>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</si>
  <si>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</si>
  <si>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</si>
  <si>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</si>
  <si>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</si>
  <si>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</si>
  <si>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</si>
  <si>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</si>
  <si>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</si>
  <si>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</si>
  <si>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</si>
  <si>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</si>
  <si>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</si>
  <si>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</si>
  <si>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</si>
  <si>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</si>
  <si>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</si>
  <si>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</si>
  <si>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</si>
  <si>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</si>
  <si>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</si>
  <si>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</si>
  <si>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</si>
  <si>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</si>
  <si>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</si>
  <si>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</si>
  <si>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</si>
  <si>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</si>
  <si>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</si>
  <si>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</si>
  <si>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</si>
  <si>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</si>
  <si>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</si>
  <si>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</si>
  <si>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</si>
  <si>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</si>
  <si>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</si>
  <si>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</si>
  <si>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</si>
  <si>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</si>
  <si>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</si>
  <si>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</si>
  <si>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</si>
  <si>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</si>
  <si>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</si>
  <si>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</si>
  <si>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</si>
  <si>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</si>
  <si>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</si>
  <si>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</si>
  <si>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</si>
  <si>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</si>
  <si>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</si>
  <si>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</si>
  <si>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</si>
  <si>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</si>
  <si>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</si>
  <si>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</si>
  <si>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</si>
  <si>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</si>
  <si>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</si>
  <si>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</si>
  <si>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</si>
  <si>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</si>
  <si>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</si>
  <si>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</si>
  <si>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</si>
  <si>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</si>
  <si>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</si>
  <si>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</si>
  <si>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</si>
  <si>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</si>
  <si>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</si>
  <si>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</si>
  <si>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</si>
  <si>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</si>
  <si>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</si>
  <si>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</si>
  <si>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</si>
  <si>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</si>
  <si>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</si>
  <si>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</si>
  <si>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</si>
  <si>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</si>
  <si>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</si>
  <si>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</si>
  <si>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</si>
  <si>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</si>
  <si>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</si>
  <si>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</si>
  <si>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</si>
  <si>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</si>
  <si>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</si>
  <si>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</si>
  <si>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</si>
  <si>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</si>
  <si>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</si>
  <si>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</si>
  <si>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</si>
  <si>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</si>
  <si>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</si>
  <si>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</si>
  <si>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</si>
  <si>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</si>
  <si>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</si>
  <si>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</si>
  <si>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</si>
  <si>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</si>
  <si>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</si>
  <si>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</si>
  <si>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</si>
  <si>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</si>
  <si>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</si>
  <si>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</si>
  <si>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</si>
  <si>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</si>
  <si>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</si>
  <si>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</si>
  <si>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</si>
  <si>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</si>
  <si>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</si>
  <si>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</si>
  <si>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</si>
  <si>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</si>
  <si>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</si>
  <si>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</si>
  <si>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</si>
  <si>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</si>
  <si>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</si>
  <si>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</si>
  <si>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</si>
  <si>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</si>
  <si>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</si>
  <si>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</si>
  <si>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</si>
  <si>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</si>
  <si>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</si>
  <si>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</si>
  <si>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</si>
  <si>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</si>
  <si>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</si>
  <si>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</si>
  <si>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</si>
  <si>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</si>
  <si>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</si>
  <si>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</si>
  <si>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</si>
  <si>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</si>
  <si>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</si>
  <si>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</si>
  <si>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</si>
  <si>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</si>
  <si>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</si>
  <si>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</si>
  <si>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</si>
  <si>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</si>
  <si>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</si>
  <si>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</si>
  <si>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</si>
  <si>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</si>
  <si>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</si>
  <si>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</si>
  <si>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</si>
  <si>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</si>
  <si>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</si>
  <si>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</si>
  <si>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</si>
  <si>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</si>
  <si>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</si>
  <si>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</si>
  <si>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</si>
  <si>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</si>
  <si>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</si>
  <si>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</si>
  <si>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</si>
  <si>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</si>
  <si>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</si>
  <si>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</si>
  <si>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</si>
  <si>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</si>
  <si>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</si>
  <si>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</si>
  <si>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</si>
  <si>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</si>
  <si>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</si>
  <si>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</si>
  <si>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</si>
  <si>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</si>
  <si>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</si>
  <si>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</si>
  <si>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</si>
  <si>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</si>
  <si>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</si>
  <si>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</si>
  <si>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</si>
  <si>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</si>
  <si>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</si>
  <si>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</si>
  <si>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</si>
  <si>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</si>
  <si>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</si>
  <si>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</si>
  <si>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</si>
  <si>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</si>
  <si>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</si>
  <si>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</si>
  <si>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</si>
  <si>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</si>
  <si>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</si>
  <si>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</si>
  <si>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</si>
  <si>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</si>
  <si>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</si>
  <si>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</si>
  <si>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</si>
  <si>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</si>
  <si>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</si>
  <si>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</si>
  <si>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</si>
  <si>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</si>
  <si>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</si>
  <si>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</si>
  <si>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</si>
  <si>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</si>
  <si>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</si>
  <si>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</si>
  <si>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</si>
  <si>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</si>
  <si>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</si>
  <si>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</si>
  <si>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</si>
  <si>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</si>
  <si>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</si>
  <si>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</si>
  <si>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</si>
  <si>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</si>
  <si>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</si>
  <si>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</si>
  <si>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</si>
  <si>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</si>
  <si>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</si>
  <si>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</si>
  <si>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</si>
  <si>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</si>
  <si>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</si>
  <si>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</si>
  <si>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</si>
  <si>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</si>
  <si>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</si>
  <si>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</si>
  <si>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</si>
  <si>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</si>
  <si>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</si>
  <si>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</si>
  <si>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</si>
  <si>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</si>
  <si>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</si>
  <si>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</si>
  <si>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</si>
  <si>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</si>
  <si>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</si>
  <si>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</si>
  <si>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</si>
  <si>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</si>
  <si>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</si>
  <si>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</si>
  <si>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</si>
  <si>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</si>
  <si>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</si>
  <si>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</si>
  <si>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</si>
  <si>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</si>
  <si>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</si>
  <si>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</si>
  <si>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</si>
  <si>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</si>
  <si>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</si>
  <si>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</si>
  <si>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</si>
  <si>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</si>
  <si>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</si>
  <si>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</si>
  <si>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</si>
  <si>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</si>
  <si>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</si>
  <si>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</si>
  <si>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</si>
  <si>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</si>
  <si>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</si>
  <si>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</si>
  <si>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</si>
  <si>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</si>
  <si>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</si>
  <si>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</si>
  <si>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</si>
  <si>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</si>
  <si>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</si>
  <si>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</si>
  <si>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</si>
  <si>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</si>
  <si>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</si>
  <si>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</si>
  <si>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</si>
  <si>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</si>
  <si>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</si>
  <si>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</si>
  <si>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</si>
  <si>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</si>
  <si>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</si>
  <si>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</si>
  <si>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</si>
  <si>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</si>
  <si>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</si>
  <si>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</si>
  <si>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</si>
  <si>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</si>
  <si>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</si>
  <si>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</si>
  <si>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</si>
  <si>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</si>
  <si>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</si>
  <si>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</si>
  <si>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</si>
  <si>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</si>
  <si>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</si>
  <si>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</si>
  <si>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</si>
  <si>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</si>
  <si>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</si>
  <si>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</si>
  <si>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</si>
  <si>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</si>
  <si>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</si>
  <si>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</si>
  <si>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</si>
  <si>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</si>
  <si>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</si>
  <si>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</si>
  <si>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</si>
  <si>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</si>
  <si>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</si>
  <si>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</si>
  <si>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</si>
  <si>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</si>
  <si>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</si>
  <si>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</si>
  <si>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</si>
  <si>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</si>
  <si>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</si>
  <si>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</si>
  <si>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</si>
  <si>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</si>
  <si>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</si>
  <si>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</si>
  <si>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</si>
  <si>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</si>
  <si>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</si>
  <si>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</si>
  <si>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</si>
  <si>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</si>
  <si>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</si>
  <si>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</si>
  <si>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</si>
  <si>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</si>
  <si>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</si>
  <si>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</si>
  <si>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</si>
  <si>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</si>
  <si>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</si>
  <si>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</si>
  <si>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</si>
  <si>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</si>
  <si>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</si>
  <si>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</si>
  <si>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</si>
  <si>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</si>
  <si>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</si>
  <si>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</si>
  <si>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</si>
  <si>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</si>
  <si>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</si>
  <si>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</si>
  <si>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</si>
  <si>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</si>
  <si>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</si>
  <si>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</si>
  <si>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</si>
  <si>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</si>
  <si>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</si>
  <si>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</si>
  <si>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</si>
  <si>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</si>
  <si>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</si>
  <si>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</si>
  <si>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</si>
  <si>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</si>
  <si>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</si>
  <si>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</si>
  <si>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</si>
  <si>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</si>
  <si>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</si>
  <si>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</si>
  <si>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</si>
  <si>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</si>
  <si>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</si>
  <si>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</si>
  <si>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</si>
  <si>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</si>
  <si>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</si>
  <si>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</si>
  <si>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</si>
  <si>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</si>
  <si>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</si>
  <si>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</si>
  <si>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</si>
  <si>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</si>
  <si>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</si>
  <si>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</si>
  <si>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</si>
  <si>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</si>
  <si>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</si>
  <si>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</si>
  <si>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</si>
  <si>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</si>
  <si>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</si>
  <si>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</si>
  <si>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</si>
  <si>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</si>
  <si>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</si>
  <si>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</si>
  <si>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</si>
  <si>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</si>
  <si>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</si>
  <si>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</si>
  <si>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</si>
  <si>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</si>
  <si>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</si>
  <si>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</si>
  <si>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</si>
  <si>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</si>
  <si>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</si>
  <si>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</si>
  <si>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</si>
  <si>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</si>
  <si>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</si>
  <si>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</si>
  <si>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</si>
  <si>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</si>
  <si>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</si>
  <si>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</si>
  <si>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</si>
  <si>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</si>
  <si>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</si>
  <si>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</si>
  <si>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</si>
  <si>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</si>
  <si>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</si>
  <si>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</si>
  <si>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</si>
  <si>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</si>
  <si>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</si>
  <si>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</si>
  <si>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</si>
  <si>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</si>
  <si>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</si>
  <si>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</si>
  <si>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</si>
  <si>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</si>
  <si>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</si>
  <si>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</si>
  <si>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</si>
  <si>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</si>
  <si>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</si>
  <si>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</si>
  <si>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</si>
  <si>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</si>
  <si>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</si>
  <si>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</si>
  <si>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</si>
  <si>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</si>
  <si>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</si>
  <si>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</si>
  <si>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</si>
  <si>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</si>
  <si>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</si>
  <si>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</si>
  <si>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</si>
  <si>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</si>
  <si>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</si>
  <si>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</si>
  <si>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</si>
  <si>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</si>
  <si>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</si>
  <si>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</si>
  <si>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</si>
  <si>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</si>
  <si>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</si>
  <si>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</si>
  <si>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</si>
  <si>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</si>
  <si>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</si>
  <si>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</si>
  <si>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</si>
  <si>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</si>
  <si>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</si>
  <si>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</si>
  <si>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</si>
  <si>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</si>
  <si>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</si>
  <si>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</si>
  <si>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</si>
  <si>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</si>
  <si>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</si>
  <si>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</si>
  <si>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</si>
  <si>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</si>
  <si>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</si>
  <si>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</si>
  <si>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</si>
  <si>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</si>
  <si>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</si>
  <si>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</si>
  <si>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</si>
  <si>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</si>
  <si>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</si>
  <si>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</si>
  <si>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</si>
  <si>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</si>
  <si>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</si>
  <si>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</si>
  <si>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</si>
  <si>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</si>
  <si>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</si>
  <si>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</si>
  <si>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</si>
  <si>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</si>
  <si>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</si>
  <si>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</si>
  <si>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</si>
  <si>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</si>
  <si>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</si>
  <si>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</si>
  <si>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</si>
  <si>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</si>
  <si>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</si>
  <si>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</si>
  <si>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</si>
  <si>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</si>
  <si>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</si>
  <si>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</si>
  <si>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</si>
  <si>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</si>
  <si>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</si>
  <si>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</si>
  <si>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</si>
  <si>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</si>
  <si>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</si>
  <si>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</si>
  <si>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</si>
  <si>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</si>
  <si>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</si>
  <si>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</si>
  <si>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</si>
  <si>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</si>
  <si>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</si>
  <si>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</si>
  <si>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</si>
  <si>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</si>
  <si>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</si>
  <si>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</si>
  <si>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</si>
  <si>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</si>
  <si>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</si>
  <si>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</si>
  <si>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</si>
  <si>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</si>
  <si>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</si>
  <si>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</si>
  <si>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</si>
  <si>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</si>
  <si>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</si>
  <si>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</si>
  <si>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</si>
  <si>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</si>
  <si>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</si>
  <si>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</si>
  <si>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</si>
  <si>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</si>
  <si>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</si>
  <si>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</si>
  <si>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</si>
  <si>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</si>
  <si>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</si>
  <si>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</si>
  <si>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</si>
  <si>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</si>
  <si>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</si>
  <si>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</si>
  <si>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</si>
  <si>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</si>
  <si>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</si>
  <si>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</si>
  <si>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</si>
  <si>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</si>
  <si>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</si>
  <si>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</si>
  <si>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</si>
  <si>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</si>
  <si>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</si>
  <si>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</si>
  <si>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</si>
  <si>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</si>
  <si>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</si>
  <si>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</si>
  <si>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</si>
  <si>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</si>
  <si>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</si>
  <si>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</si>
  <si>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</si>
  <si>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</si>
  <si>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</si>
  <si>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</si>
  <si>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</si>
  <si>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</si>
  <si>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</si>
  <si>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</si>
  <si>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</si>
  <si>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</si>
  <si>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</si>
  <si>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</si>
  <si>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</si>
  <si>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</si>
  <si>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</si>
  <si>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</si>
  <si>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</si>
  <si>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</si>
  <si>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</si>
  <si>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</si>
  <si>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</si>
  <si>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</si>
  <si>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</si>
  <si>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</si>
  <si>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</si>
  <si>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</si>
  <si>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</si>
  <si>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</si>
  <si>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</si>
  <si>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</si>
  <si>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</si>
  <si>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</si>
  <si>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</si>
  <si>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</si>
  <si>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</si>
  <si>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</si>
  <si>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</si>
  <si>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</si>
  <si>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</si>
  <si>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</si>
  <si>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</si>
  <si>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</si>
  <si>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</si>
  <si>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</si>
  <si>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</si>
  <si>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</si>
  <si>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</si>
  <si>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</si>
  <si>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</si>
  <si>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</si>
  <si>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</si>
  <si>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</si>
  <si>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</si>
  <si>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</si>
  <si>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</si>
  <si>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</si>
  <si>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</si>
  <si>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</si>
  <si>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</si>
  <si>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</si>
  <si>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</si>
  <si>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</si>
  <si>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</si>
  <si>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</si>
  <si>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</si>
  <si>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</si>
  <si>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</si>
  <si>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</si>
  <si>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</si>
  <si>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</si>
  <si>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</si>
  <si>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</si>
  <si>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</si>
  <si>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</si>
  <si>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</si>
  <si>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</si>
  <si>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</si>
  <si>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</si>
  <si>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</si>
  <si>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</si>
  <si>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</si>
  <si>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</si>
  <si>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</si>
  <si>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</si>
  <si>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</si>
  <si>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</si>
  <si>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</si>
  <si>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</si>
  <si>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</si>
  <si>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</si>
  <si>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</si>
  <si>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</si>
  <si>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</si>
  <si>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</si>
  <si>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</si>
  <si>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</si>
  <si>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</si>
  <si>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</si>
  <si>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</si>
  <si>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</si>
  <si>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</si>
  <si>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</si>
  <si>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</si>
  <si>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</si>
  <si>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</si>
  <si>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</si>
  <si>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</si>
  <si>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</si>
  <si>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</si>
  <si>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</si>
  <si>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</si>
  <si>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</si>
  <si>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</si>
  <si>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</si>
  <si>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</si>
  <si>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</si>
  <si>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</si>
  <si>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</si>
  <si>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</si>
  <si>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</si>
  <si>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</si>
  <si>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</si>
  <si>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</si>
  <si>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</si>
  <si>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</si>
  <si>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</si>
  <si>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</si>
  <si>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</si>
  <si>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</si>
  <si>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</si>
  <si>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</si>
  <si>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</si>
  <si>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</si>
  <si>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</si>
  <si>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</si>
  <si>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</si>
  <si>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</si>
  <si>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</si>
  <si>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</si>
  <si>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</si>
  <si>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</si>
  <si>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</si>
  <si>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</si>
  <si>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</si>
  <si>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</si>
  <si>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</si>
  <si>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</si>
  <si>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</si>
  <si>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</si>
  <si>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</si>
  <si>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</si>
  <si>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</si>
  <si>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</si>
  <si>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</si>
  <si>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</si>
  <si>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</si>
  <si>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</si>
  <si>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</si>
  <si>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</si>
  <si>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</si>
  <si>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</si>
  <si>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</si>
  <si>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</si>
  <si>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</si>
  <si>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</si>
  <si>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</si>
  <si>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</si>
  <si>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</si>
  <si>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</si>
  <si>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</si>
  <si>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</si>
  <si>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</si>
  <si>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</si>
  <si>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</si>
  <si>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</si>
  <si>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</si>
  <si>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</si>
  <si>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</si>
  <si>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</si>
  <si>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</si>
  <si>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</si>
  <si>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</si>
  <si>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</si>
  <si>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</si>
  <si>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</si>
  <si>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</si>
  <si>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</si>
  <si>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</si>
  <si>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</si>
  <si>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</si>
  <si>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</si>
  <si>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</si>
  <si>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</si>
  <si>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</si>
  <si>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</si>
  <si>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</si>
  <si>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</si>
  <si>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</si>
  <si>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</si>
  <si>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</si>
  <si>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</si>
  <si>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</si>
  <si>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</si>
  <si>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</si>
  <si>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</si>
  <si>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</si>
  <si>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</si>
  <si>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</si>
  <si>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</si>
  <si>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</si>
  <si>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</si>
  <si>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</si>
  <si>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</si>
  <si>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</si>
  <si>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</si>
  <si>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</si>
  <si>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</si>
  <si>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</si>
  <si>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</si>
  <si>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</si>
  <si>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</si>
  <si>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</si>
  <si>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</si>
  <si>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</si>
  <si>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</si>
  <si>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</si>
  <si>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</si>
  <si>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</si>
  <si>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</si>
  <si>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</si>
  <si>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</si>
  <si>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</si>
  <si>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</si>
  <si>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</si>
  <si>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</si>
  <si>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</si>
  <si>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</si>
  <si>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</si>
  <si>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</si>
  <si>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</si>
  <si>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</si>
  <si>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</si>
  <si>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</si>
  <si>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</si>
  <si>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</si>
  <si>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</si>
  <si>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</si>
  <si>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</si>
  <si>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</si>
  <si>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</si>
  <si>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</si>
  <si>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</si>
  <si>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</si>
  <si>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</si>
  <si>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</si>
  <si>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</si>
  <si>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</si>
  <si>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</si>
  <si>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</si>
  <si>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</si>
  <si>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</si>
  <si>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</si>
  <si>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</si>
  <si>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</si>
  <si>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</si>
  <si>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</si>
  <si>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</si>
  <si>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</si>
  <si>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</si>
  <si>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</si>
  <si>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</si>
  <si>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</si>
  <si>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</si>
  <si>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</si>
  <si>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</si>
  <si>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</si>
  <si>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</si>
  <si>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</si>
  <si>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</si>
  <si>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</si>
  <si>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</si>
  <si>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</si>
  <si>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</si>
  <si>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</si>
  <si>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</si>
  <si>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</si>
  <si>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</si>
  <si>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</si>
  <si>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</si>
  <si>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</si>
  <si>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</si>
  <si>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</si>
  <si>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</si>
  <si>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</si>
  <si>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</si>
  <si>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</si>
  <si>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</si>
  <si>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</si>
  <si>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</si>
  <si>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</si>
  <si>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</si>
  <si>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</si>
  <si>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</si>
  <si>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</si>
  <si>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</si>
  <si>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</si>
  <si>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</si>
  <si>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</si>
  <si>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</si>
  <si>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</si>
  <si>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</si>
  <si>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</si>
  <si>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</si>
  <si>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</si>
  <si>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</si>
  <si>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</si>
  <si>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</si>
  <si>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</si>
  <si>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</si>
  <si>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</si>
  <si>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</si>
  <si>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</si>
  <si>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</si>
  <si>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</si>
  <si>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</si>
  <si>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</si>
  <si>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</si>
  <si>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</si>
  <si>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</si>
  <si>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</si>
  <si>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</si>
  <si>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</si>
  <si>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</si>
  <si>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</si>
  <si>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</si>
  <si>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</si>
  <si>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</si>
  <si>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</si>
  <si>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</si>
  <si>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</si>
  <si>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</si>
  <si>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</si>
  <si>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</si>
  <si>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</si>
  <si>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</si>
  <si>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</si>
  <si>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</si>
  <si>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</si>
  <si>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</si>
  <si>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</si>
  <si>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</si>
  <si>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</si>
  <si>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</si>
  <si>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</si>
  <si>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</si>
  <si>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</si>
  <si>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</si>
  <si>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</si>
  <si>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</si>
  <si>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</si>
  <si>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</si>
  <si>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</si>
  <si>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</si>
  <si>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</si>
  <si>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</si>
  <si>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</si>
  <si>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</si>
  <si>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</si>
  <si>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</si>
  <si>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</si>
  <si>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</si>
  <si>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</si>
  <si>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</si>
  <si>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</si>
  <si>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</si>
  <si>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</si>
  <si>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</si>
  <si>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</si>
  <si>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</si>
  <si>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</si>
  <si>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</si>
  <si>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</si>
  <si>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</si>
  <si>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</si>
  <si>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</si>
  <si>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</si>
  <si>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</si>
  <si>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</si>
  <si>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</si>
  <si>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</si>
  <si>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</si>
  <si>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</si>
  <si>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</si>
  <si>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</si>
  <si>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</si>
  <si>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</si>
  <si>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</si>
  <si>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</si>
  <si>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</si>
  <si>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</si>
  <si>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</si>
  <si>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</si>
  <si>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</si>
  <si>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</si>
  <si>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</si>
  <si>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</si>
  <si>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</si>
  <si>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</si>
  <si>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</si>
  <si>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</si>
  <si>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</si>
  <si>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</si>
  <si>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</si>
  <si>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</si>
  <si>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</si>
  <si>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</si>
  <si>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</si>
  <si>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</si>
  <si>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</si>
  <si>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</si>
  <si>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</si>
  <si>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</si>
  <si>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</si>
  <si>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</si>
  <si>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</si>
  <si>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</si>
  <si>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</si>
  <si>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</si>
  <si>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</si>
  <si>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</si>
  <si>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</si>
  <si>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</si>
  <si>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</si>
  <si>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</si>
  <si>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</si>
  <si>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</si>
  <si>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</si>
  <si>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</si>
  <si>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</si>
  <si>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</si>
  <si>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</si>
  <si>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</si>
  <si>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</si>
  <si>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</si>
  <si>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</si>
  <si>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</si>
  <si>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</si>
  <si>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</si>
  <si>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</si>
  <si>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</si>
  <si>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</si>
  <si>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</si>
  <si>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</si>
  <si>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</si>
  <si>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</si>
  <si>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</si>
  <si>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</si>
  <si>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</si>
  <si>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</si>
  <si>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</si>
  <si>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</si>
  <si>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</si>
  <si>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</si>
  <si>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</si>
  <si>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</si>
  <si>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</si>
  <si>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</si>
  <si>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</si>
  <si>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</si>
  <si>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</si>
  <si>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</si>
  <si>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</si>
  <si>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</si>
  <si>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</si>
  <si>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</si>
  <si>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</si>
  <si>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</si>
  <si>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</si>
  <si>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</si>
  <si>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</si>
  <si>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</si>
  <si>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</si>
  <si>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</si>
  <si>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</si>
  <si>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</si>
  <si>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</si>
  <si>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</si>
  <si>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</si>
  <si>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</si>
  <si>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</si>
  <si>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</si>
  <si>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</si>
  <si>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</si>
  <si>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</si>
  <si>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</si>
  <si>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</si>
  <si>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</si>
  <si>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</si>
  <si>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</si>
  <si>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</si>
  <si>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</si>
  <si>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</si>
  <si>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</si>
  <si>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</si>
  <si>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</si>
  <si>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</si>
  <si>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</si>
  <si>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</si>
  <si>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</si>
  <si>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</si>
  <si>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</si>
  <si>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</si>
  <si>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</si>
  <si>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</si>
  <si>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</si>
  <si>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</si>
  <si>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</si>
  <si>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</si>
  <si>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</si>
  <si>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</si>
  <si>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</si>
  <si>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</si>
  <si>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</si>
  <si>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</si>
  <si>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</si>
  <si>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</si>
  <si>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</si>
  <si>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</si>
  <si>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</si>
  <si>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</si>
  <si>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</si>
  <si>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</si>
  <si>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</si>
  <si>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</si>
  <si>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</si>
  <si>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</si>
  <si>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</si>
  <si>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</si>
  <si>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</si>
  <si>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</si>
  <si>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</si>
  <si>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</si>
  <si>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</si>
  <si>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</si>
  <si>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</si>
  <si>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</si>
  <si>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</si>
  <si>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</si>
  <si>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</si>
  <si>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</si>
  <si>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</si>
  <si>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</si>
  <si>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</si>
  <si>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</si>
  <si>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</si>
  <si>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</si>
  <si>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</si>
  <si>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</si>
  <si>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</si>
  <si>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</si>
  <si>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</si>
  <si>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</si>
  <si>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</si>
  <si>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</si>
  <si>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</si>
  <si>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</si>
  <si>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</si>
  <si>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</si>
  <si>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</si>
  <si>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</si>
  <si>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</si>
  <si>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</si>
  <si>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</si>
  <si>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</si>
  <si>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</si>
  <si>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</si>
  <si>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</si>
  <si>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</si>
  <si>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</si>
  <si>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</si>
  <si>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</si>
  <si>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</si>
  <si>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</si>
  <si>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</si>
  <si>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</si>
  <si>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</si>
  <si>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</si>
  <si>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</si>
  <si>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</si>
  <si>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</si>
  <si>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</si>
  <si>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</si>
  <si>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</si>
  <si>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</si>
  <si>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</si>
  <si>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</si>
  <si>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</si>
  <si>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</si>
  <si>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</si>
  <si>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</si>
  <si>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</si>
  <si>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</si>
  <si>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</si>
  <si>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</si>
  <si>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</si>
  <si>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</si>
  <si>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</si>
  <si>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</si>
  <si>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</si>
  <si>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</si>
  <si>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</si>
  <si>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</si>
  <si>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</si>
  <si>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</si>
  <si>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</si>
  <si>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</si>
  <si>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</si>
  <si>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</si>
  <si>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</si>
  <si>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</si>
  <si>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</si>
  <si>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</si>
  <si>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</si>
  <si>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</si>
  <si>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</si>
  <si>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</si>
  <si>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</si>
  <si>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</si>
  <si>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</si>
  <si>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</si>
  <si>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</si>
  <si>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</si>
  <si>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</si>
  <si>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</si>
  <si>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</si>
  <si>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</si>
  <si>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</si>
  <si>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</si>
  <si>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</si>
  <si>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</si>
  <si>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</si>
  <si>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</si>
  <si>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</si>
  <si>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</si>
  <si>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</si>
  <si>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</si>
  <si>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</si>
  <si>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</si>
  <si>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</si>
  <si>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</si>
  <si>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</si>
  <si>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</si>
  <si>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</si>
  <si>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</si>
  <si>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</si>
  <si>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</si>
  <si>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</si>
  <si>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</si>
  <si>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</si>
  <si>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</si>
  <si>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</si>
  <si>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</si>
  <si>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</si>
  <si>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</si>
  <si>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</si>
  <si>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</si>
  <si>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</si>
  <si>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</si>
  <si>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</si>
  <si>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</si>
  <si>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</si>
  <si>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</si>
  <si>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</si>
  <si>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</si>
  <si>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</si>
  <si>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</si>
  <si>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</si>
  <si>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</si>
  <si>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</si>
  <si>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</si>
  <si>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</si>
  <si>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</si>
  <si>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</si>
  <si>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</si>
  <si>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</si>
  <si>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</si>
  <si>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</si>
  <si>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</si>
  <si>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</si>
  <si>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</si>
  <si>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</si>
  <si>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</si>
  <si>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</si>
  <si>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</si>
  <si>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</si>
  <si>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</si>
  <si>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</si>
  <si>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</si>
  <si>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</si>
  <si>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</si>
  <si>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</si>
  <si>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</si>
  <si>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</si>
  <si>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</si>
  <si>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</si>
  <si>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</si>
  <si>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</si>
  <si>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</si>
  <si>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</si>
  <si>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</si>
  <si>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</si>
  <si>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</si>
  <si>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</si>
  <si>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</si>
  <si>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</si>
  <si>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</si>
  <si>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</si>
  <si>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</si>
  <si>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</si>
  <si>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</si>
  <si>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</si>
  <si>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</si>
  <si>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</si>
  <si>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</si>
  <si>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</si>
  <si>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</si>
  <si>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</si>
  <si>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</si>
  <si>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</si>
  <si>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</si>
  <si>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</si>
  <si>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</si>
  <si>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</si>
  <si>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</si>
  <si>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</si>
  <si>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</si>
  <si>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</si>
  <si>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</si>
  <si>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</si>
  <si>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</si>
  <si>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</si>
  <si>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</si>
  <si>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</si>
  <si>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</si>
  <si>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</si>
  <si>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</si>
  <si>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</si>
  <si>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</si>
  <si>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</si>
  <si>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</si>
  <si>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</si>
  <si>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</si>
  <si>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</si>
  <si>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</si>
  <si>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</si>
  <si>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</si>
  <si>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</si>
  <si>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</si>
  <si>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</si>
  <si>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</si>
  <si>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</si>
  <si>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</si>
  <si>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</si>
  <si>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</si>
  <si>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</si>
  <si>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</si>
  <si>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</si>
  <si>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</si>
  <si>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</si>
  <si>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</si>
  <si>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</si>
  <si>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</si>
  <si>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</si>
  <si>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</si>
  <si>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</si>
  <si>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</si>
  <si>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</si>
  <si>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</si>
  <si>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</si>
  <si>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</si>
  <si>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</si>
  <si>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</si>
  <si>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</si>
  <si>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</si>
  <si>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</si>
  <si>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</si>
  <si>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</si>
  <si>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</si>
  <si>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</si>
  <si>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</si>
  <si>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</si>
  <si>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</si>
  <si>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</si>
  <si>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</si>
  <si>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</si>
  <si>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</si>
  <si>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</si>
  <si>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</si>
  <si>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</si>
  <si>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</si>
  <si>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</si>
  <si>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</si>
  <si>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</si>
  <si>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</si>
  <si>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</si>
  <si>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</si>
  <si>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</si>
  <si>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</si>
  <si>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</si>
  <si>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</si>
  <si>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</si>
  <si>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</si>
  <si>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</si>
  <si>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</si>
  <si>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</si>
  <si>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</si>
  <si>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</si>
  <si>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</si>
  <si>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</si>
  <si>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</si>
  <si>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</si>
  <si>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</si>
  <si>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</si>
  <si>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</si>
  <si>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</si>
  <si>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</si>
  <si>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</si>
  <si>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</si>
  <si>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</si>
  <si>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</si>
  <si>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</si>
  <si>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</si>
  <si>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</si>
  <si>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</si>
  <si>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</si>
  <si>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</si>
  <si>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</si>
  <si>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</si>
  <si>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</si>
  <si>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</si>
  <si>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</si>
  <si>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</si>
  <si>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</si>
  <si>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</si>
  <si>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</si>
  <si>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</si>
  <si>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</si>
  <si>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</si>
  <si>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</si>
  <si>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</si>
  <si>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</si>
  <si>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</si>
  <si>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</si>
  <si>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</si>
  <si>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</si>
  <si>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</si>
  <si>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</si>
  <si>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</si>
  <si>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</si>
  <si>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</si>
  <si>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</si>
  <si>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</si>
  <si>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</si>
  <si>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</si>
  <si>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</si>
  <si>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</si>
  <si>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</si>
  <si>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</si>
  <si>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</si>
  <si>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</si>
  <si>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</si>
  <si>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</si>
  <si>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</si>
  <si>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</si>
  <si>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</si>
  <si>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</si>
  <si>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</si>
  <si>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</si>
  <si>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</si>
  <si>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</si>
  <si>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</si>
  <si>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</si>
  <si>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</si>
  <si>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</si>
  <si>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</si>
  <si>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</si>
  <si>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</si>
  <si>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</si>
  <si>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</si>
  <si>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</si>
  <si>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</si>
  <si>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</si>
  <si>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</si>
  <si>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</si>
  <si>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</si>
  <si>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</si>
  <si>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</si>
  <si>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</si>
  <si>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</si>
  <si>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</si>
  <si>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</si>
  <si>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</si>
  <si>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</si>
  <si>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</si>
  <si>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</si>
  <si>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</si>
  <si>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</si>
  <si>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</si>
  <si>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</si>
  <si>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</si>
  <si>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</si>
  <si>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</si>
  <si>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</si>
  <si>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</si>
  <si>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</si>
  <si>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</si>
  <si>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</si>
  <si>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</si>
  <si>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</si>
  <si>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</si>
  <si>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</si>
  <si>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</si>
  <si>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</si>
  <si>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</si>
  <si>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</si>
  <si>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</si>
  <si>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</si>
  <si>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</si>
  <si>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</si>
  <si>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</si>
  <si>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</si>
  <si>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</si>
  <si>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</si>
  <si>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</si>
  <si>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</si>
  <si>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</si>
  <si>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</si>
  <si>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</si>
  <si>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</si>
  <si>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</si>
  <si>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</si>
  <si>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</si>
  <si>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</si>
  <si>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</si>
  <si>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</si>
  <si>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</si>
  <si>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</si>
  <si>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</si>
  <si>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</si>
  <si>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</si>
  <si>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</si>
  <si>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</si>
  <si>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</si>
  <si>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</si>
  <si>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</si>
  <si>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</si>
  <si>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</si>
  <si>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</si>
  <si>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</si>
  <si>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</si>
  <si>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</si>
  <si>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</si>
  <si>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</si>
  <si>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</si>
  <si>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</si>
  <si>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</si>
  <si>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</si>
  <si>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</si>
  <si>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</si>
  <si>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</si>
  <si>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</si>
  <si>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</si>
  <si>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</si>
  <si>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</si>
  <si>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</si>
  <si>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</si>
  <si>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</si>
  <si>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</si>
  <si>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</si>
  <si>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</si>
  <si>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</si>
  <si>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</si>
  <si>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</si>
  <si>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</si>
  <si>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</si>
  <si>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</si>
  <si>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</si>
  <si>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</si>
  <si>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</si>
  <si>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</si>
  <si>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</si>
  <si>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</si>
  <si>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</si>
  <si>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</si>
  <si>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</si>
  <si>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</si>
  <si>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</si>
  <si>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</si>
  <si>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</si>
  <si>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</si>
  <si>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</si>
  <si>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</si>
  <si>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</si>
  <si>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</si>
  <si>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</si>
  <si>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</si>
  <si>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</si>
  <si>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</si>
  <si>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</si>
  <si>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</si>
  <si>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</si>
  <si>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</si>
  <si>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</si>
  <si>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</si>
  <si>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</si>
  <si>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</si>
  <si>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</si>
  <si>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</si>
  <si>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</si>
  <si>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</si>
  <si>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</si>
  <si>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</si>
  <si>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</si>
  <si>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</si>
  <si>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</si>
  <si>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</si>
  <si>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</si>
  <si>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</si>
  <si>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</si>
  <si>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</si>
  <si>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</si>
  <si>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</si>
  <si>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</si>
  <si>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</si>
  <si>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</si>
  <si>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</si>
  <si>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</si>
  <si>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</si>
  <si>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</si>
  <si>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</si>
  <si>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</si>
  <si>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</si>
  <si>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</si>
  <si>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</si>
  <si>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</si>
  <si>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</si>
  <si>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</si>
  <si>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</si>
  <si>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</si>
  <si>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</si>
  <si>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</si>
  <si>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</si>
  <si>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</si>
  <si>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</si>
  <si>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</si>
  <si>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</si>
  <si>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</si>
  <si>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</si>
  <si>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</si>
  <si>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</si>
  <si>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</si>
  <si>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</si>
  <si>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</si>
  <si>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</si>
  <si>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</si>
  <si>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</si>
  <si>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</si>
  <si>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</si>
  <si>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</si>
  <si>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</si>
  <si>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</si>
  <si>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</si>
  <si>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</si>
  <si>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</si>
  <si>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</si>
  <si>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</si>
  <si>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</si>
  <si>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</si>
  <si>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</si>
  <si>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</si>
  <si>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</si>
  <si>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</si>
  <si>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</si>
  <si>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</si>
  <si>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</si>
  <si>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</si>
  <si>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</si>
  <si>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</si>
  <si>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</si>
  <si>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</si>
  <si>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</si>
  <si>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</si>
  <si>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</si>
  <si>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</si>
  <si>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</si>
  <si>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</si>
  <si>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</si>
  <si>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</si>
  <si>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</si>
  <si>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</si>
  <si>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</si>
  <si>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</si>
  <si>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</si>
  <si>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</si>
  <si>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</si>
  <si>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</si>
  <si>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</si>
  <si>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</si>
  <si>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</si>
  <si>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</si>
  <si>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</si>
  <si>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</si>
  <si>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</si>
  <si>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</si>
  <si>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</si>
  <si>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</si>
  <si>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</si>
  <si>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</si>
  <si>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</si>
  <si>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</si>
  <si>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</si>
  <si>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</si>
  <si>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</si>
  <si>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</si>
  <si>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</si>
  <si>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</si>
  <si>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</si>
  <si>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</si>
  <si>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</si>
  <si>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</si>
  <si>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</si>
  <si>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</si>
  <si>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</si>
  <si>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</si>
  <si>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</si>
  <si>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</si>
  <si>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</si>
  <si>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</si>
  <si>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</si>
  <si>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</si>
  <si>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</si>
  <si>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</si>
  <si>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</si>
  <si>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</si>
  <si>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</si>
  <si>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</si>
  <si>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</si>
  <si>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</si>
  <si>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</si>
  <si>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</si>
  <si>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</si>
  <si>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</si>
  <si>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</si>
  <si>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</si>
  <si>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</si>
  <si>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</si>
  <si>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</si>
  <si>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</si>
  <si>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</si>
  <si>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</si>
  <si>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</si>
  <si>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</si>
  <si>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</si>
  <si>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</si>
  <si>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</si>
  <si>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</si>
  <si>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</si>
  <si>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</si>
  <si>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</si>
  <si>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</si>
  <si>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</si>
  <si>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</si>
  <si>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</si>
  <si>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</si>
  <si>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</si>
  <si>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</si>
  <si>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</si>
  <si>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</si>
  <si>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</si>
  <si>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</si>
  <si>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</si>
  <si>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</si>
  <si>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</si>
  <si>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</si>
  <si>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</si>
  <si>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</si>
  <si>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</si>
  <si>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</si>
  <si>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</si>
  <si>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</si>
  <si>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</si>
  <si>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</si>
  <si>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</si>
  <si>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</si>
  <si>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</si>
  <si>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</si>
  <si>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</si>
  <si>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</si>
  <si>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</si>
  <si>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</si>
  <si>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</si>
  <si>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</si>
  <si>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</si>
  <si>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</si>
  <si>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</si>
  <si>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</si>
  <si>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</si>
  <si>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</si>
  <si>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</si>
  <si>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</si>
  <si>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</si>
  <si>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</si>
  <si>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</si>
  <si>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</si>
  <si>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</si>
  <si>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</si>
  <si>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</si>
  <si>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</si>
  <si>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</si>
  <si>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</si>
  <si>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</si>
  <si>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</si>
  <si>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</si>
  <si>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</si>
  <si>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</si>
  <si>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</si>
  <si>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</si>
  <si>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</si>
  <si>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</si>
  <si>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</si>
  <si>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</si>
  <si>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</si>
  <si>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</si>
  <si>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</si>
  <si>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</si>
  <si>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</si>
  <si>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</si>
  <si>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</si>
  <si>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</si>
  <si>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</si>
  <si>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</si>
  <si>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</si>
  <si>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</si>
  <si>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</si>
  <si>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</si>
  <si>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</si>
  <si>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</si>
  <si>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</si>
  <si>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</si>
  <si>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</si>
  <si>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</si>
  <si>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</si>
  <si>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</si>
  <si>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</si>
  <si>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</si>
  <si>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</si>
  <si>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</si>
  <si>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</si>
  <si>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</si>
  <si>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</si>
  <si>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</si>
  <si>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</si>
  <si>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</si>
  <si>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</si>
  <si>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</si>
  <si>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</si>
  <si>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</si>
  <si>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</si>
  <si>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</si>
  <si>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</si>
  <si>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</si>
  <si>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</si>
  <si>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</si>
  <si>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</si>
  <si>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</si>
  <si>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</si>
  <si>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</si>
  <si>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</si>
  <si>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</si>
  <si>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</si>
  <si>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</si>
  <si>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</si>
  <si>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</si>
  <si>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</si>
  <si>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</si>
  <si>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</si>
  <si>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</si>
  <si>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</si>
  <si>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</si>
  <si>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</si>
  <si>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</si>
  <si>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</si>
  <si>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</si>
  <si>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</si>
  <si>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</si>
  <si>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</si>
  <si>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</si>
  <si>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</si>
  <si>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</si>
  <si>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</si>
  <si>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</si>
  <si>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</si>
  <si>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</si>
  <si>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</si>
  <si>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</si>
  <si>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</si>
  <si>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</si>
  <si>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</si>
  <si>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</si>
  <si>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</si>
  <si>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</si>
  <si>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</si>
  <si>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</si>
  <si>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</si>
  <si>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</si>
  <si>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</si>
  <si>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</si>
  <si>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</si>
  <si>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</si>
  <si>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</si>
  <si>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</si>
  <si>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</si>
  <si>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</si>
  <si>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</si>
  <si>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</si>
  <si>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</si>
  <si>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</si>
  <si>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</si>
  <si>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</si>
  <si>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</si>
  <si>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</si>
  <si>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</si>
  <si>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</si>
  <si>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</si>
  <si>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</si>
  <si>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</si>
  <si>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</si>
  <si>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</si>
  <si>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</si>
  <si>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</si>
  <si>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</si>
  <si>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</si>
  <si>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</si>
  <si>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</si>
  <si>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</si>
  <si>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</si>
  <si>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</si>
  <si>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</si>
  <si>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</si>
  <si>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</si>
  <si>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</si>
  <si>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</si>
  <si>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</si>
  <si>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</si>
  <si>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</si>
  <si>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</si>
  <si>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</si>
  <si>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</si>
  <si>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</si>
  <si>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</si>
  <si>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</si>
  <si>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</si>
  <si>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</si>
  <si>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</si>
  <si>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</si>
  <si>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</si>
  <si>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</si>
  <si>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</si>
  <si>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</si>
  <si>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</si>
  <si>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</si>
  <si>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</si>
  <si>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</si>
  <si>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</si>
  <si>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</si>
  <si>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</si>
  <si>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</si>
  <si>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</si>
  <si>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</si>
  <si>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</si>
  <si>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</si>
  <si>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</si>
  <si>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</si>
  <si>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</si>
  <si>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</si>
  <si>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</si>
  <si>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</si>
  <si>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</si>
  <si>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</si>
  <si>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</si>
  <si>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</si>
  <si>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</si>
  <si>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</si>
  <si>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</si>
  <si>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</si>
  <si>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</si>
  <si>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</si>
  <si>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</si>
  <si>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</si>
  <si>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</si>
  <si>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</si>
  <si>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</si>
  <si>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</si>
  <si>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</si>
  <si>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</si>
  <si>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</si>
  <si>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</si>
  <si>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</si>
  <si>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</si>
  <si>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</si>
  <si>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</si>
  <si>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</si>
  <si>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</si>
  <si>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</si>
  <si>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</si>
  <si>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</si>
  <si>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</si>
  <si>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</si>
  <si>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</si>
  <si>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</si>
  <si>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</si>
  <si>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</si>
  <si>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</si>
  <si>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</si>
  <si>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</si>
  <si>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</si>
  <si>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</si>
  <si>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</si>
  <si>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</si>
  <si>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</si>
  <si>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</si>
  <si>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</si>
  <si>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</si>
  <si>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</si>
  <si>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</si>
  <si>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</si>
  <si>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</si>
  <si>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</si>
  <si>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</si>
  <si>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</si>
  <si>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</si>
  <si>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</si>
  <si>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</si>
  <si>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</si>
  <si>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</si>
  <si>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</si>
  <si>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</si>
  <si>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</si>
  <si>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</si>
  <si>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</si>
  <si>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</si>
  <si>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</si>
  <si>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</si>
  <si>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</si>
  <si>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</si>
  <si>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</si>
  <si>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</si>
  <si>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</si>
  <si>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</si>
  <si>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</si>
  <si>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</si>
  <si>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</si>
  <si>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</si>
  <si>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</si>
  <si>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</si>
  <si>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</si>
  <si>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</si>
  <si>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</si>
  <si>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</si>
  <si>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</si>
  <si>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</si>
  <si>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</si>
  <si>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</si>
  <si>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</si>
  <si>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</si>
  <si>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</si>
  <si>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</si>
  <si>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</si>
  <si>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</si>
  <si>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</si>
  <si>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</si>
  <si>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</si>
  <si>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</si>
  <si>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</si>
  <si>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</si>
  <si>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</si>
  <si>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</si>
  <si>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</si>
  <si>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</si>
  <si>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</si>
  <si>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</si>
  <si>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</si>
  <si>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</si>
  <si>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</si>
  <si>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</si>
  <si>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</si>
  <si>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</si>
  <si>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</si>
  <si>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</si>
  <si>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</si>
  <si>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</si>
  <si>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</si>
  <si>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</si>
  <si>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</si>
  <si>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</si>
  <si>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</si>
  <si>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</si>
  <si>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</si>
  <si>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</si>
  <si>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</si>
  <si>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</si>
  <si>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</si>
  <si>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</si>
  <si>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</si>
  <si>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</si>
  <si>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</si>
  <si>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</si>
  <si>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</si>
  <si>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</si>
  <si>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</si>
  <si>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</si>
  <si>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</si>
  <si>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</si>
  <si>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</si>
  <si>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</si>
  <si>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</si>
  <si>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</si>
  <si>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</si>
  <si>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</si>
  <si>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</si>
  <si>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</si>
  <si>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</si>
  <si>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</si>
  <si>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</si>
  <si>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</si>
  <si>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</si>
  <si>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</si>
  <si>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</si>
  <si>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</si>
  <si>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</si>
  <si>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</si>
  <si>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</si>
  <si>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</si>
  <si>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</si>
  <si>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</si>
  <si>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</si>
  <si>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</si>
  <si>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</si>
  <si>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</si>
  <si>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</si>
  <si>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</si>
  <si>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</si>
  <si>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</si>
  <si>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</si>
  <si>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</si>
  <si>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</si>
  <si>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</si>
  <si>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</si>
  <si>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</si>
  <si>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</si>
  <si>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</si>
  <si>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</si>
  <si>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</si>
  <si>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</si>
  <si>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</si>
  <si>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</si>
  <si>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</si>
  <si>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</si>
  <si>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</si>
  <si>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</si>
  <si>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</si>
  <si>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</si>
  <si>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</si>
  <si>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</si>
  <si>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</si>
  <si>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</si>
  <si>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</si>
  <si>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</si>
  <si>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</si>
  <si>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</si>
  <si>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</si>
  <si>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</si>
  <si>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</si>
  <si>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</si>
  <si>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</si>
  <si>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</si>
  <si>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</si>
  <si>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</si>
  <si>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</si>
  <si>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</si>
  <si>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</si>
  <si>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</si>
  <si>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</si>
  <si>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</si>
  <si>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</si>
  <si>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</si>
  <si>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</si>
  <si>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</si>
  <si>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</si>
  <si>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</si>
  <si>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</si>
  <si>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</si>
  <si>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</si>
  <si>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</si>
  <si>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</si>
  <si>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</si>
  <si>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</si>
  <si>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</si>
  <si>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</si>
  <si>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</si>
  <si>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</si>
  <si>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</si>
  <si>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</si>
  <si>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</si>
  <si>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</si>
  <si>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</si>
  <si>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</si>
  <si>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</si>
  <si>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</si>
  <si>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</si>
  <si>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</si>
  <si>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</si>
  <si>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</si>
  <si>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</si>
  <si>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</si>
  <si>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</si>
  <si>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</si>
  <si>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</si>
  <si>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</si>
  <si>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</si>
  <si>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</si>
  <si>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</si>
  <si>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</si>
  <si>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</si>
  <si>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</si>
  <si>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</si>
  <si>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</si>
  <si>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</si>
  <si>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</si>
  <si>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</si>
  <si>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</si>
  <si>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</si>
  <si>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</si>
  <si>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</si>
  <si>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</si>
  <si>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</si>
  <si>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</si>
  <si>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</si>
  <si>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</si>
  <si>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</si>
  <si>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</si>
  <si>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</si>
  <si>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</si>
  <si>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</si>
  <si>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</si>
  <si>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</si>
  <si>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</si>
  <si>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</si>
  <si>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</si>
  <si>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</si>
  <si>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</si>
  <si>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</si>
  <si>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</si>
  <si>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</si>
  <si>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</si>
  <si>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</si>
  <si>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</si>
  <si>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</si>
  <si>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</si>
  <si>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</si>
  <si>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</si>
  <si>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</si>
  <si>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</si>
  <si>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</si>
  <si>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</si>
  <si>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</si>
  <si>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</si>
  <si>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</si>
  <si>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</si>
  <si>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</si>
  <si>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</si>
  <si>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</si>
  <si>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</si>
  <si>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</si>
  <si>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</si>
  <si>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</si>
  <si>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</si>
  <si>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</si>
  <si>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</si>
  <si>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</si>
  <si>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</si>
  <si>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</si>
  <si>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</si>
  <si>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</si>
  <si>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</si>
  <si>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</si>
  <si>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</si>
  <si>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</si>
  <si>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</si>
  <si>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</si>
  <si>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</si>
  <si>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</si>
  <si>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</si>
  <si>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</si>
  <si>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</si>
  <si>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</si>
  <si>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</si>
  <si>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</si>
  <si>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</si>
  <si>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</si>
  <si>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</si>
  <si>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</si>
  <si>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</si>
  <si>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</si>
  <si>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</si>
  <si>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</si>
  <si>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</si>
  <si>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</si>
  <si>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</si>
  <si>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</si>
  <si>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</si>
  <si>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</si>
  <si>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</si>
  <si>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</si>
  <si>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</si>
  <si>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</si>
  <si>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</si>
  <si>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</si>
  <si>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</si>
  <si>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</si>
  <si>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</si>
  <si>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</si>
  <si>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</si>
  <si>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</si>
  <si>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</si>
  <si>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</si>
  <si>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</si>
  <si>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</si>
  <si>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</si>
  <si>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</si>
  <si>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</si>
  <si>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</si>
  <si>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</si>
  <si>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</si>
  <si>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</si>
  <si>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</si>
  <si>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</si>
  <si>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</si>
  <si>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</si>
  <si>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</si>
  <si>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</si>
  <si>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</si>
  <si>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</si>
  <si>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</si>
  <si>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</si>
  <si>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</si>
  <si>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</si>
  <si>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</si>
  <si>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</si>
  <si>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</si>
  <si>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</si>
  <si>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</si>
  <si>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</si>
  <si>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</si>
  <si>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</si>
  <si>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</si>
  <si>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</si>
  <si>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</si>
  <si>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</si>
  <si>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</si>
  <si>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</si>
  <si>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</si>
  <si>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</si>
  <si>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</si>
  <si>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</si>
  <si>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</si>
  <si>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</si>
  <si>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</si>
  <si>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</si>
  <si>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</si>
  <si>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</si>
  <si>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</si>
  <si>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</si>
  <si>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</si>
  <si>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</si>
  <si>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</si>
  <si>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</si>
  <si>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</si>
  <si>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</si>
  <si>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</si>
  <si>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</si>
  <si>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</si>
  <si>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</si>
  <si>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</si>
  <si>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</si>
  <si>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</si>
  <si>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</si>
  <si>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</si>
  <si>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</si>
  <si>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</si>
  <si>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</si>
  <si>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</si>
  <si>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</si>
  <si>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</si>
  <si>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</si>
  <si>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</si>
  <si>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</si>
  <si>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</si>
  <si>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</si>
  <si>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</si>
  <si>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</si>
  <si>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</si>
  <si>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</si>
  <si>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</si>
  <si>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</si>
  <si>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</si>
  <si>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</si>
  <si>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</si>
  <si>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</si>
  <si>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</si>
  <si>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</si>
  <si>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</si>
  <si>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</si>
  <si>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</si>
  <si>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</si>
  <si>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</si>
  <si>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</si>
  <si>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</si>
  <si>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</si>
  <si>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</si>
  <si>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</si>
  <si>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</si>
  <si>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</si>
  <si>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</si>
  <si>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</si>
  <si>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</si>
  <si>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</si>
  <si>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</si>
  <si>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</si>
  <si>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</si>
  <si>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</si>
  <si>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</si>
  <si>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</si>
  <si>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</si>
  <si>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</si>
  <si>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</si>
  <si>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</si>
  <si>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</si>
  <si>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</si>
  <si>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</si>
  <si>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</si>
  <si>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</si>
  <si>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</si>
  <si>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</si>
  <si>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</si>
  <si>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</si>
  <si>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</si>
  <si>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</si>
  <si>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</si>
  <si>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</si>
  <si>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</si>
  <si>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</si>
  <si>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</si>
  <si>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</si>
  <si>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</si>
  <si>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</si>
  <si>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</si>
  <si>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</si>
  <si>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</si>
  <si>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</si>
  <si>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</si>
  <si>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</si>
  <si>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</si>
  <si>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</si>
  <si>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</si>
  <si>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</si>
  <si>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</si>
  <si>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</si>
  <si>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</si>
  <si>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</si>
  <si>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</si>
  <si>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</si>
  <si>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</si>
  <si>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</si>
  <si>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</si>
  <si>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</si>
  <si>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</si>
  <si>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</si>
  <si>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</si>
  <si>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</si>
  <si>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</si>
  <si>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</si>
  <si>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</si>
  <si>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</si>
  <si>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</si>
  <si>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</si>
  <si>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</si>
  <si>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</si>
  <si>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</si>
  <si>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</si>
  <si>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</si>
  <si>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</si>
  <si>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</si>
  <si>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</si>
  <si>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</si>
  <si>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</si>
  <si>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</si>
  <si>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</si>
  <si>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</si>
  <si>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</si>
  <si>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</si>
  <si>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</si>
  <si>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</si>
  <si>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</si>
  <si>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</si>
  <si>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</si>
  <si>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</si>
  <si>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</si>
  <si>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</si>
  <si>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</si>
  <si>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</si>
  <si>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</si>
  <si>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</si>
  <si>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</si>
  <si>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</si>
  <si>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</si>
  <si>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</si>
  <si>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</si>
  <si>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</si>
  <si>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</si>
  <si>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</si>
  <si>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</si>
  <si>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</si>
  <si>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</si>
  <si>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</si>
  <si>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</si>
  <si>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</si>
  <si>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</si>
  <si>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</si>
  <si>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</si>
  <si>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</si>
  <si>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</si>
  <si>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</si>
  <si>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</si>
  <si>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</si>
  <si>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</si>
  <si>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</si>
  <si>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</si>
  <si>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</si>
  <si>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</si>
  <si>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</si>
  <si>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</si>
  <si>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</si>
  <si>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</si>
  <si>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</si>
  <si>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</si>
  <si>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</si>
  <si>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</si>
  <si>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</si>
  <si>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</si>
  <si>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</si>
  <si>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</si>
  <si>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</si>
  <si>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</si>
  <si>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</si>
  <si>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</si>
  <si>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</si>
  <si>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</si>
  <si>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</si>
  <si>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</si>
  <si>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</si>
  <si>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</si>
  <si>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</si>
  <si>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</si>
  <si>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</si>
  <si>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</si>
  <si>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</si>
  <si>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</si>
  <si>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</si>
  <si>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</si>
  <si>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</si>
  <si>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</si>
  <si>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</si>
  <si>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</si>
  <si>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</si>
  <si>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</si>
  <si>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</si>
  <si>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</si>
  <si>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</si>
  <si>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</si>
  <si>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</si>
  <si>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</si>
  <si>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</si>
  <si>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</si>
  <si>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</si>
  <si>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</si>
  <si>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</si>
  <si>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</si>
  <si>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</si>
  <si>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</si>
  <si>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</si>
  <si>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</si>
  <si>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</si>
  <si>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</si>
  <si>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</si>
  <si>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</si>
  <si>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</si>
  <si>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</si>
  <si>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</si>
  <si>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</si>
  <si>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</si>
  <si>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</si>
  <si>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</si>
  <si>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</si>
  <si>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</si>
  <si>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</si>
  <si>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</si>
  <si>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</si>
  <si>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</si>
  <si>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</si>
  <si>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</si>
  <si>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</si>
  <si>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</si>
  <si>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</si>
  <si>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</si>
  <si>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</si>
  <si>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</si>
  <si>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</si>
  <si>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</si>
  <si>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</si>
  <si>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</si>
  <si>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</si>
  <si>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</si>
  <si>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</si>
  <si>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</si>
  <si>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</si>
  <si>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</si>
  <si>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</si>
  <si>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</si>
  <si>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</si>
  <si>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</si>
  <si>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</si>
  <si>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</si>
  <si>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</si>
  <si>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</si>
  <si>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</si>
  <si>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</si>
  <si>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</si>
  <si>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</si>
  <si>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</si>
  <si>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</si>
  <si>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</si>
  <si>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</si>
  <si>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</si>
  <si>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</si>
  <si>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</si>
  <si>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</si>
  <si>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</si>
  <si>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</si>
  <si>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</si>
  <si>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</si>
  <si>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</si>
  <si>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</si>
  <si>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</si>
  <si>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</si>
  <si>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</si>
  <si>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</si>
  <si>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</si>
  <si>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</si>
  <si>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</si>
  <si>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</si>
  <si>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</si>
  <si>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</si>
  <si>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</si>
  <si>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</si>
  <si>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</si>
  <si>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</si>
  <si>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</si>
  <si>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</si>
  <si>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</si>
  <si>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</si>
  <si>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</si>
  <si>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</si>
  <si>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</si>
  <si>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</si>
  <si>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</si>
  <si>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</si>
  <si>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</si>
  <si>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</si>
  <si>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</si>
  <si>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</si>
  <si>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</si>
  <si>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</si>
  <si>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</si>
  <si>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</si>
  <si>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</si>
  <si>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</si>
  <si>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</si>
  <si>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</si>
  <si>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</si>
  <si>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</si>
  <si>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</si>
  <si>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</si>
  <si>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</si>
  <si>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</si>
  <si>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</si>
  <si>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</si>
  <si>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</si>
  <si>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</si>
  <si>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</si>
  <si>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</si>
  <si>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</si>
  <si>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</si>
  <si>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</si>
  <si>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</si>
  <si>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</si>
  <si>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</si>
  <si>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</si>
  <si>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</si>
  <si>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</si>
  <si>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</si>
  <si>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</si>
  <si>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</si>
  <si>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</si>
  <si>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</si>
  <si>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</si>
  <si>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</si>
  <si>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</si>
  <si>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</si>
  <si>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</si>
  <si>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</si>
  <si>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</si>
  <si>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</si>
  <si>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</si>
  <si>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</si>
  <si>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</si>
  <si>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</si>
  <si>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</si>
  <si>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</si>
  <si>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</si>
  <si>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</si>
  <si>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</si>
  <si>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</si>
  <si>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</si>
  <si>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</si>
  <si>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</si>
  <si>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</si>
  <si>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</si>
  <si>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</si>
  <si>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</si>
  <si>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</si>
  <si>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</si>
  <si>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</si>
  <si>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</si>
  <si>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</si>
  <si>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</si>
  <si>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</si>
  <si>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</si>
  <si>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</si>
  <si>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</si>
  <si>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</si>
  <si>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</si>
  <si>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</si>
  <si>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</si>
  <si>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</si>
  <si>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</si>
  <si>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</si>
  <si>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</si>
  <si>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</si>
  <si>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</si>
  <si>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</si>
  <si>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</si>
  <si>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</si>
  <si>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</si>
  <si>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</si>
  <si>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</si>
  <si>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</si>
  <si>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</si>
  <si>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</si>
  <si>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</si>
  <si>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</si>
  <si>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</si>
  <si>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</si>
  <si>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</si>
  <si>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</si>
  <si>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</si>
  <si>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</si>
  <si>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</si>
  <si>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</si>
  <si>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</si>
  <si>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</si>
  <si>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</si>
  <si>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</si>
  <si>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</si>
  <si>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</si>
  <si>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</si>
  <si>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</si>
  <si>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</si>
  <si>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</si>
  <si>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</si>
  <si>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</si>
  <si>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</si>
  <si>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</si>
  <si>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</si>
  <si>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</si>
  <si>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</si>
  <si>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</si>
  <si>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</si>
  <si>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</si>
  <si>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</si>
  <si>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</si>
  <si>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</si>
  <si>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</si>
  <si>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</si>
  <si>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</si>
  <si>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</si>
  <si>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</si>
  <si>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</si>
  <si>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</si>
  <si>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</si>
  <si>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</si>
  <si>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</si>
  <si>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</si>
  <si>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</si>
  <si>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</si>
  <si>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</si>
  <si>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</si>
  <si>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</si>
  <si>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</si>
  <si>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</si>
  <si>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</si>
  <si>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</si>
  <si>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</si>
  <si>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</si>
  <si>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</si>
  <si>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</si>
  <si>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</si>
  <si>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</si>
  <si>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</si>
  <si>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</si>
  <si>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</si>
  <si>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</si>
  <si>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</si>
  <si>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</si>
  <si>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</si>
  <si>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</si>
  <si>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</si>
  <si>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</si>
  <si>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</si>
  <si>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</si>
  <si>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</si>
  <si>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</si>
  <si>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</si>
  <si>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</si>
  <si>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</si>
  <si>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</si>
  <si>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</si>
  <si>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</si>
  <si>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</si>
  <si>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</si>
  <si>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</si>
  <si>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</si>
  <si>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</si>
  <si>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</si>
  <si>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</si>
  <si>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</si>
  <si>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</si>
  <si>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</si>
  <si>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</si>
  <si>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</si>
  <si>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</si>
  <si>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</si>
  <si>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</si>
  <si>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</si>
  <si>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</si>
  <si>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</si>
  <si>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</si>
  <si>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</si>
  <si>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</si>
  <si>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</si>
  <si>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</si>
  <si>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</si>
  <si>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</si>
  <si>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</si>
  <si>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</si>
  <si>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</si>
  <si>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</si>
  <si>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</si>
  <si>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</si>
  <si>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</si>
  <si>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</si>
  <si>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</si>
  <si>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</si>
  <si>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</si>
  <si>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</si>
  <si>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</si>
  <si>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</si>
  <si>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</si>
  <si>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</si>
  <si>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</si>
  <si>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</si>
  <si>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</si>
  <si>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</si>
  <si>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</si>
  <si>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</si>
  <si>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</si>
  <si>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</si>
  <si>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</si>
  <si>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</si>
  <si>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</si>
  <si>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</si>
  <si>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</si>
  <si>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</si>
  <si>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</si>
  <si>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</si>
  <si>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</si>
  <si>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</si>
  <si>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</si>
  <si>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</si>
  <si>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</si>
  <si>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</si>
  <si>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</si>
  <si>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</si>
  <si>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</si>
  <si>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</si>
  <si>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</si>
  <si>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</si>
  <si>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</si>
  <si>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</si>
  <si>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</si>
  <si>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</si>
  <si>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</si>
  <si>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</si>
  <si>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</si>
  <si>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</si>
  <si>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</si>
  <si>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</si>
  <si>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</si>
  <si>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</si>
  <si>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</si>
  <si>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</si>
  <si>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</si>
  <si>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</si>
  <si>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</si>
  <si>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</si>
  <si>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</si>
  <si>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</si>
  <si>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</si>
  <si>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</si>
  <si>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</si>
  <si>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</si>
  <si>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</si>
  <si>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</si>
  <si>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</si>
  <si>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</si>
  <si>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</si>
  <si>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</si>
  <si>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</si>
  <si>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</si>
  <si>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</si>
  <si>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</si>
  <si>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</si>
  <si>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</si>
  <si>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</si>
  <si>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</si>
  <si>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</si>
  <si>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</si>
  <si>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</si>
  <si>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</si>
  <si>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</si>
  <si>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</si>
  <si>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</si>
  <si>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</si>
  <si>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</si>
  <si>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</si>
  <si>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</si>
  <si>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</si>
  <si>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</si>
  <si>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</si>
  <si>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</si>
  <si>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</si>
  <si>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</si>
  <si>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</si>
  <si>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</si>
  <si>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</si>
  <si>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</si>
  <si>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</si>
  <si>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</si>
  <si>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</si>
  <si>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</si>
  <si>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</si>
  <si>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</si>
  <si>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</si>
  <si>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</si>
  <si>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</si>
  <si>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</si>
  <si>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</si>
  <si>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</si>
  <si>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</si>
  <si>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</si>
  <si>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</si>
  <si>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</si>
  <si>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</si>
  <si>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</si>
  <si>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</si>
  <si>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</si>
  <si>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</si>
  <si>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</si>
  <si>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</si>
  <si>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</si>
  <si>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</si>
  <si>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</si>
  <si>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</si>
  <si>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</si>
  <si>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</si>
  <si>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</si>
  <si>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</si>
  <si>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</si>
  <si>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</si>
  <si>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</si>
  <si>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</si>
  <si>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</si>
  <si>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</si>
  <si>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</si>
  <si>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</si>
  <si>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</si>
  <si>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</si>
  <si>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</si>
  <si>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</si>
  <si>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</si>
  <si>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</si>
  <si>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</si>
  <si>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</si>
  <si>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</si>
  <si>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</si>
  <si>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</si>
  <si>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</si>
  <si>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</si>
  <si>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</si>
  <si>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</si>
  <si>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</si>
  <si>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</si>
  <si>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</si>
  <si>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</si>
  <si>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</si>
  <si>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</si>
  <si>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</si>
  <si>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</si>
  <si>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</si>
  <si>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</si>
  <si>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</si>
  <si>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</si>
  <si>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</si>
  <si>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</si>
  <si>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</si>
  <si>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</si>
  <si>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</si>
  <si>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</si>
  <si>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</si>
  <si>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</si>
  <si>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</si>
  <si>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</si>
  <si>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</si>
  <si>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</si>
  <si>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</si>
  <si>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</si>
  <si>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</si>
  <si>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</si>
  <si>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</si>
  <si>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</si>
  <si>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</si>
  <si>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</si>
  <si>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</si>
  <si>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</si>
  <si>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</si>
  <si>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</si>
  <si>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</si>
  <si>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</si>
  <si>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</si>
  <si>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</si>
  <si>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</si>
  <si>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</si>
  <si>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</si>
  <si>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</si>
  <si>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</si>
  <si>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</si>
  <si>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</si>
  <si>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</si>
  <si>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</si>
  <si>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</si>
  <si>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</si>
  <si>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</si>
  <si>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</si>
  <si>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</si>
  <si>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</si>
  <si>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</si>
  <si>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</si>
  <si>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</si>
  <si>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</si>
  <si>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</si>
  <si>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</si>
  <si>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</si>
  <si>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</si>
  <si>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</si>
  <si>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</si>
  <si>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</si>
  <si>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</si>
  <si>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</si>
  <si>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</si>
  <si>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</si>
  <si>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</si>
  <si>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</si>
  <si>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</si>
  <si>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</si>
  <si>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</si>
  <si>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</si>
  <si>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</si>
  <si>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</si>
  <si>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</si>
  <si>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</si>
  <si>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</si>
  <si>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</si>
  <si>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</si>
  <si>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</si>
  <si>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</si>
  <si>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</si>
  <si>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</si>
  <si>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</si>
  <si>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</si>
  <si>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</si>
  <si>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</si>
  <si>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</si>
  <si>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</si>
  <si>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</si>
  <si>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</si>
  <si>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</si>
  <si>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</si>
  <si>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</si>
  <si>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</si>
  <si>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</si>
  <si>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</si>
  <si>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</si>
  <si>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</si>
  <si>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</si>
  <si>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</si>
  <si>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</si>
  <si>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</si>
  <si>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</si>
  <si>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</si>
  <si>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</si>
  <si>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</si>
  <si>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</si>
  <si>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</si>
  <si>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</si>
  <si>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</si>
  <si>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</si>
  <si>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</si>
  <si>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</si>
  <si>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</si>
  <si>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</si>
  <si>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</si>
  <si>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</si>
  <si>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</si>
  <si>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</si>
  <si>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</si>
  <si>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</si>
  <si>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</si>
  <si>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</si>
  <si>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</si>
  <si>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</si>
  <si>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</si>
  <si>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</si>
  <si>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</si>
  <si>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</si>
  <si>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</si>
  <si>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</si>
  <si>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</si>
  <si>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</si>
  <si>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</si>
  <si>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</si>
  <si>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</si>
  <si>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</si>
  <si>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</si>
  <si>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</si>
  <si>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</si>
  <si>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</si>
  <si>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</si>
  <si>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</si>
  <si>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</si>
  <si>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</si>
  <si>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</si>
  <si>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</si>
  <si>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</si>
  <si>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</si>
  <si>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</si>
  <si>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</si>
  <si>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</si>
  <si>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</si>
  <si>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</si>
  <si>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</si>
  <si>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</si>
  <si>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</si>
  <si>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</si>
  <si>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</si>
  <si>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</si>
  <si>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</si>
  <si>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</si>
  <si>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</si>
  <si>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</si>
  <si>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</si>
  <si>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</si>
  <si>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</si>
  <si>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</si>
  <si>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</si>
  <si>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</si>
  <si>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</si>
  <si>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</si>
  <si>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</si>
  <si>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</si>
  <si>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</si>
  <si>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</si>
  <si>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</si>
  <si>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</si>
  <si>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</si>
  <si>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</si>
  <si>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</si>
  <si>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</si>
  <si>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</si>
  <si>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</si>
  <si>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</si>
  <si>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</si>
  <si>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</si>
  <si>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</si>
  <si>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</si>
  <si>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</si>
  <si>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</si>
  <si>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</si>
  <si>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</si>
  <si>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</si>
  <si>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</si>
  <si>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</si>
  <si>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</si>
  <si>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</si>
  <si>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</si>
  <si>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</si>
  <si>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</si>
  <si>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</si>
  <si>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</si>
  <si>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</si>
  <si>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</si>
  <si>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</si>
  <si>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</si>
  <si>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</si>
  <si>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</si>
  <si>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</si>
  <si>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</si>
  <si>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</si>
  <si>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</si>
  <si>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</si>
  <si>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</si>
  <si>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</si>
  <si>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</si>
  <si>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</si>
  <si>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</si>
  <si>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</si>
  <si>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</si>
  <si>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</si>
  <si>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</si>
  <si>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</si>
  <si>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</si>
  <si>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</si>
  <si>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</si>
  <si>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</si>
  <si>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</si>
  <si>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</si>
  <si>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</si>
  <si>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</si>
  <si>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</si>
  <si>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</si>
  <si>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</si>
  <si>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</si>
  <si>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</si>
  <si>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</si>
  <si>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</si>
  <si>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</si>
  <si>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</si>
  <si>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</si>
  <si>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</si>
  <si>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</si>
  <si>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</si>
  <si>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</si>
  <si>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</si>
  <si>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</si>
  <si>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</si>
  <si>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</si>
  <si>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</si>
  <si>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</si>
  <si>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</si>
  <si>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</si>
  <si>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</si>
  <si>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</si>
  <si>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</si>
  <si>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</si>
  <si>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</si>
  <si>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</si>
  <si>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</si>
  <si>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</si>
  <si>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</si>
  <si>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</si>
  <si>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</si>
  <si>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</si>
  <si>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</si>
  <si>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</si>
  <si>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</si>
  <si>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</si>
  <si>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</si>
  <si>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</si>
  <si>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</si>
  <si>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</si>
  <si>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</si>
  <si>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</si>
  <si>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</si>
  <si>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</si>
  <si>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</si>
  <si>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</si>
  <si>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</si>
  <si>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</si>
  <si>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</si>
  <si>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</si>
  <si>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</si>
  <si>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</si>
  <si>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</si>
  <si>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</si>
  <si>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</si>
  <si>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</si>
  <si>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</si>
  <si>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</si>
  <si>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</si>
  <si>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</si>
  <si>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</si>
  <si>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</si>
  <si>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</si>
  <si>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</si>
  <si>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</si>
  <si>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</si>
  <si>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</si>
  <si>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</si>
  <si>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</si>
  <si>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</si>
  <si>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</si>
  <si>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</si>
  <si>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</si>
  <si>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</si>
  <si>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</si>
  <si>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</si>
  <si>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</si>
  <si>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</si>
  <si>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</si>
  <si>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</si>
  <si>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</si>
  <si>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</si>
  <si>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</si>
  <si>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</si>
  <si>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</si>
  <si>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</si>
  <si>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</si>
  <si>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</si>
  <si>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</si>
  <si>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</si>
  <si>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</si>
  <si>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</si>
  <si>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</si>
  <si>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</si>
  <si>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</si>
  <si>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</si>
  <si>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</si>
  <si>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</si>
  <si>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</si>
  <si>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</si>
  <si>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</si>
  <si>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</si>
  <si>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</si>
  <si>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</si>
  <si>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</si>
  <si>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</si>
  <si>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</si>
  <si>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</si>
  <si>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</si>
  <si>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</si>
  <si>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</si>
  <si>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</si>
  <si>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</si>
  <si>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</si>
  <si>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</si>
  <si>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</si>
  <si>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</si>
  <si>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</si>
  <si>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</si>
  <si>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</si>
  <si>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</si>
  <si>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</si>
  <si>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</si>
  <si>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</si>
  <si>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</si>
  <si>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</si>
  <si>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</si>
  <si>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</si>
  <si>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</si>
  <si>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</si>
  <si>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</si>
  <si>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</si>
  <si>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</si>
  <si>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</si>
  <si>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</si>
  <si>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</si>
  <si>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</si>
  <si>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</si>
  <si>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</si>
  <si>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</si>
  <si>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</si>
  <si>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</si>
  <si>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</si>
  <si>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</si>
  <si>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</si>
  <si>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</si>
  <si>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</si>
  <si>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</si>
  <si>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</si>
  <si>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</si>
  <si>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</si>
  <si>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</si>
  <si>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</si>
  <si>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</si>
  <si>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</si>
  <si>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</si>
  <si>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</si>
  <si>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</si>
  <si>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</si>
  <si>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</si>
  <si>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</si>
  <si>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</si>
  <si>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</si>
  <si>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</si>
  <si>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</si>
  <si>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</si>
  <si>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</si>
  <si>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</si>
  <si>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</si>
  <si>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</si>
  <si>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</si>
  <si>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</si>
  <si>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</si>
  <si>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</si>
  <si>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</si>
  <si>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</si>
  <si>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</si>
  <si>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</si>
  <si>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</si>
  <si>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</si>
  <si>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</si>
  <si>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</si>
  <si>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</si>
  <si>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</si>
  <si>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</si>
  <si>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</si>
  <si>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</si>
  <si>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</si>
  <si>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</si>
  <si>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</si>
  <si>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</si>
  <si>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</si>
  <si>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</si>
  <si>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</si>
  <si>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</si>
  <si>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</si>
  <si>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</si>
  <si>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</si>
  <si>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</si>
  <si>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</si>
  <si>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</si>
  <si>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</si>
  <si>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</si>
  <si>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</si>
  <si>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</si>
  <si>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</si>
  <si>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</si>
  <si>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</si>
  <si>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</si>
  <si>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</si>
  <si>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</si>
  <si>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</si>
  <si>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</si>
  <si>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</si>
  <si>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</si>
  <si>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</si>
  <si>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</si>
  <si>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</si>
  <si>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</si>
  <si>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</si>
  <si>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</si>
  <si>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</si>
  <si>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</si>
  <si>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</si>
  <si>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</si>
  <si>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</si>
  <si>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</si>
  <si>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</si>
  <si>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</si>
  <si>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</si>
  <si>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</si>
  <si>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</si>
  <si>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</si>
  <si>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</si>
  <si>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</si>
  <si>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</si>
  <si>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</si>
  <si>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</si>
  <si>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</si>
  <si>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</si>
  <si>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</si>
  <si>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</si>
  <si>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</si>
  <si>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</si>
  <si>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</si>
  <si>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</si>
  <si>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</si>
  <si>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</si>
  <si>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</si>
  <si>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</si>
  <si>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</si>
  <si>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</si>
  <si>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</si>
  <si>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</si>
  <si>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</si>
  <si>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</si>
  <si>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</si>
  <si>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</si>
  <si>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</si>
  <si>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</si>
  <si>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</si>
  <si>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</si>
  <si>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</si>
  <si>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</si>
  <si>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</si>
  <si>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</si>
  <si>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</si>
  <si>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</si>
  <si>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</si>
  <si>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</si>
  <si>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</si>
  <si>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</si>
  <si>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</si>
  <si>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</si>
  <si>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</si>
  <si>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</si>
  <si>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</si>
  <si>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</si>
  <si>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</si>
  <si>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</si>
  <si>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</si>
  <si>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</si>
  <si>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</si>
  <si>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</si>
  <si>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</si>
  <si>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</si>
  <si>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</si>
  <si>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</si>
  <si>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</si>
  <si>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</si>
  <si>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</si>
  <si>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</si>
  <si>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</si>
  <si>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</si>
  <si>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</si>
  <si>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</si>
  <si>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</si>
  <si>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</si>
  <si>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</si>
  <si>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</si>
  <si>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</si>
  <si>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</si>
  <si>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</si>
  <si>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</si>
  <si>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</si>
  <si>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</si>
  <si>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</si>
  <si>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</si>
  <si>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</si>
  <si>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</si>
  <si>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</si>
  <si>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</si>
  <si>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</si>
  <si>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</si>
  <si>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</si>
  <si>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</si>
  <si>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</si>
  <si>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</si>
  <si>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</si>
  <si>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</si>
  <si>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</si>
  <si>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</si>
  <si>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</si>
  <si>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</si>
  <si>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</si>
  <si>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</si>
  <si>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</si>
  <si>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</si>
  <si>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</si>
  <si>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</si>
  <si>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</si>
  <si>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</si>
  <si>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</si>
  <si>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</si>
  <si>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</si>
  <si>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</si>
  <si>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</si>
  <si>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</si>
  <si>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</si>
  <si>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</si>
  <si>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</si>
  <si>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</si>
  <si>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</si>
  <si>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</si>
  <si>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</si>
  <si>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</si>
  <si>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</si>
  <si>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</si>
  <si>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</si>
  <si>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</si>
  <si>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</si>
  <si>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</si>
  <si>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</si>
  <si>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</si>
  <si>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</si>
  <si>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</si>
  <si>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</si>
  <si>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</si>
  <si>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</si>
  <si>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</si>
  <si>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</si>
  <si>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</si>
  <si>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</si>
  <si>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</si>
  <si>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</si>
  <si>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</si>
  <si>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</si>
  <si>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</si>
  <si>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</si>
  <si>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</si>
  <si>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</si>
  <si>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</si>
  <si>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</si>
  <si>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</si>
  <si>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</si>
  <si>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</si>
  <si>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</si>
  <si>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</si>
  <si>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</si>
  <si>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</si>
  <si>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</si>
  <si>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</si>
  <si>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</si>
  <si>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</si>
  <si>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</si>
  <si>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</si>
  <si>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</si>
  <si>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</si>
  <si>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</si>
  <si>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</si>
  <si>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</si>
  <si>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</si>
  <si>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</si>
  <si>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</si>
  <si>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</si>
  <si>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</si>
  <si>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</si>
  <si>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</si>
  <si>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</si>
  <si>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</si>
  <si>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</si>
  <si>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</si>
  <si>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</si>
  <si>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</si>
  <si>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</si>
  <si>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</si>
  <si>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</si>
  <si>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</si>
  <si>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</si>
  <si>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</si>
  <si>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</si>
  <si>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</si>
  <si>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</si>
  <si>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</si>
  <si>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</si>
  <si>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</si>
  <si>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</si>
  <si>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</si>
  <si>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</si>
  <si>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</si>
  <si>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</si>
  <si>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</si>
  <si>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</si>
  <si>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</si>
  <si>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</si>
  <si>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</si>
  <si>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</si>
  <si>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</si>
  <si>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</si>
  <si>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</si>
  <si>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</si>
  <si>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</si>
  <si>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</si>
  <si>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</si>
  <si>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</si>
  <si>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</si>
  <si>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</si>
  <si>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</si>
  <si>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</si>
  <si>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</si>
  <si>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</si>
  <si>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</si>
  <si>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</si>
  <si>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</si>
  <si>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</si>
  <si>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</si>
  <si>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</si>
  <si>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</si>
  <si>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</si>
  <si>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</si>
  <si>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</si>
  <si>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</si>
  <si>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</si>
  <si>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</si>
  <si>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</si>
  <si>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</si>
  <si>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</si>
  <si>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</si>
  <si>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</si>
  <si>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</si>
  <si>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</si>
  <si>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</si>
  <si>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</si>
  <si>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</si>
  <si>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</si>
  <si>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</si>
  <si>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</si>
  <si>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</si>
  <si>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</si>
  <si>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</si>
  <si>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</si>
  <si>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</si>
  <si>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</si>
  <si>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</si>
  <si>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</si>
  <si>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</si>
  <si>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</si>
  <si>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</si>
  <si>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</si>
  <si>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</si>
  <si>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</si>
  <si>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</si>
  <si>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</si>
  <si>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</si>
  <si>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</si>
  <si>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</si>
  <si>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</si>
  <si>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</si>
  <si>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</si>
  <si>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</si>
  <si>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</si>
  <si>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</si>
  <si>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</si>
  <si>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</si>
  <si>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</si>
  <si>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</si>
  <si>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</si>
  <si>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</si>
  <si>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</si>
  <si>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</si>
  <si>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</si>
  <si>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</si>
  <si>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</si>
  <si>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</si>
  <si>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</si>
  <si>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</si>
  <si>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</si>
  <si>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</si>
  <si>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</si>
  <si>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</si>
  <si>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</si>
  <si>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</si>
  <si>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</si>
  <si>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</si>
  <si>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</si>
  <si>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</si>
  <si>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</si>
  <si>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</si>
  <si>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</si>
  <si>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</si>
  <si>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</si>
  <si>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</si>
  <si>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</si>
  <si>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</si>
  <si>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</si>
  <si>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</si>
  <si>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</si>
  <si>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</si>
  <si>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</si>
  <si>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</si>
  <si>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</si>
  <si>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</si>
  <si>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</si>
  <si>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</si>
  <si>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</si>
  <si>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</si>
  <si>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</si>
  <si>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</si>
  <si>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</si>
  <si>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</si>
  <si>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</si>
  <si>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</si>
  <si>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</si>
  <si>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</si>
  <si>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</si>
  <si>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</si>
  <si>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</si>
  <si>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</si>
  <si>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</si>
  <si>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</si>
  <si>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</si>
  <si>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</si>
  <si>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</si>
  <si>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</si>
  <si>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</si>
  <si>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</si>
  <si>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</si>
  <si>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</si>
  <si>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</si>
  <si>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</si>
  <si>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</si>
  <si>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</si>
  <si>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</si>
  <si>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</si>
  <si>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</si>
  <si>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</si>
  <si>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</si>
  <si>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</si>
  <si>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</si>
  <si>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</si>
  <si>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</si>
  <si>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</si>
  <si>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</si>
  <si>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</si>
  <si>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</si>
  <si>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</si>
  <si>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</si>
  <si>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</si>
  <si>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</si>
  <si>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</si>
  <si>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</si>
  <si>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</si>
  <si>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</si>
  <si>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</si>
  <si>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</si>
  <si>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</si>
  <si>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</si>
  <si>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</si>
  <si>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</si>
  <si>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</si>
  <si>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</si>
  <si>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</si>
  <si>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</si>
  <si>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</si>
  <si>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</si>
  <si>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</si>
  <si>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</si>
  <si>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</si>
  <si>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</si>
  <si>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</si>
  <si>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</si>
  <si>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</si>
  <si>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</si>
  <si>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</si>
  <si>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</si>
  <si>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</si>
  <si>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</si>
  <si>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</si>
  <si>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</si>
  <si>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</si>
  <si>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</si>
  <si>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</si>
  <si>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</si>
  <si>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</si>
  <si>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</si>
  <si>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</si>
  <si>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</si>
  <si>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</si>
  <si>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</si>
  <si>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</si>
  <si>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</si>
  <si>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</si>
  <si>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</si>
  <si>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</si>
  <si>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</si>
  <si>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</si>
  <si>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</si>
  <si>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</si>
  <si>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</si>
  <si>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</si>
  <si>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</si>
  <si>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</si>
  <si>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</si>
  <si>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</si>
  <si>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</si>
  <si>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</si>
  <si>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</si>
  <si>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</si>
  <si>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</si>
  <si>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</si>
  <si>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</si>
  <si>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</si>
  <si>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</si>
  <si>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</si>
  <si>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</si>
  <si>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</si>
  <si>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</si>
  <si>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</si>
  <si>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</si>
  <si>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</si>
  <si>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</si>
  <si>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</si>
  <si>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</si>
  <si>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</si>
  <si>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</si>
  <si>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</si>
  <si>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</si>
  <si>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</si>
  <si>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</si>
  <si>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</si>
  <si>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</si>
  <si>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</si>
  <si>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</si>
  <si>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</si>
  <si>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</si>
  <si>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</si>
  <si>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</si>
  <si>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</si>
  <si>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</si>
  <si>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</si>
  <si>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</si>
  <si>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</si>
  <si>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</si>
  <si>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</si>
  <si>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</si>
  <si>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</si>
  <si>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</si>
  <si>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</si>
  <si>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</si>
  <si>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</si>
  <si>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</si>
  <si>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</si>
  <si>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</si>
  <si>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</si>
  <si>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</si>
  <si>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</si>
  <si>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</si>
  <si>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</si>
  <si>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</si>
  <si>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</si>
  <si>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</si>
  <si>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</si>
  <si>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</si>
  <si>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</si>
  <si>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</si>
  <si>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</si>
  <si>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</si>
  <si>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</si>
  <si>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</si>
  <si>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</si>
  <si>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</si>
  <si>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</si>
  <si>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</si>
  <si>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</si>
  <si>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</si>
  <si>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</si>
  <si>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</si>
  <si>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</si>
  <si>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</si>
  <si>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</si>
  <si>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</si>
  <si>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</si>
  <si>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</si>
  <si>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</si>
  <si>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</si>
  <si>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</si>
  <si>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</si>
  <si>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</si>
  <si>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</si>
  <si>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</si>
  <si>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</si>
  <si>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</si>
  <si>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</si>
  <si>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</si>
  <si>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</si>
  <si>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</si>
  <si>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</si>
  <si>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</si>
  <si>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</si>
  <si>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</si>
  <si>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</si>
  <si>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</si>
  <si>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</si>
  <si>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</si>
  <si>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</si>
  <si>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</si>
  <si>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</si>
  <si>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</si>
  <si>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</si>
  <si>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</si>
  <si>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</si>
  <si>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</si>
  <si>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</si>
  <si>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</si>
  <si>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</si>
  <si>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</si>
  <si>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</si>
  <si>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</si>
  <si>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</si>
  <si>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</si>
  <si>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</si>
  <si>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</si>
  <si>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</si>
  <si>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</si>
  <si>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</si>
  <si>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</si>
  <si>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</si>
  <si>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</si>
  <si>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</si>
  <si>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</si>
  <si>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</si>
  <si>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</si>
  <si>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</si>
  <si>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</si>
  <si>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</si>
  <si>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</si>
  <si>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</si>
  <si>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</si>
  <si>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</si>
  <si>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</si>
  <si>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</si>
  <si>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</si>
  <si>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</si>
  <si>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</si>
  <si>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</si>
  <si>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</si>
  <si>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</si>
  <si>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</si>
  <si>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</si>
  <si>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</si>
  <si>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</si>
  <si>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</si>
  <si>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</si>
  <si>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</si>
  <si>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</si>
  <si>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</si>
  <si>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</si>
  <si>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</si>
  <si>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</si>
  <si>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</si>
  <si>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</si>
  <si>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</si>
  <si>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</si>
  <si>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</si>
  <si>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</si>
  <si>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</si>
  <si>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</si>
  <si>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</si>
  <si>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</si>
  <si>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</si>
  <si>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</si>
  <si>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</si>
  <si>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</si>
  <si>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</si>
  <si>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</si>
  <si>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</si>
  <si>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</si>
  <si>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</si>
  <si>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</si>
  <si>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</si>
  <si>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</si>
  <si>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</si>
  <si>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</si>
  <si>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</si>
  <si>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</si>
  <si>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</si>
  <si>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</si>
  <si>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</si>
  <si>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</si>
  <si>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</si>
  <si>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</si>
  <si>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</si>
  <si>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</si>
  <si>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</si>
  <si>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</si>
  <si>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</si>
  <si>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</si>
  <si>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</si>
  <si>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</si>
  <si>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</si>
  <si>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</si>
  <si>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</si>
  <si>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</si>
  <si>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</si>
  <si>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</si>
  <si>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</si>
  <si>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</si>
  <si>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</si>
  <si>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</si>
  <si>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</si>
  <si>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</si>
  <si>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</si>
  <si>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</si>
  <si>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</si>
  <si>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</si>
  <si>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</si>
  <si>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</si>
  <si>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</si>
  <si>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</si>
  <si>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</si>
  <si>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</si>
  <si>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</si>
  <si>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</si>
  <si>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</si>
  <si>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</si>
  <si>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</si>
  <si>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</si>
  <si>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</si>
  <si>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</si>
  <si>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</si>
  <si>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</si>
  <si>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</si>
  <si>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</si>
  <si>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</si>
  <si>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</si>
  <si>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</si>
  <si>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</si>
  <si>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</si>
  <si>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</si>
  <si>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</si>
  <si>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</si>
  <si>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</si>
  <si>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</si>
  <si>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</si>
  <si>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</si>
  <si>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</si>
  <si>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</si>
  <si>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</si>
  <si>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</si>
  <si>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</si>
  <si>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</si>
  <si>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</si>
  <si>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</si>
  <si>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</si>
  <si>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</si>
  <si>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</si>
  <si>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</si>
  <si>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</si>
  <si>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</si>
  <si>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</si>
  <si>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</si>
  <si>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</si>
  <si>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</si>
  <si>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</si>
  <si>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</si>
  <si>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</si>
  <si>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</si>
  <si>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</si>
  <si>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</si>
  <si>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</si>
  <si>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</si>
  <si>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</si>
  <si>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</si>
  <si>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</si>
  <si>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</si>
  <si>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</si>
  <si>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</si>
  <si>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</si>
  <si>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</si>
  <si>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</si>
  <si>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</si>
  <si>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</si>
  <si>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</si>
  <si>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</si>
  <si>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</si>
  <si>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</si>
  <si>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</si>
  <si>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</si>
  <si>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</si>
  <si>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</si>
  <si>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</si>
  <si>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</si>
  <si>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</si>
  <si>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</si>
  <si>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</si>
  <si>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</si>
  <si>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</si>
  <si>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</si>
  <si>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</si>
  <si>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</si>
  <si>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</si>
  <si>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</si>
  <si>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</si>
  <si>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</si>
  <si>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</si>
  <si>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</si>
  <si>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</si>
  <si>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</si>
  <si>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</si>
  <si>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</si>
  <si>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</si>
  <si>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</si>
  <si>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</si>
  <si>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</si>
  <si>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</si>
  <si>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</si>
  <si>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</si>
  <si>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</si>
  <si>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</si>
  <si>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</si>
  <si>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</si>
  <si>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</si>
  <si>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</si>
  <si>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</si>
  <si>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</si>
  <si>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</si>
  <si>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</si>
  <si>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</si>
  <si>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</si>
  <si>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</si>
  <si>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</si>
  <si>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</si>
  <si>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</si>
  <si>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</si>
  <si>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</si>
  <si>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</si>
  <si>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</si>
  <si>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</si>
  <si>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</si>
  <si>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</si>
  <si>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</si>
  <si>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</si>
  <si>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</si>
  <si>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</si>
  <si>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</si>
  <si>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</si>
  <si>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</si>
  <si>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</si>
  <si>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</si>
  <si>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</si>
  <si>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</si>
  <si>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</si>
  <si>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</si>
  <si>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</si>
  <si>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</si>
  <si>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</si>
  <si>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</si>
  <si>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</si>
  <si>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</si>
  <si>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</si>
  <si>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</si>
  <si>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</si>
  <si>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</si>
  <si>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</si>
  <si>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</si>
  <si>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</si>
  <si>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</si>
  <si>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</si>
  <si>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</si>
  <si>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</si>
  <si>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</si>
  <si>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</si>
  <si>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</si>
  <si>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</si>
  <si>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</si>
  <si>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</si>
  <si>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</si>
  <si>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</si>
  <si>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</si>
  <si>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</si>
  <si>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</si>
  <si>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</si>
  <si>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</si>
  <si>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</si>
  <si>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</si>
  <si>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</si>
  <si>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</si>
  <si>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</si>
  <si>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</si>
  <si>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</si>
  <si>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</si>
  <si>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</si>
  <si>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</si>
  <si>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</si>
  <si>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</si>
  <si>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</si>
  <si>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</si>
  <si>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</si>
  <si>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</si>
  <si>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</si>
  <si>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</si>
  <si>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</si>
  <si>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</si>
  <si>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</si>
  <si>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</si>
  <si>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</si>
  <si>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</si>
  <si>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</si>
  <si>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</si>
  <si>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</si>
  <si>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</si>
  <si>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</si>
  <si>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</si>
  <si>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</si>
  <si>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</si>
  <si>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</si>
  <si>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</si>
  <si>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</si>
  <si>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</si>
  <si>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</si>
  <si>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</si>
  <si>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</si>
  <si>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</si>
  <si>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</si>
  <si>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</si>
  <si>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</si>
  <si>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</si>
  <si>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</si>
  <si>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</si>
  <si>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</si>
  <si>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</si>
  <si>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</si>
  <si>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</si>
  <si>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</si>
  <si>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</si>
  <si>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</si>
  <si>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</si>
  <si>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</si>
  <si>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</si>
  <si>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</si>
  <si>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</si>
  <si>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</si>
  <si>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</si>
  <si>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</si>
  <si>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</si>
  <si>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</si>
  <si>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</si>
  <si>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</si>
  <si>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</si>
  <si>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</si>
  <si>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</si>
  <si>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</si>
  <si>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</si>
  <si>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</si>
  <si>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</si>
  <si>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</si>
  <si>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</si>
  <si>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</si>
  <si>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</si>
  <si>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</si>
  <si>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</si>
  <si>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</si>
  <si>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</si>
  <si>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</si>
  <si>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</si>
  <si>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</si>
  <si>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</si>
  <si>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</si>
  <si>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</si>
  <si>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</si>
  <si>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</si>
  <si>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</si>
  <si>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</si>
  <si>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</si>
  <si>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</si>
  <si>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</si>
  <si>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</si>
  <si>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</si>
  <si>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</si>
  <si>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</si>
  <si>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</si>
  <si>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</si>
  <si>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</si>
  <si>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</si>
  <si>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</si>
  <si>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</si>
  <si>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</si>
  <si>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</si>
  <si>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</si>
  <si>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</si>
  <si>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</si>
  <si>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</si>
  <si>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</si>
  <si>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</si>
  <si>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</si>
  <si>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</si>
  <si>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</si>
  <si>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</si>
  <si>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</si>
  <si>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</si>
  <si>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</si>
  <si>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</si>
  <si>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</si>
  <si>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</si>
  <si>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</si>
  <si>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</si>
  <si>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</si>
  <si>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</si>
  <si>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</si>
  <si>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</si>
  <si>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</si>
  <si>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</si>
  <si>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</si>
  <si>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</si>
  <si>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</si>
  <si>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</si>
  <si>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</si>
  <si>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</si>
  <si>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</si>
  <si>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</si>
  <si>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</si>
  <si>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</si>
  <si>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</si>
  <si>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</si>
  <si>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</si>
  <si>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</si>
  <si>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</si>
  <si>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</si>
  <si>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</si>
  <si>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</si>
  <si>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</si>
  <si>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</si>
  <si>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</si>
  <si>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</si>
  <si>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</si>
  <si>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</si>
  <si>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</si>
  <si>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</si>
  <si>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</si>
  <si>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</si>
  <si>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</si>
  <si>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</si>
  <si>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</si>
  <si>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</si>
  <si>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</si>
  <si>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</si>
  <si>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</si>
  <si>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</si>
  <si>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</si>
  <si>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</si>
  <si>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</si>
  <si>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</si>
  <si>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</si>
  <si>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</si>
  <si>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</si>
  <si>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</si>
  <si>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</si>
  <si>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</si>
  <si>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</si>
  <si>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</si>
  <si>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</si>
  <si>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</si>
  <si>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</si>
  <si>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</si>
  <si>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</si>
  <si>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</si>
  <si>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</si>
  <si>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</si>
  <si>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</si>
  <si>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</si>
  <si>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</si>
  <si>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</si>
  <si>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</si>
  <si>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</si>
  <si>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</si>
  <si>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</si>
  <si>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</si>
  <si>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</si>
  <si>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</si>
  <si>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</si>
  <si>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</si>
  <si>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</si>
  <si>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</si>
  <si>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</si>
  <si>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</si>
  <si>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</si>
  <si>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</si>
  <si>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</si>
  <si>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</si>
  <si>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</si>
  <si>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</si>
  <si>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</si>
  <si>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</si>
  <si>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</si>
  <si>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</si>
  <si>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</si>
  <si>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</si>
  <si>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</si>
  <si>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</si>
  <si>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</si>
  <si>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</si>
  <si>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</si>
  <si>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</si>
  <si>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</si>
  <si>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</si>
  <si>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</si>
  <si>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</si>
  <si>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</si>
  <si>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</si>
  <si>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</si>
  <si>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</si>
  <si>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</si>
  <si>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</si>
  <si>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</si>
  <si>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</si>
  <si>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</si>
  <si>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</si>
  <si>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</si>
  <si>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</si>
  <si>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</si>
  <si>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</si>
  <si>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</si>
  <si>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</si>
  <si>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</si>
  <si>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</si>
  <si>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</si>
  <si>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</si>
  <si>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</si>
  <si>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</si>
  <si>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</si>
  <si>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</si>
  <si>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</si>
  <si>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</si>
  <si>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</si>
  <si>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</si>
  <si>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</si>
  <si>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</si>
  <si>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</si>
  <si>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</si>
  <si>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</si>
  <si>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</si>
  <si>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</si>
  <si>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</si>
  <si>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</si>
  <si>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</si>
  <si>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</si>
  <si>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</si>
  <si>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</si>
  <si>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</si>
  <si>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</si>
  <si>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</si>
  <si>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</si>
  <si>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</si>
  <si>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</si>
  <si>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</si>
  <si>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</si>
  <si>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</si>
  <si>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</si>
  <si>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</si>
  <si>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</si>
  <si>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</si>
  <si>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</si>
  <si>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</si>
  <si>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</si>
  <si>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</si>
  <si>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</si>
  <si>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</si>
  <si>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</si>
  <si>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</si>
  <si>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</si>
  <si>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</si>
  <si>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</si>
  <si>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</si>
  <si>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</si>
  <si>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</si>
  <si>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</si>
  <si>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</si>
  <si>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</si>
  <si>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</si>
  <si>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</si>
  <si>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</si>
  <si>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</si>
  <si>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</si>
  <si>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</si>
  <si>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</si>
  <si>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</si>
  <si>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</si>
  <si>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</si>
  <si>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</si>
  <si>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</si>
  <si>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</si>
  <si>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</si>
  <si>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</si>
  <si>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</si>
  <si>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</si>
  <si>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</si>
  <si>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</si>
  <si>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</si>
  <si>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</si>
  <si>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</si>
  <si>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</si>
  <si>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</si>
  <si>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</si>
  <si>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</si>
  <si>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</si>
  <si>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</si>
  <si>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</si>
  <si>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</si>
  <si>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</si>
  <si>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</si>
  <si>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</si>
  <si>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</si>
  <si>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</si>
  <si>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</si>
  <si>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</si>
  <si>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</si>
  <si>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</si>
  <si>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</si>
  <si>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</si>
  <si>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</si>
  <si>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</si>
  <si>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</si>
  <si>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</si>
  <si>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</si>
  <si>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</si>
  <si>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</si>
  <si>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</si>
  <si>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</si>
  <si>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</si>
  <si>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</si>
  <si>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</si>
  <si>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</si>
  <si>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</si>
  <si>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</si>
  <si>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</si>
  <si>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</si>
  <si>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</si>
  <si>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</si>
  <si>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</si>
  <si>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</si>
  <si>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</si>
  <si>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</si>
  <si>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</si>
  <si>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</si>
  <si>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</si>
  <si>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</si>
  <si>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</si>
  <si>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</si>
  <si>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</si>
  <si>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</si>
  <si>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</si>
  <si>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</si>
  <si>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</si>
  <si>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</si>
  <si>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</si>
  <si>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</si>
  <si>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</si>
  <si>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</si>
  <si>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</si>
  <si>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</si>
  <si>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</si>
  <si>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</si>
  <si>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</si>
  <si>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</si>
  <si>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</si>
  <si>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</si>
  <si>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</si>
  <si>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</si>
  <si>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</si>
  <si>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</si>
  <si>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</si>
  <si>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</si>
  <si>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</si>
  <si>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</si>
  <si>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</si>
  <si>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</si>
  <si>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</si>
  <si>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</si>
  <si>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</si>
  <si>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</si>
  <si>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</si>
  <si>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</si>
  <si>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</si>
  <si>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</si>
  <si>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</si>
  <si>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</si>
  <si>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</si>
  <si>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</si>
  <si>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</si>
  <si>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</si>
  <si>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</si>
  <si>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</si>
  <si>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</si>
  <si>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</si>
  <si>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</si>
  <si>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</si>
  <si>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</si>
  <si>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</si>
  <si>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</si>
  <si>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</si>
  <si>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</si>
  <si>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</si>
  <si>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</si>
  <si>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</si>
  <si>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</si>
  <si>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</si>
  <si>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</si>
  <si>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</si>
  <si>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</si>
  <si>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</si>
  <si>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</si>
  <si>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</si>
  <si>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</si>
  <si>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</si>
  <si>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</si>
  <si>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</si>
  <si>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</si>
  <si>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</si>
  <si>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</si>
  <si>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</si>
  <si>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</si>
  <si>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</si>
  <si>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</si>
  <si>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</si>
  <si>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</si>
  <si>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</si>
  <si>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</si>
  <si>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</si>
  <si>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</si>
  <si>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</si>
  <si>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</si>
  <si>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</si>
  <si>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</si>
  <si>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</si>
  <si>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</si>
  <si>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</si>
  <si>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</si>
  <si>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</si>
  <si>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</si>
  <si>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</si>
  <si>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</si>
  <si>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</si>
  <si>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</si>
  <si>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</si>
  <si>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</si>
  <si>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</si>
  <si>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</si>
  <si>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</si>
  <si>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</si>
  <si>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</si>
  <si>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</si>
  <si>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</si>
  <si>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</si>
  <si>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</si>
  <si>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</si>
  <si>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</si>
  <si>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</si>
  <si>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</si>
  <si>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</si>
  <si>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</si>
  <si>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</si>
  <si>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</si>
  <si>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</si>
  <si>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</si>
  <si>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</si>
  <si>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</si>
  <si>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</si>
  <si>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</si>
  <si>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</si>
  <si>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</si>
  <si>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</si>
  <si>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</si>
  <si>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</si>
  <si>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</si>
  <si>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</si>
  <si>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</si>
  <si>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</si>
  <si>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</si>
  <si>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</si>
  <si>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</si>
  <si>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</si>
  <si>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</si>
  <si>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</si>
  <si>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</si>
  <si>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</si>
  <si>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</si>
  <si>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</si>
  <si>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</si>
  <si>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</si>
  <si>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</si>
  <si>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</si>
  <si>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</si>
  <si>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</si>
  <si>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</si>
  <si>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</si>
  <si>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</si>
  <si>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</si>
  <si>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</si>
  <si>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</si>
  <si>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</si>
  <si>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</si>
  <si>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</si>
  <si>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</si>
  <si>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</si>
  <si>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</si>
  <si>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</si>
  <si>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</si>
  <si>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</si>
  <si>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</si>
  <si>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</si>
  <si>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</si>
  <si>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</si>
  <si>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</si>
  <si>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</si>
  <si>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</si>
  <si>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</si>
  <si>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</si>
  <si>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</si>
  <si>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</si>
  <si>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</si>
  <si>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</si>
  <si>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</si>
  <si>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</si>
  <si>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</si>
  <si>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</si>
  <si>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</si>
  <si>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</si>
  <si>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</si>
  <si>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</si>
  <si>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</si>
  <si>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</si>
  <si>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</si>
  <si>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</si>
  <si>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</si>
  <si>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</si>
  <si>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</si>
  <si>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</si>
  <si>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</si>
  <si>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</si>
  <si>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</si>
  <si>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</si>
  <si>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</si>
  <si>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</si>
  <si>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</si>
  <si>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</si>
  <si>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</si>
  <si>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</si>
  <si>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</si>
  <si>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</si>
  <si>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</si>
  <si>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</si>
  <si>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</si>
  <si>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</si>
  <si>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</si>
  <si>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</si>
  <si>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</si>
  <si>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</si>
  <si>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</si>
  <si>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</si>
  <si>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</si>
  <si>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</si>
  <si>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</si>
  <si>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</si>
  <si>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</si>
  <si>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</si>
  <si>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</si>
  <si>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</si>
  <si>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</si>
  <si>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</si>
  <si>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</si>
  <si>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</si>
  <si>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</si>
  <si>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</si>
  <si>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</si>
  <si>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</si>
  <si>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</si>
  <si>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</si>
  <si>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</si>
  <si>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</si>
  <si>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</si>
  <si>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</si>
  <si>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</si>
  <si>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</si>
  <si>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</si>
  <si>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</si>
  <si>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</si>
  <si>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</si>
  <si>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</si>
  <si>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</si>
  <si>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</si>
  <si>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</si>
  <si>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</si>
  <si>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</si>
  <si>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</si>
  <si>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</si>
  <si>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</si>
  <si>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</si>
  <si>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</si>
  <si>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</si>
  <si>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</si>
  <si>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</si>
  <si>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</si>
  <si>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</si>
  <si>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</si>
  <si>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</si>
  <si>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</si>
  <si>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</si>
  <si>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</si>
  <si>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</si>
  <si>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</si>
  <si>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</si>
  <si>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</si>
  <si>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</si>
  <si>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</si>
  <si>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</si>
  <si>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</si>
  <si>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</si>
  <si>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</si>
  <si>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</si>
  <si>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</si>
  <si>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</si>
  <si>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</si>
  <si>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</si>
  <si>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</si>
  <si>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</si>
  <si>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</si>
  <si>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</si>
  <si>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</si>
  <si>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</si>
  <si>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</si>
  <si>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</si>
  <si>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</si>
  <si>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</si>
  <si>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</si>
  <si>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</si>
  <si>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</si>
  <si>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</si>
  <si>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</si>
  <si>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</si>
  <si>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</si>
  <si>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</si>
  <si>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</si>
  <si>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</si>
  <si>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</si>
  <si>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</si>
  <si>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</si>
  <si>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</si>
  <si>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</si>
  <si>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</si>
  <si>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</si>
  <si>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</si>
  <si>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</si>
  <si>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</si>
  <si>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</si>
  <si>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</si>
  <si>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</si>
  <si>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</si>
  <si>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</si>
  <si>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</si>
  <si>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</si>
  <si>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</si>
  <si>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</si>
  <si>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</si>
  <si>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</si>
  <si>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</si>
  <si>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</si>
  <si>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</si>
  <si>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</si>
  <si>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</si>
  <si>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</si>
  <si>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</si>
  <si>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</si>
  <si>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</si>
  <si>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</si>
  <si>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</si>
  <si>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</si>
  <si>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</si>
  <si>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</si>
  <si>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</si>
  <si>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</si>
  <si>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</si>
  <si>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</si>
  <si>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</si>
  <si>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</si>
  <si>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</si>
  <si>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</si>
  <si>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</si>
  <si>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</si>
  <si>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</si>
  <si>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</si>
  <si>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</si>
  <si>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</si>
  <si>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</si>
  <si>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</si>
  <si>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</si>
  <si>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</si>
  <si>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</si>
  <si>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</si>
  <si>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</si>
  <si>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</si>
  <si>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</si>
  <si>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</si>
  <si>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</si>
  <si>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</si>
  <si>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</si>
  <si>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</si>
  <si>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</si>
  <si>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</si>
  <si>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</si>
  <si>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</si>
  <si>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</si>
  <si>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</si>
  <si>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</si>
  <si>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</si>
  <si>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</si>
  <si>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</si>
  <si>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</si>
  <si>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</si>
  <si>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</si>
  <si>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</si>
  <si>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</si>
  <si>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</si>
  <si>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</si>
  <si>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</si>
  <si>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</si>
  <si>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</si>
  <si>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</si>
  <si>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</si>
  <si>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</si>
  <si>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</si>
  <si>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</si>
  <si>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</si>
  <si>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</si>
  <si>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</si>
  <si>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</si>
  <si>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</si>
  <si>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</si>
  <si>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</si>
  <si>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</si>
  <si>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</si>
  <si>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</si>
  <si>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</si>
  <si>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</si>
  <si>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</si>
  <si>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</si>
  <si>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</si>
  <si>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</si>
  <si>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</si>
  <si>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</si>
  <si>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</si>
  <si>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</si>
  <si>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</si>
  <si>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</si>
  <si>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</si>
  <si>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</si>
  <si>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</si>
  <si>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</si>
  <si>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</si>
  <si>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</si>
  <si>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</si>
  <si>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</si>
  <si>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</si>
  <si>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</si>
  <si>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</si>
  <si>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</si>
  <si>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</si>
  <si>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</si>
  <si>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</si>
  <si>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</si>
  <si>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</si>
  <si>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</si>
  <si>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</si>
  <si>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</si>
  <si>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</si>
  <si>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</si>
  <si>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</si>
  <si>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</si>
  <si>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</si>
  <si>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</si>
  <si>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</si>
  <si>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</si>
  <si>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</si>
  <si>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</si>
  <si>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</si>
  <si>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</si>
  <si>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</si>
  <si>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</si>
  <si>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</si>
  <si>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</si>
  <si>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</si>
  <si>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</si>
  <si>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</si>
  <si>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</si>
  <si>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</si>
  <si>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</si>
  <si>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</si>
  <si>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</si>
  <si>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</si>
  <si>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</si>
  <si>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</si>
  <si>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</si>
  <si>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</si>
  <si>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</si>
  <si>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</si>
  <si>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</si>
  <si>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</si>
  <si>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</si>
  <si>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</si>
  <si>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</si>
  <si>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</si>
  <si>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</si>
  <si>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</si>
  <si>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</si>
  <si>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</si>
  <si>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</si>
  <si>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</si>
  <si>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</si>
  <si>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</si>
  <si>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</si>
  <si>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</si>
  <si>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</si>
  <si>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</si>
  <si>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</si>
  <si>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</si>
  <si>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</si>
  <si>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</si>
  <si>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</si>
  <si>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</si>
  <si>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</si>
  <si>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</si>
  <si>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</si>
  <si>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</si>
  <si>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</si>
  <si>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</si>
  <si>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</si>
  <si>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</si>
  <si>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</si>
  <si>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</si>
  <si>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</si>
  <si>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</si>
  <si>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</si>
  <si>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</si>
  <si>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</si>
  <si>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</si>
  <si>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</si>
  <si>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</si>
  <si>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</si>
  <si>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</si>
  <si>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</si>
  <si>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</si>
  <si>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</si>
  <si>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</si>
  <si>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</si>
  <si>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</si>
  <si>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</si>
  <si>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</si>
  <si>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</si>
  <si>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</si>
  <si>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</si>
  <si>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</si>
  <si>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</si>
  <si>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</si>
  <si>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</si>
  <si>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</si>
  <si>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</si>
  <si>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</si>
  <si>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</si>
  <si>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</si>
  <si>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</si>
  <si>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</si>
  <si>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</si>
  <si>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</si>
  <si>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</si>
  <si>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</si>
  <si>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</si>
  <si>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</si>
  <si>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</si>
  <si>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</si>
  <si>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</si>
  <si>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</si>
  <si>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</si>
  <si>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</si>
  <si>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</si>
  <si>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</si>
  <si>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</si>
  <si>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</si>
  <si>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</si>
  <si>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</si>
  <si>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</si>
  <si>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</si>
  <si>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</si>
  <si>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</si>
  <si>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</si>
  <si>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</si>
  <si>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</si>
  <si>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</si>
  <si>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</si>
  <si>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</si>
  <si>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</si>
  <si>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</si>
  <si>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</si>
  <si>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</si>
  <si>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</si>
  <si>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</si>
  <si>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</si>
  <si>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</si>
  <si>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</si>
  <si>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</si>
  <si>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</si>
  <si>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</si>
  <si>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</si>
  <si>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</si>
  <si>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</si>
  <si>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</si>
  <si>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</si>
  <si>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</si>
  <si>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</si>
  <si>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</si>
  <si>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</si>
  <si>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</si>
  <si>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</si>
  <si>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</si>
  <si>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</si>
  <si>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</si>
  <si>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</si>
  <si>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</si>
  <si>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</si>
  <si>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</si>
  <si>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</si>
  <si>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</si>
  <si>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</si>
  <si>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</si>
  <si>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</si>
  <si>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</si>
  <si>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</si>
  <si>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</si>
  <si>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</si>
  <si>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</si>
  <si>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</si>
  <si>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</si>
  <si>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</si>
  <si>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</si>
  <si>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</si>
  <si>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</si>
  <si>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</si>
  <si>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</si>
  <si>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</si>
  <si>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</si>
  <si>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</si>
  <si>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</si>
  <si>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</si>
  <si>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</si>
  <si>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</si>
  <si>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</si>
  <si>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</si>
  <si>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</si>
  <si>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</si>
  <si>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</si>
  <si>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</si>
  <si>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</si>
  <si>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</si>
  <si>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</si>
  <si>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</si>
  <si>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</si>
  <si>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</si>
  <si>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</si>
  <si>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</si>
  <si>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</si>
  <si>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</si>
  <si>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</si>
  <si>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</si>
  <si>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</si>
  <si>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</si>
  <si>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</si>
  <si>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</si>
  <si>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</si>
  <si>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</si>
  <si>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</si>
  <si>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</si>
  <si>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</si>
  <si>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</si>
  <si>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</si>
  <si>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</si>
  <si>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</si>
  <si>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</si>
  <si>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</si>
  <si>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</si>
  <si>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</si>
  <si>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</si>
  <si>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</si>
  <si>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</si>
  <si>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</si>
  <si>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</si>
  <si>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</si>
  <si>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</si>
  <si>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</si>
  <si>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</si>
  <si>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</si>
  <si>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</si>
  <si>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</si>
  <si>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</si>
  <si>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</si>
  <si>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</si>
  <si>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</si>
  <si>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</si>
  <si>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</si>
  <si>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</si>
  <si>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</si>
  <si>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</si>
  <si>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</si>
  <si>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</si>
  <si>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</si>
  <si>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</si>
  <si>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</si>
  <si>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</si>
  <si>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</si>
  <si>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</si>
  <si>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</si>
  <si>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</si>
  <si>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</si>
  <si>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</si>
  <si>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</si>
  <si>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</si>
  <si>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</si>
  <si>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</si>
  <si>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</si>
  <si>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</si>
  <si>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</si>
  <si>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</si>
  <si>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</si>
  <si>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</si>
  <si>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</si>
  <si>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</si>
  <si>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</si>
  <si>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</si>
  <si>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</si>
  <si>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</si>
  <si>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</si>
  <si>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</si>
  <si>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</si>
  <si>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</si>
  <si>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</si>
  <si>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</si>
  <si>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</si>
  <si>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</si>
  <si>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</si>
  <si>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</si>
  <si>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</si>
  <si>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</si>
  <si>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</si>
  <si>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</si>
  <si>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</si>
  <si>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</si>
  <si>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</si>
  <si>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</si>
  <si>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</si>
  <si>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</si>
  <si>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</si>
  <si>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</si>
  <si>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</si>
  <si>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</si>
  <si>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</si>
  <si>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</si>
  <si>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</si>
  <si>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</si>
  <si>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</si>
  <si>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</si>
  <si>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</si>
  <si>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</si>
  <si>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</si>
  <si>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</si>
  <si>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</si>
  <si>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</si>
  <si>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</si>
  <si>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</si>
  <si>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</si>
  <si>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</si>
  <si>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</si>
  <si>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</si>
  <si>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</si>
  <si>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</si>
  <si>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</si>
  <si>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</si>
  <si>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</si>
  <si>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</si>
  <si>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</si>
  <si>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</si>
  <si>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</si>
  <si>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</si>
  <si>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</si>
  <si>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</si>
  <si>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</si>
  <si>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</si>
  <si>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</si>
  <si>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</si>
  <si>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</si>
  <si>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</si>
  <si>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</si>
  <si>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</si>
  <si>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</si>
  <si>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</si>
  <si>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</si>
  <si>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</si>
  <si>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</si>
  <si>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</si>
  <si>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</si>
  <si>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</si>
  <si>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</si>
  <si>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</si>
  <si>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</si>
  <si>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</si>
  <si>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</si>
  <si>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</si>
  <si>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</si>
  <si>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</si>
  <si>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</si>
  <si>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</si>
  <si>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</si>
  <si>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</si>
  <si>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</si>
  <si>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</si>
  <si>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</si>
  <si>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</si>
  <si>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</si>
  <si>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</si>
  <si>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</si>
  <si>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</si>
  <si>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</si>
  <si>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</si>
  <si>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</si>
  <si>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</si>
  <si>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</si>
  <si>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</si>
  <si>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</si>
  <si>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</si>
  <si>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</si>
  <si>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</si>
  <si>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</si>
  <si>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</si>
  <si>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</si>
  <si>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</si>
  <si>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</si>
  <si>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</si>
  <si>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</si>
  <si>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</si>
  <si>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</si>
  <si>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</si>
  <si>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</si>
  <si>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</si>
  <si>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</si>
  <si>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</si>
  <si>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</si>
  <si>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</si>
  <si>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</si>
  <si>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</si>
  <si>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</si>
  <si>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</si>
  <si>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</si>
  <si>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</si>
  <si>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</si>
  <si>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</si>
  <si>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</si>
  <si>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</si>
  <si>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</si>
  <si>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</si>
  <si>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</si>
  <si>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</si>
  <si>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</si>
  <si>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</si>
  <si>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</si>
  <si>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</si>
  <si>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</si>
  <si>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</si>
  <si>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</si>
  <si>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</si>
  <si>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</si>
  <si>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</si>
  <si>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</si>
  <si>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</si>
  <si>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</si>
  <si>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</si>
  <si>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</si>
  <si>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</si>
  <si>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</si>
  <si>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</si>
  <si>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</si>
  <si>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</si>
  <si>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</si>
  <si>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</si>
  <si>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</si>
  <si>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</si>
  <si>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</si>
  <si>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</si>
  <si>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</si>
  <si>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</si>
  <si>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</si>
  <si>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</si>
  <si>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</si>
  <si>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</si>
  <si>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</si>
  <si>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</si>
  <si>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</si>
  <si>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</si>
  <si>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</si>
  <si>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</si>
  <si>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</si>
  <si>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</si>
  <si>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</si>
  <si>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</si>
  <si>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</si>
  <si>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</si>
  <si>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</si>
  <si>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</si>
  <si>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</si>
  <si>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</si>
  <si>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</si>
  <si>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</si>
  <si>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</si>
  <si>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</si>
  <si>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</si>
  <si>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</si>
  <si>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</si>
  <si>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</si>
  <si>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</si>
  <si>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</si>
  <si>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</si>
  <si>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</si>
  <si>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</si>
  <si>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</si>
  <si>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</si>
  <si>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</si>
  <si>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</si>
  <si>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</si>
  <si>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</si>
  <si>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</si>
  <si>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</si>
  <si>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</si>
  <si>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</si>
  <si>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</si>
  <si>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</si>
  <si>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</si>
  <si>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</si>
  <si>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</si>
  <si>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</si>
  <si>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</si>
  <si>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</si>
  <si>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</si>
  <si>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</si>
  <si>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</si>
  <si>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</si>
  <si>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</si>
  <si>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</si>
  <si>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</si>
  <si>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</si>
  <si>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</si>
  <si>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</si>
  <si>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</si>
  <si>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</si>
  <si>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</si>
  <si>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</si>
  <si>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</si>
  <si>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</si>
  <si>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</si>
  <si>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</si>
  <si>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</si>
  <si>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</si>
  <si>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</si>
  <si>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</si>
  <si>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</si>
  <si>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</si>
  <si>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</si>
  <si>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</si>
  <si>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</si>
  <si>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</si>
  <si>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</si>
  <si>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</si>
  <si>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</si>
  <si>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</si>
  <si>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</si>
  <si>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</si>
  <si>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</si>
  <si>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</si>
  <si>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</si>
  <si>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</si>
  <si>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</si>
  <si>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</si>
  <si>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</si>
  <si>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</si>
  <si>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</si>
  <si>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</si>
  <si>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</si>
  <si>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</si>
  <si>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</si>
  <si>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</si>
  <si>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</si>
  <si>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</si>
  <si>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</si>
  <si>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</si>
  <si>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</si>
  <si>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</si>
  <si>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</si>
  <si>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</si>
  <si>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</si>
  <si>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</si>
  <si>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</si>
  <si>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</si>
  <si>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</si>
  <si>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</si>
  <si>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</si>
  <si>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</si>
  <si>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</si>
  <si>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</si>
  <si>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</si>
  <si>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</si>
  <si>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</si>
  <si>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</si>
  <si>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</si>
  <si>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</si>
  <si>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</si>
  <si>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</si>
  <si>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</si>
  <si>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</si>
  <si>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</si>
  <si>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</si>
  <si>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</si>
  <si>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</si>
  <si>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</si>
  <si>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</si>
  <si>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</si>
  <si>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</si>
  <si>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</si>
  <si>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</si>
  <si>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</si>
  <si>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</si>
  <si>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</si>
  <si>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</si>
  <si>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</si>
  <si>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</si>
  <si>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</si>
  <si>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</si>
  <si>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</si>
  <si>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</si>
  <si>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</si>
  <si>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</si>
  <si>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</si>
  <si>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</si>
  <si>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</si>
  <si>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</si>
  <si>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</si>
  <si>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</si>
  <si>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</si>
  <si>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</si>
  <si>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</si>
  <si>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</si>
  <si>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</si>
  <si>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</si>
  <si>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</si>
  <si>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</si>
  <si>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</si>
  <si>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</si>
  <si>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</si>
  <si>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</si>
  <si>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</si>
  <si>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</si>
  <si>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</si>
  <si>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</si>
  <si>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</si>
  <si>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</si>
  <si>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</si>
  <si>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</si>
  <si>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</si>
  <si>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</si>
  <si>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</si>
  <si>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</si>
  <si>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</si>
  <si>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</si>
  <si>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</si>
  <si>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</si>
  <si>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</si>
  <si>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</si>
  <si>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</si>
  <si>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</si>
  <si>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</si>
  <si>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</si>
  <si>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</si>
  <si>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</si>
  <si>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</si>
  <si>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</si>
  <si>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</si>
  <si>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</si>
  <si>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</si>
  <si>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</si>
  <si>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</si>
  <si>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</si>
  <si>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</si>
  <si>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</si>
  <si>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</si>
  <si>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</si>
  <si>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</si>
  <si>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</si>
  <si>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</si>
  <si>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</si>
  <si>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</si>
  <si>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</si>
  <si>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</si>
  <si>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</si>
  <si>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</si>
  <si>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</si>
  <si>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</si>
  <si>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</si>
  <si>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</si>
  <si>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</si>
  <si>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</si>
  <si>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</si>
  <si>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</si>
  <si>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</si>
  <si>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</si>
  <si>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</si>
  <si>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</si>
  <si>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</si>
  <si>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</si>
  <si>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</si>
  <si>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</si>
  <si>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</si>
  <si>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</si>
  <si>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</si>
  <si>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</si>
  <si>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</si>
  <si>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</si>
  <si>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</si>
  <si>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</si>
  <si>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</si>
  <si>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</si>
  <si>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</si>
  <si>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</si>
  <si>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</si>
  <si>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</si>
  <si>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</si>
  <si>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</si>
  <si>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</si>
  <si>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</si>
  <si>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</si>
  <si>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</si>
  <si>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</si>
  <si>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</si>
  <si>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</si>
  <si>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</si>
  <si>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</si>
  <si>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</si>
  <si>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</si>
  <si>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</si>
  <si>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</si>
  <si>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</si>
  <si>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</si>
  <si>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</si>
  <si>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</si>
  <si>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</si>
  <si>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</si>
  <si>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</si>
  <si>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</si>
  <si>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</si>
  <si>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</si>
  <si>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</si>
  <si>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</si>
  <si>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</si>
  <si>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</si>
  <si>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</si>
  <si>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</si>
  <si>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</si>
  <si>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</si>
  <si>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</si>
  <si>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</si>
  <si>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</si>
  <si>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</si>
  <si>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</si>
  <si>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</si>
  <si>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</si>
  <si>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</si>
  <si>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</si>
  <si>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</si>
  <si>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</si>
  <si>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</si>
  <si>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</si>
  <si>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</si>
  <si>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</si>
  <si>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</si>
  <si>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</si>
  <si>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</si>
  <si>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</si>
  <si>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</si>
  <si>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</si>
  <si>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</si>
  <si>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</si>
  <si>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</si>
  <si>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</si>
  <si>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</si>
  <si>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</si>
  <si>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</si>
  <si>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</si>
  <si>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</si>
  <si>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</si>
  <si>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</si>
  <si>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</si>
  <si>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</si>
  <si>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</si>
  <si>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</si>
  <si>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</si>
  <si>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</si>
  <si>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</si>
  <si>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</si>
  <si>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</si>
  <si>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</si>
  <si>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</si>
  <si>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</si>
  <si>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</si>
  <si>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</si>
  <si>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</si>
  <si>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</si>
  <si>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</si>
  <si>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</si>
  <si>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</si>
  <si>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</si>
  <si>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</si>
  <si>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</si>
  <si>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</si>
  <si>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</si>
  <si>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</si>
  <si>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</si>
  <si>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</si>
  <si>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</si>
  <si>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</si>
  <si>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</si>
  <si>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</si>
  <si>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</si>
  <si>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</si>
  <si>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</si>
  <si>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</si>
  <si>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</si>
  <si>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</si>
  <si>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</si>
  <si>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</si>
  <si>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</si>
  <si>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</si>
  <si>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</si>
  <si>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</si>
  <si>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</si>
  <si>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</si>
  <si>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</si>
  <si>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</si>
  <si>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</si>
  <si>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</si>
  <si>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</si>
  <si>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</si>
  <si>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</si>
  <si>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</si>
  <si>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</si>
  <si>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</si>
  <si>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</si>
  <si>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</si>
  <si>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</si>
  <si>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</si>
  <si>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</si>
  <si>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</si>
  <si>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</si>
  <si>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</si>
  <si>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</si>
  <si>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</si>
  <si>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</si>
  <si>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</si>
  <si>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</si>
  <si>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</si>
  <si>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</si>
  <si>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</si>
  <si>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</si>
  <si>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</si>
  <si>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</si>
  <si>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</si>
  <si>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</si>
  <si>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</si>
  <si>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</si>
  <si>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</si>
  <si>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</si>
  <si>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</si>
  <si>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</si>
  <si>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</si>
  <si>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</si>
  <si>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</si>
  <si>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</si>
  <si>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</si>
  <si>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</si>
  <si>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</si>
  <si>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</si>
  <si>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</si>
  <si>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</si>
  <si>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</si>
  <si>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</si>
  <si>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</si>
  <si>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</si>
  <si>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</si>
  <si>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</si>
  <si>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</si>
  <si>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</si>
  <si>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</si>
  <si>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</si>
  <si>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</si>
  <si>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</si>
  <si>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</si>
  <si>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</si>
  <si>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</si>
  <si>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</si>
  <si>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</si>
  <si>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</si>
  <si>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</si>
  <si>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</si>
  <si>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</si>
  <si>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</si>
  <si>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</si>
  <si>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</si>
  <si>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</si>
  <si>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</si>
  <si>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</si>
  <si>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</si>
  <si>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</si>
  <si>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</si>
  <si>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</si>
  <si>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</si>
  <si>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</si>
  <si>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</si>
  <si>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</si>
  <si>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</si>
  <si>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</si>
  <si>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</si>
  <si>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</si>
  <si>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</si>
  <si>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</si>
  <si>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</si>
  <si>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</si>
  <si>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</si>
  <si>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</si>
  <si>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</si>
  <si>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</si>
  <si>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</si>
  <si>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</si>
  <si>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</si>
  <si>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</si>
  <si>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</si>
  <si>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</si>
  <si>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</si>
  <si>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</si>
  <si>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</si>
  <si>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</si>
  <si>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</si>
  <si>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</si>
  <si>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</si>
  <si>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</si>
  <si>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</si>
  <si>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</si>
  <si>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</si>
  <si>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</si>
  <si>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</si>
  <si>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</si>
  <si>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</si>
  <si>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</si>
  <si>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</si>
  <si>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</si>
  <si>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</si>
  <si>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</si>
  <si>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</si>
  <si>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</si>
  <si>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</si>
  <si>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</si>
  <si>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</si>
  <si>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</si>
  <si>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</si>
  <si>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</si>
  <si>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</si>
  <si>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</si>
  <si>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</si>
  <si>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</si>
  <si>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</si>
  <si>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</si>
  <si>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</si>
  <si>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</si>
  <si>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</si>
  <si>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</si>
  <si>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</si>
  <si>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</si>
  <si>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</si>
  <si>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</si>
  <si>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</si>
  <si>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</si>
  <si>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</si>
  <si>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</si>
  <si>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</si>
  <si>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</si>
  <si>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</si>
  <si>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</si>
  <si>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</si>
  <si>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</si>
  <si>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</si>
  <si>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</si>
  <si>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</si>
  <si>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</si>
  <si>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</si>
  <si>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</si>
  <si>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</si>
  <si>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</si>
  <si>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</si>
  <si>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</si>
  <si>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</si>
  <si>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</si>
  <si>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</si>
  <si>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</si>
  <si>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</si>
  <si>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</si>
  <si>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</si>
  <si>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</si>
  <si>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</si>
  <si>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</si>
  <si>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</si>
  <si>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</si>
  <si>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</si>
  <si>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</si>
  <si>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</si>
  <si>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</si>
  <si>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</si>
  <si>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</si>
  <si>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</si>
  <si>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</si>
  <si>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</si>
  <si>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</si>
  <si>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</si>
  <si>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</si>
  <si>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</si>
  <si>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</si>
  <si>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</si>
  <si>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</si>
  <si>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</si>
  <si>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</si>
  <si>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</si>
  <si>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</si>
  <si>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</si>
  <si>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</si>
  <si>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</si>
  <si>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</si>
  <si>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</si>
  <si>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</si>
  <si>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</si>
  <si>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</si>
  <si>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</si>
  <si>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</si>
  <si>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</si>
  <si>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</si>
  <si>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</si>
  <si>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</si>
  <si>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</si>
  <si>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</si>
  <si>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</si>
  <si>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</si>
  <si>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</si>
  <si>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</si>
  <si>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</si>
  <si>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</si>
  <si>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</si>
  <si>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</si>
  <si>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</si>
  <si>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</si>
  <si>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</si>
  <si>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</si>
  <si>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</si>
  <si>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</si>
  <si>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</si>
  <si>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</si>
  <si>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</si>
  <si>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</si>
  <si>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</si>
  <si>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</si>
  <si>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</si>
  <si>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</si>
  <si>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</si>
  <si>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</si>
  <si>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</si>
  <si>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</si>
  <si>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</si>
  <si>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</si>
  <si>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</si>
  <si>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</si>
  <si>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</si>
  <si>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</si>
  <si>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</si>
  <si>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</si>
  <si>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</si>
  <si>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</si>
  <si>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</si>
  <si>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</si>
  <si>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</si>
  <si>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</si>
  <si>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</si>
  <si>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</si>
  <si>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</si>
  <si>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</si>
  <si>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</si>
  <si>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</si>
  <si>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</si>
  <si>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</si>
  <si>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</si>
  <si>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</si>
  <si>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</si>
  <si>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</si>
  <si>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</si>
  <si>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</si>
  <si>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</si>
  <si>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</si>
  <si>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</si>
  <si>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</si>
  <si>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</si>
  <si>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</si>
  <si>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</si>
  <si>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</si>
  <si>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</si>
  <si>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</si>
  <si>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</si>
  <si>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</si>
  <si>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</si>
  <si>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</si>
  <si>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</si>
  <si>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</si>
  <si>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</si>
  <si>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</si>
  <si>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</si>
  <si>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</si>
  <si>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</si>
  <si>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</si>
  <si>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</si>
  <si>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</si>
  <si>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</si>
  <si>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</si>
  <si>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</si>
  <si>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</si>
  <si>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</si>
  <si>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</si>
  <si>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</si>
  <si>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</si>
  <si>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</si>
  <si>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</si>
  <si>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</si>
  <si>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</si>
  <si>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</si>
  <si>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</si>
  <si>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</si>
  <si>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</si>
  <si>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</si>
  <si>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</si>
  <si>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</si>
  <si>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</si>
  <si>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</si>
  <si>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</si>
  <si>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</si>
  <si>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</si>
  <si>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</si>
  <si>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</si>
  <si>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</si>
  <si>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</si>
  <si>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</si>
  <si>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</si>
  <si>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</si>
  <si>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</si>
  <si>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</si>
  <si>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</si>
  <si>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</si>
  <si>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</si>
  <si>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</si>
  <si>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</si>
  <si>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</si>
  <si>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</si>
  <si>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</si>
  <si>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</si>
  <si>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</si>
  <si>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</si>
  <si>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</si>
  <si>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</si>
  <si>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</si>
  <si>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</si>
  <si>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</si>
  <si>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</si>
  <si>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</si>
  <si>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</si>
  <si>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</si>
  <si>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</si>
  <si>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</si>
  <si>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</si>
  <si>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</si>
  <si>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</si>
  <si>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</si>
  <si>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</si>
  <si>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</si>
  <si>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</si>
  <si>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</si>
  <si>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</si>
  <si>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</si>
  <si>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</si>
  <si>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</si>
  <si>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</si>
  <si>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</si>
  <si>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</si>
  <si>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</si>
  <si>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</si>
  <si>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</si>
  <si>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</si>
  <si>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</si>
  <si>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</si>
  <si>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</si>
  <si>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</si>
  <si>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</si>
  <si>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</si>
  <si>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</si>
  <si>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</si>
  <si>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</si>
  <si>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</si>
  <si>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</si>
  <si>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</si>
  <si>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</si>
  <si>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</si>
  <si>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</si>
  <si>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</si>
  <si>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</si>
  <si>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</si>
  <si>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</si>
  <si>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</si>
  <si>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</si>
  <si>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</si>
  <si>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</si>
  <si>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</si>
  <si>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</si>
  <si>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</si>
  <si>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</si>
  <si>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</si>
  <si>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</si>
  <si>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</si>
  <si>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</si>
  <si>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</si>
  <si>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</si>
  <si>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</si>
  <si>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</si>
  <si>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</si>
  <si>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</si>
  <si>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</si>
  <si>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</si>
  <si>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</si>
  <si>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</si>
  <si>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</si>
  <si>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</si>
  <si>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</si>
  <si>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</si>
  <si>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</si>
  <si>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</si>
  <si>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</si>
  <si>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</si>
  <si>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</si>
  <si>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</si>
  <si>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</si>
  <si>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</si>
  <si>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</si>
  <si>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</si>
  <si>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</si>
  <si>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</si>
  <si>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</si>
  <si>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</si>
  <si>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</si>
  <si>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</si>
  <si>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</si>
  <si>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</si>
  <si>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</si>
  <si>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</si>
  <si>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</si>
  <si>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</si>
  <si>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</si>
  <si>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</si>
  <si>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</si>
  <si>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</si>
  <si>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</si>
  <si>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</si>
  <si>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</si>
  <si>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</si>
  <si>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</si>
  <si>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</si>
  <si>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</si>
  <si>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</si>
  <si>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</si>
  <si>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</si>
  <si>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</si>
  <si>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</si>
  <si>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</si>
  <si>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</si>
  <si>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</si>
  <si>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</si>
  <si>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</si>
  <si>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</si>
  <si>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</si>
  <si>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</si>
  <si>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</si>
  <si>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</si>
  <si>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</si>
  <si>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</si>
  <si>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</si>
  <si>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</si>
  <si>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</si>
  <si>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</si>
  <si>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</si>
  <si>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</si>
  <si>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</si>
  <si>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</si>
  <si>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</si>
  <si>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</si>
  <si>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</si>
  <si>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</si>
  <si>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</si>
  <si>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</si>
  <si>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</si>
  <si>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</si>
  <si>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</si>
  <si>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</si>
  <si>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</si>
  <si>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</si>
  <si>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</si>
  <si>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</si>
  <si>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</si>
  <si>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</si>
  <si>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</si>
  <si>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</si>
  <si>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</si>
  <si>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</si>
  <si>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</si>
  <si>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</si>
  <si>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</si>
  <si>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</si>
  <si>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</si>
  <si>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</si>
  <si>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</si>
  <si>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</si>
  <si>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</si>
  <si>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</si>
  <si>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</si>
  <si>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</si>
  <si>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</si>
  <si>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</si>
  <si>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</si>
  <si>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</si>
  <si>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</si>
  <si>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</si>
  <si>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</si>
  <si>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</si>
  <si>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</si>
  <si>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</si>
  <si>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</si>
  <si>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</si>
  <si>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</si>
  <si>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</si>
  <si>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</si>
  <si>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</si>
  <si>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</si>
  <si>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</si>
  <si>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</si>
  <si>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</si>
  <si>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</si>
  <si>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</si>
  <si>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</si>
  <si>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</si>
  <si>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</si>
  <si>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</si>
  <si>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</si>
  <si>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</si>
  <si>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</si>
  <si>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</si>
  <si>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</si>
  <si>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</si>
  <si>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</si>
  <si>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</si>
  <si>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</si>
  <si>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</si>
  <si>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</si>
  <si>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</si>
  <si>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</si>
  <si>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</si>
  <si>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</si>
  <si>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</si>
  <si>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</si>
  <si>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</si>
  <si>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</si>
  <si>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</si>
  <si>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</si>
  <si>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</si>
  <si>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</si>
  <si>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</si>
  <si>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</si>
  <si>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</si>
  <si>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</si>
  <si>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</si>
  <si>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</si>
  <si>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</si>
  <si>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</si>
  <si>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</si>
  <si>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</si>
  <si>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</si>
  <si>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</si>
  <si>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</si>
  <si>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</si>
  <si>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</si>
  <si>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</si>
  <si>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</si>
  <si>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</si>
  <si>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</si>
  <si>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</si>
  <si>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</si>
  <si>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</si>
  <si>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</si>
  <si>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</si>
  <si>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</si>
  <si>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</si>
  <si>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</si>
  <si>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</si>
  <si>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</si>
  <si>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</si>
  <si>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</si>
  <si>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</si>
  <si>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</si>
  <si>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</si>
  <si>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</si>
  <si>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</si>
  <si>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</si>
  <si>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</si>
  <si>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</si>
  <si>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</si>
  <si>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</si>
  <si>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</si>
  <si>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</si>
  <si>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</si>
  <si>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</si>
  <si>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</si>
  <si>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</si>
  <si>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</si>
  <si>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</si>
  <si>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</si>
  <si>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</si>
  <si>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</si>
  <si>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</si>
  <si>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</si>
  <si>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</si>
  <si>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</si>
  <si>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</si>
  <si>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</si>
  <si>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</si>
  <si>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</si>
  <si>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</si>
  <si>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</si>
  <si>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</si>
  <si>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</si>
  <si>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</si>
  <si>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</si>
  <si>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</si>
  <si>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</si>
  <si>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</si>
  <si>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</si>
  <si>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</si>
  <si>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</si>
  <si>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</si>
  <si>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</si>
  <si>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</si>
  <si>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</si>
  <si>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</si>
  <si>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</si>
  <si>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</si>
  <si>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</si>
  <si>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</si>
  <si>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</si>
  <si>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</si>
  <si>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</si>
  <si>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</si>
  <si>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</si>
  <si>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</si>
  <si>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</si>
  <si>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</si>
  <si>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</si>
  <si>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</si>
  <si>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</si>
  <si>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</si>
  <si>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</si>
  <si>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</si>
  <si>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</si>
  <si>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</si>
  <si>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</si>
  <si>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</si>
  <si>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</si>
  <si>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</si>
  <si>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</si>
  <si>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</si>
  <si>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</si>
  <si>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</si>
  <si>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</si>
  <si>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</si>
  <si>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</si>
  <si>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</si>
  <si>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</si>
  <si>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</si>
  <si>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</si>
  <si>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</si>
  <si>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</si>
  <si>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</si>
  <si>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</si>
  <si>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</si>
  <si>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</si>
  <si>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</si>
  <si>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</si>
  <si>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</si>
  <si>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</si>
  <si>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</si>
  <si>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</si>
  <si>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</si>
  <si>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</si>
  <si>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</si>
  <si>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</si>
  <si>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</si>
  <si>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</si>
  <si>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</si>
  <si>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</si>
  <si>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</si>
  <si>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</si>
  <si>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</si>
  <si>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</si>
  <si>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</si>
  <si>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</si>
  <si>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</si>
  <si>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</si>
  <si>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</si>
  <si>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</si>
  <si>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</si>
  <si>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</si>
  <si>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</si>
  <si>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</si>
  <si>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</si>
  <si>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</si>
  <si>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</si>
  <si>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</si>
  <si>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</si>
  <si>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</si>
  <si>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</si>
  <si>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</si>
  <si>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</si>
  <si>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</si>
  <si>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</si>
  <si>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</si>
  <si>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</si>
  <si>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</si>
  <si>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</si>
  <si>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</si>
  <si>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</si>
  <si>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</si>
  <si>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</si>
  <si>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</si>
  <si>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</si>
  <si>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</si>
  <si>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</si>
  <si>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</si>
  <si>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</si>
  <si>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</si>
  <si>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</si>
  <si>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</si>
  <si>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</si>
  <si>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</si>
  <si>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</si>
  <si>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</si>
  <si>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</si>
  <si>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</si>
  <si>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</si>
  <si>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</si>
  <si>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</si>
  <si>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</si>
  <si>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</si>
  <si>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</si>
  <si>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</si>
  <si>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</si>
  <si>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</si>
  <si>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</si>
  <si>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</si>
  <si>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</si>
  <si>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</si>
  <si>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</si>
  <si>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</si>
  <si>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</si>
  <si>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</si>
  <si>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</si>
  <si>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</si>
  <si>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</si>
  <si>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</si>
  <si>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</si>
  <si>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</si>
  <si>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</si>
  <si>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</si>
  <si>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</si>
  <si>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</si>
  <si>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</si>
  <si>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</si>
  <si>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</si>
  <si>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</si>
  <si>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</si>
  <si>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</si>
  <si>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</si>
  <si>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</si>
  <si>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</si>
  <si>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</si>
  <si>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</si>
  <si>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</si>
  <si>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</si>
  <si>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</si>
  <si>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</si>
  <si>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</si>
  <si>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</si>
  <si>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</si>
  <si>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</si>
  <si>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</si>
  <si>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</si>
  <si>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</si>
  <si>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</si>
  <si>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</si>
  <si>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</si>
  <si>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</si>
  <si>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</si>
  <si>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</si>
  <si>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</si>
  <si>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</si>
  <si>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</si>
  <si>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</si>
  <si>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</si>
  <si>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</si>
  <si>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</si>
  <si>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</si>
  <si>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</si>
  <si>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</si>
  <si>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</si>
  <si>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</si>
  <si>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</si>
  <si>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</si>
  <si>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</si>
  <si>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</si>
  <si>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</si>
  <si>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</si>
  <si>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</si>
  <si>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</si>
  <si>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</si>
  <si>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</si>
  <si>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</si>
  <si>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</si>
  <si>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</si>
  <si>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</si>
  <si>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</si>
  <si>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</si>
  <si>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</si>
  <si>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</si>
  <si>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</si>
  <si>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</si>
  <si>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</si>
  <si>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</si>
  <si>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</si>
  <si>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</si>
  <si>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</si>
  <si>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</si>
  <si>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</si>
  <si>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</si>
  <si>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</si>
  <si>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</si>
  <si>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</si>
  <si>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</si>
  <si>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</si>
  <si>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</si>
  <si>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</si>
  <si>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</si>
  <si>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</si>
  <si>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</si>
  <si>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</si>
  <si>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</si>
  <si>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</si>
  <si>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</si>
  <si>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</si>
  <si>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</si>
  <si>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</si>
  <si>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</si>
  <si>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</si>
  <si>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</si>
  <si>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</si>
  <si>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</si>
  <si>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</si>
  <si>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</si>
  <si>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</si>
  <si>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</si>
  <si>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</si>
  <si>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</si>
  <si>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</si>
  <si>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</si>
  <si>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</si>
  <si>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</si>
  <si>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</si>
  <si>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</si>
  <si>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</si>
  <si>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</si>
  <si>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</si>
  <si>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</si>
  <si>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</si>
  <si>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</si>
  <si>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</si>
  <si>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</si>
  <si>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</si>
  <si>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</si>
  <si>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</si>
  <si>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</si>
  <si>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</si>
  <si>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</si>
  <si>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</si>
  <si>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</si>
  <si>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</si>
  <si>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</si>
  <si>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</si>
  <si>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</si>
  <si>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</si>
  <si>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</si>
  <si>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</si>
  <si>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</si>
  <si>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</si>
  <si>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</si>
  <si>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</si>
  <si>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</si>
  <si>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</si>
  <si>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</si>
  <si>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</si>
  <si>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</si>
  <si>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</si>
  <si>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</si>
  <si>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</si>
  <si>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</si>
  <si>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</si>
  <si>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</si>
  <si>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</si>
  <si>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</si>
  <si>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</si>
  <si>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</si>
  <si>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</si>
  <si>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</si>
  <si>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</si>
  <si>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</si>
  <si>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</si>
  <si>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</si>
  <si>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</si>
  <si>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</si>
  <si>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</si>
  <si>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</si>
  <si>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</si>
  <si>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</si>
  <si>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</si>
  <si>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</si>
  <si>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</si>
  <si>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</si>
  <si>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</si>
  <si>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</si>
  <si>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</si>
  <si>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</si>
  <si>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</si>
  <si>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</si>
  <si>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</si>
  <si>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</si>
  <si>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</si>
  <si>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</si>
  <si>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</si>
  <si>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</si>
  <si>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</si>
  <si>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</si>
  <si>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</si>
  <si>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</si>
  <si>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</si>
  <si>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</si>
  <si>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</si>
  <si>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</si>
  <si>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</si>
  <si>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</si>
  <si>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</si>
  <si>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</si>
  <si>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</si>
  <si>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</si>
  <si>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</si>
  <si>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</si>
  <si>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</si>
  <si>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</si>
  <si>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</si>
  <si>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</si>
  <si>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</si>
  <si>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</si>
  <si>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</si>
  <si>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</si>
  <si>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</si>
  <si>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</si>
  <si>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</si>
  <si>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</si>
  <si>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</si>
  <si>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</si>
  <si>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</si>
  <si>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</si>
  <si>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</si>
  <si>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</si>
  <si>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</si>
  <si>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</si>
  <si>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</si>
  <si>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</si>
  <si>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</si>
  <si>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</si>
  <si>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</si>
  <si>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</si>
  <si>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</si>
  <si>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</si>
  <si>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</si>
  <si>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</si>
  <si>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</si>
  <si>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</si>
  <si>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</si>
  <si>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</si>
  <si>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</si>
  <si>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</si>
  <si>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</si>
  <si>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</si>
  <si>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</si>
  <si>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</si>
  <si>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</si>
  <si>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</si>
  <si>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</si>
  <si>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</si>
  <si>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</si>
  <si>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</si>
  <si>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</si>
  <si>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</si>
  <si>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</si>
  <si>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</si>
  <si>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</si>
  <si>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</si>
  <si>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</si>
  <si>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</si>
  <si>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</si>
  <si>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</si>
  <si>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</si>
  <si>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</si>
  <si>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</si>
  <si>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</si>
  <si>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</si>
  <si>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</si>
  <si>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</si>
  <si>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</si>
  <si>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</si>
  <si>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</si>
  <si>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</si>
  <si>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</si>
  <si>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</si>
  <si>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</si>
  <si>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</si>
  <si>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</si>
  <si>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</si>
  <si>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</si>
  <si>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</si>
  <si>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</si>
  <si>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</si>
  <si>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</si>
  <si>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</si>
  <si>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</si>
  <si>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</si>
  <si>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</si>
  <si>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</si>
  <si>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</si>
  <si>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</si>
  <si>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</si>
  <si>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</si>
  <si>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</si>
  <si>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</si>
  <si>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</si>
  <si>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</si>
  <si>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</si>
  <si>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</si>
  <si>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</si>
  <si>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</si>
  <si>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</si>
  <si>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</si>
  <si>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</si>
  <si>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</si>
  <si>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</si>
  <si>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</si>
  <si>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</si>
  <si>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</si>
  <si>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</si>
  <si>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</si>
  <si>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</si>
  <si>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</si>
  <si>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</si>
  <si>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</si>
  <si>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</si>
  <si>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</si>
  <si>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</si>
  <si>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</si>
  <si>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</si>
  <si>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</si>
  <si>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</si>
  <si>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</si>
  <si>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</si>
  <si>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</si>
  <si>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</si>
  <si>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</si>
  <si>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</si>
  <si>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</si>
  <si>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</si>
  <si>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</si>
  <si>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</si>
  <si>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</si>
  <si>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</si>
  <si>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</si>
  <si>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</si>
  <si>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</si>
  <si>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</si>
  <si>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</si>
  <si>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</si>
  <si>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</si>
  <si>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</si>
  <si>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</si>
  <si>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</si>
  <si>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</si>
  <si>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</si>
  <si>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</si>
  <si>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</si>
  <si>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</si>
  <si>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</si>
  <si>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</si>
  <si>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</si>
  <si>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</si>
  <si>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</si>
  <si>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</si>
  <si>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</si>
  <si>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</si>
  <si>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</si>
  <si>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</si>
  <si>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</si>
  <si>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</si>
  <si>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</si>
  <si>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</si>
  <si>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</si>
  <si>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</si>
  <si>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</si>
  <si>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</si>
  <si>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</si>
  <si>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</si>
  <si>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</si>
  <si>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</si>
  <si>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</si>
  <si>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</si>
  <si>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</si>
  <si>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</si>
  <si>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</si>
  <si>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</si>
  <si>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</si>
  <si>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</si>
  <si>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</si>
  <si>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</si>
  <si>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</si>
  <si>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</si>
  <si>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</si>
  <si>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</si>
  <si>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</si>
  <si>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</si>
  <si>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</si>
  <si>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</si>
  <si>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</si>
  <si>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</si>
  <si>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</si>
  <si>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</si>
  <si>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</si>
  <si>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</si>
  <si>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</si>
  <si>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</si>
  <si>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</si>
  <si>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</si>
  <si>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</si>
  <si>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</si>
  <si>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</si>
  <si>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</si>
  <si>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</si>
  <si>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</si>
  <si>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</si>
  <si>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</si>
  <si>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</si>
  <si>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</si>
  <si>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</si>
  <si>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</si>
  <si>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</si>
  <si>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</si>
  <si>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</si>
  <si>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</si>
  <si>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</si>
  <si>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</si>
  <si>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</si>
  <si>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</si>
  <si>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</si>
  <si>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</si>
  <si>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</si>
  <si>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</si>
  <si>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</si>
  <si>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</si>
  <si>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</si>
  <si>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</si>
  <si>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</si>
  <si>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</si>
  <si>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</si>
  <si>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</si>
  <si>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</si>
  <si>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</si>
  <si>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</si>
  <si>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</si>
  <si>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</si>
  <si>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</si>
  <si>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</si>
  <si>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</si>
  <si>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</si>
  <si>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</si>
  <si>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</si>
  <si>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</si>
  <si>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</si>
  <si>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</si>
  <si>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</si>
  <si>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</si>
  <si>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</si>
  <si>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</si>
  <si>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</si>
  <si>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</si>
  <si>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</si>
  <si>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</si>
  <si>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</si>
  <si>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</si>
  <si>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</si>
  <si>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</si>
  <si>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</si>
  <si>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</si>
  <si>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</si>
  <si>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</si>
  <si>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</si>
  <si>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</si>
  <si>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</si>
  <si>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</si>
  <si>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</si>
  <si>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</si>
  <si>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</si>
  <si>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</si>
  <si>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</si>
  <si>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</si>
  <si>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</si>
  <si>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</si>
  <si>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</si>
  <si>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</si>
  <si>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</si>
  <si>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</si>
  <si>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</si>
  <si>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</si>
  <si>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</si>
  <si>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</si>
  <si>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</si>
  <si>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</si>
  <si>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</si>
  <si>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</si>
  <si>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</si>
  <si>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</si>
  <si>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</si>
  <si>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</si>
  <si>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</si>
  <si>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</si>
  <si>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</si>
  <si>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</si>
  <si>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</si>
  <si>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</si>
  <si>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</si>
  <si>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</si>
  <si>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</si>
  <si>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</si>
  <si>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</si>
  <si>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</si>
  <si>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</si>
  <si>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</si>
  <si>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</si>
  <si>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</si>
  <si>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</si>
  <si>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</si>
  <si>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</si>
  <si>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</si>
  <si>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</si>
  <si>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</si>
  <si>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</si>
  <si>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</si>
  <si>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</si>
  <si>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</si>
  <si>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</si>
  <si>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</si>
  <si>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</si>
  <si>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</si>
  <si>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</si>
  <si>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</si>
  <si>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</si>
  <si>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</si>
  <si>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</si>
  <si>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</si>
  <si>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</si>
  <si>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</si>
  <si>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</si>
  <si>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</si>
  <si>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</si>
  <si>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</si>
  <si>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</si>
  <si>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</si>
  <si>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</si>
  <si>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</si>
  <si>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</si>
  <si>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</si>
  <si>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</si>
  <si>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</si>
  <si>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</si>
  <si>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</si>
  <si>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</si>
  <si>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</si>
  <si>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</si>
  <si>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</si>
  <si>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</si>
  <si>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</si>
  <si>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</si>
  <si>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</si>
  <si>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</si>
  <si>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</si>
  <si>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</si>
  <si>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</si>
  <si>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</si>
  <si>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</si>
  <si>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</si>
  <si>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</si>
  <si>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</si>
  <si>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</si>
  <si>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</si>
  <si>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</si>
  <si>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</si>
  <si>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</si>
  <si>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</si>
  <si>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</si>
  <si>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</si>
  <si>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</si>
  <si>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</si>
  <si>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</si>
  <si>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</si>
  <si>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</si>
  <si>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</si>
  <si>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</si>
  <si>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</si>
  <si>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</si>
  <si>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</si>
  <si>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</si>
  <si>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</si>
  <si>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</si>
  <si>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</si>
  <si>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</si>
  <si>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</si>
  <si>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</si>
  <si>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</si>
  <si>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</si>
  <si>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</si>
  <si>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</si>
  <si>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</si>
  <si>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</si>
  <si>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</si>
  <si>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</si>
  <si>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</si>
  <si>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</si>
  <si>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</si>
  <si>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</si>
  <si>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</si>
  <si>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</si>
  <si>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</si>
  <si>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</si>
  <si>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</si>
  <si>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</si>
  <si>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</si>
  <si>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</si>
  <si>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</si>
  <si>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</si>
  <si>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</si>
  <si>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</si>
  <si>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</si>
  <si>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</si>
  <si>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</si>
  <si>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</si>
  <si>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</si>
  <si>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</si>
  <si>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</si>
  <si>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</si>
  <si>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</si>
  <si>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</si>
  <si>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</si>
  <si>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</si>
  <si>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</si>
  <si>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</si>
  <si>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</si>
  <si>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</si>
  <si>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</si>
  <si>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</si>
  <si>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</si>
  <si>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</si>
  <si>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</si>
  <si>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</si>
  <si>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</si>
  <si>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</si>
  <si>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</si>
  <si>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</si>
  <si>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</si>
  <si>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</si>
  <si>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</si>
  <si>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</si>
  <si>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</si>
  <si>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</si>
  <si>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</si>
  <si>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</si>
  <si>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</si>
  <si>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</si>
  <si>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</si>
  <si>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</si>
  <si>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</si>
  <si>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</si>
  <si>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</si>
  <si>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</si>
  <si>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</si>
  <si>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</si>
  <si>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</si>
  <si>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</si>
  <si>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</si>
  <si>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</si>
  <si>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</si>
  <si>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</si>
  <si>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</si>
  <si>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</si>
  <si>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</si>
  <si>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</si>
  <si>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</si>
  <si>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</si>
  <si>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</si>
  <si>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</si>
  <si>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</si>
  <si>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</si>
  <si>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</si>
  <si>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</si>
  <si>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</si>
  <si>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</si>
  <si>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</si>
  <si>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</si>
  <si>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</si>
  <si>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</si>
  <si>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</si>
  <si>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</si>
  <si>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</si>
  <si>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</si>
  <si>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</si>
  <si>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</si>
  <si>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</si>
  <si>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</si>
  <si>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</si>
  <si>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</si>
  <si>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</si>
  <si>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</si>
  <si>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</si>
  <si>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</si>
  <si>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</si>
  <si>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</si>
  <si>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</si>
  <si>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</si>
  <si>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</si>
  <si>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</si>
  <si>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</si>
  <si>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</si>
  <si>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</si>
  <si>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</si>
  <si>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</si>
  <si>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</si>
  <si>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</si>
  <si>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</si>
  <si>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</si>
  <si>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</si>
  <si>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</si>
  <si>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</si>
  <si>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</si>
  <si>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</si>
  <si>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</si>
  <si>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</si>
  <si>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</si>
  <si>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</si>
  <si>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</si>
  <si>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</si>
  <si>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</si>
  <si>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</si>
  <si>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</si>
  <si>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</si>
  <si>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</si>
  <si>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</si>
  <si>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</si>
  <si>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</si>
  <si>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</si>
  <si>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</si>
  <si>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</si>
  <si>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</si>
  <si>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</si>
  <si>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</si>
  <si>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</si>
  <si>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</si>
  <si>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</si>
  <si>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</si>
  <si>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</si>
  <si>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</si>
  <si>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</si>
  <si>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</si>
  <si>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</si>
  <si>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</si>
  <si>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</si>
  <si>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</si>
  <si>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</si>
  <si>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</si>
  <si>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</si>
  <si>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</si>
  <si>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</si>
  <si>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</si>
  <si>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</si>
  <si>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</si>
  <si>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</si>
  <si>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</si>
  <si>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</si>
  <si>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</si>
  <si>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</si>
  <si>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</si>
  <si>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</si>
  <si>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</si>
  <si>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</si>
  <si>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</si>
  <si>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</si>
  <si>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</si>
  <si>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</si>
  <si>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</si>
  <si>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</si>
  <si>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</si>
  <si>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</si>
  <si>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</si>
  <si>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</si>
  <si>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</si>
  <si>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</si>
  <si>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</si>
  <si>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</si>
  <si>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</si>
  <si>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</si>
  <si>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</si>
  <si>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</si>
  <si>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</si>
  <si>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</si>
  <si>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</si>
  <si>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</si>
  <si>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</si>
  <si>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</si>
  <si>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</si>
  <si>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</si>
  <si>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</si>
  <si>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</si>
  <si>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</si>
  <si>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</si>
  <si>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</si>
  <si>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</si>
  <si>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</si>
  <si>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</si>
  <si>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</si>
  <si>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</si>
  <si>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</si>
  <si>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</si>
  <si>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</si>
  <si>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</si>
  <si>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</si>
  <si>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</si>
  <si>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</si>
  <si>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</si>
  <si>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</si>
  <si>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</si>
  <si>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</si>
  <si>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</si>
  <si>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</si>
  <si>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</si>
  <si>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</si>
  <si>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</si>
  <si>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</si>
  <si>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</si>
  <si>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</si>
  <si>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</si>
  <si>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</si>
  <si>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</si>
  <si>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</si>
  <si>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</si>
  <si>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</si>
  <si>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</si>
  <si>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</si>
  <si>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</si>
  <si>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</si>
  <si>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</si>
  <si>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</si>
  <si>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</si>
  <si>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</si>
  <si>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</si>
  <si>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</si>
  <si>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</si>
  <si>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</si>
  <si>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</si>
  <si>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</si>
  <si>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</si>
  <si>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</si>
  <si>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</si>
  <si>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</si>
  <si>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</si>
  <si>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</si>
  <si>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</si>
  <si>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</si>
  <si>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</si>
  <si>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</si>
  <si>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</si>
  <si>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</si>
  <si>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</si>
  <si>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</si>
  <si>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</si>
  <si>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</si>
  <si>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</si>
  <si>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</si>
  <si>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</si>
  <si>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</si>
  <si>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</si>
  <si>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</si>
  <si>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</si>
  <si>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</si>
  <si>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</si>
  <si>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</si>
  <si>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</si>
  <si>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</si>
  <si>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</si>
  <si>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</si>
  <si>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</si>
  <si>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</si>
  <si>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</si>
  <si>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</si>
  <si>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</si>
  <si>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</si>
  <si>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</si>
  <si>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</si>
  <si>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</si>
  <si>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</si>
  <si>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</si>
  <si>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</si>
  <si>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</si>
  <si>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</si>
  <si>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</si>
  <si>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</si>
  <si>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</si>
  <si>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</si>
  <si>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</si>
  <si>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</si>
  <si>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</si>
  <si>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</si>
  <si>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</si>
  <si>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</si>
  <si>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</si>
  <si>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</si>
  <si>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</si>
  <si>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</si>
  <si>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</si>
  <si>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</si>
  <si>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</si>
  <si>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</si>
  <si>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</si>
  <si>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</si>
  <si>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</si>
  <si>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</si>
  <si>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</si>
  <si>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</si>
  <si>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</si>
  <si>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</si>
  <si>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</si>
  <si>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</si>
  <si>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</si>
  <si>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</si>
  <si>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</si>
  <si>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</si>
  <si>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</si>
  <si>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</si>
  <si>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</si>
  <si>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</si>
  <si>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</si>
  <si>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</si>
  <si>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</si>
  <si>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</si>
  <si>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</si>
  <si>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</si>
  <si>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</si>
  <si>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</si>
  <si>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</si>
  <si>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</si>
  <si>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</si>
  <si>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</si>
  <si>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</si>
  <si>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</si>
  <si>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</si>
  <si>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</si>
  <si>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</si>
  <si>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</si>
  <si>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</si>
  <si>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</si>
  <si>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</si>
  <si>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</si>
  <si>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</si>
  <si>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</si>
  <si>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</si>
  <si>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</si>
  <si>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</si>
  <si>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</si>
  <si>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</si>
  <si>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</si>
  <si>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</si>
  <si>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</si>
  <si>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</si>
  <si>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</si>
  <si>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</si>
  <si>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</si>
  <si>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</si>
  <si>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</si>
  <si>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</si>
  <si>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</si>
  <si>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</si>
  <si>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</si>
  <si>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</si>
  <si>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</si>
  <si>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</si>
  <si>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</si>
  <si>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</si>
  <si>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</si>
  <si>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</si>
  <si>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</si>
  <si>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</si>
  <si>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</si>
  <si>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</si>
  <si>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</si>
  <si>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</si>
  <si>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</si>
  <si>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</si>
  <si>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</si>
  <si>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</si>
  <si>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</si>
  <si>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</si>
  <si>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</si>
  <si>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</si>
  <si>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</si>
  <si>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</si>
  <si>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</si>
  <si>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</si>
  <si>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</si>
  <si>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</si>
  <si>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</si>
  <si>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</si>
  <si>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</si>
  <si>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</si>
  <si>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</si>
  <si>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</si>
  <si>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</si>
  <si>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</si>
  <si>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</si>
  <si>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</si>
  <si>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</si>
  <si>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</si>
  <si>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</si>
  <si>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</si>
  <si>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</si>
  <si>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</si>
  <si>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</si>
  <si>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</si>
  <si>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</si>
  <si>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</si>
  <si>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</si>
  <si>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</si>
  <si>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</si>
  <si>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</si>
  <si>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</si>
  <si>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</si>
  <si>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</si>
  <si>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</si>
  <si>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</si>
  <si>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</si>
  <si>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</si>
  <si>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</si>
  <si>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</si>
  <si>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</si>
  <si>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</si>
  <si>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</si>
  <si>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</si>
  <si>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</si>
  <si>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</si>
  <si>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</si>
  <si>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</si>
  <si>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</si>
  <si>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</si>
  <si>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</si>
  <si>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</si>
  <si>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</si>
  <si>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</si>
  <si>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</si>
  <si>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</si>
  <si>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</si>
  <si>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</si>
  <si>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</si>
  <si>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</si>
  <si>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</si>
  <si>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</si>
  <si>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</si>
  <si>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</si>
  <si>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</si>
  <si>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</si>
  <si>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</si>
  <si>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</si>
  <si>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</si>
  <si>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</si>
  <si>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</si>
  <si>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</si>
  <si>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</si>
  <si>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</si>
  <si>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</si>
  <si>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</si>
  <si>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</si>
  <si>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</si>
  <si>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</si>
  <si>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</si>
  <si>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</si>
  <si>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</si>
  <si>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</si>
  <si>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</si>
  <si>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</si>
  <si>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</si>
  <si>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</si>
  <si>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</si>
  <si>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</si>
  <si>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</si>
  <si>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</si>
  <si>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</si>
  <si>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</si>
  <si>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</si>
  <si>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</si>
  <si>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</si>
  <si>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</si>
  <si>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</si>
  <si>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</si>
  <si>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</si>
  <si>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</si>
  <si>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</si>
  <si>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</si>
  <si>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</si>
  <si>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</si>
  <si>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</si>
  <si>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</si>
  <si>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</si>
  <si>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</si>
  <si>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</si>
  <si>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</si>
  <si>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</si>
  <si>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</si>
  <si>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</si>
  <si>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</si>
  <si>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</si>
  <si>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</si>
  <si>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</si>
  <si>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</si>
  <si>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</si>
  <si>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</si>
  <si>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</si>
  <si>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</si>
  <si>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</si>
  <si>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</si>
  <si>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</si>
  <si>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</si>
  <si>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</si>
  <si>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</si>
  <si>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</si>
  <si>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</si>
  <si>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</si>
  <si>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</si>
  <si>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</si>
  <si>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</si>
  <si>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</si>
  <si>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</si>
  <si>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</si>
  <si>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</si>
  <si>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</si>
  <si>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</si>
  <si>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</si>
  <si>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</si>
  <si>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</si>
  <si>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</si>
  <si>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</si>
  <si>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</si>
  <si>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</si>
  <si>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</si>
  <si>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</si>
  <si>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</si>
  <si>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</si>
  <si>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</si>
  <si>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</si>
  <si>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</si>
  <si>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</si>
  <si>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</si>
  <si>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</si>
  <si>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</si>
  <si>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</si>
  <si>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</si>
  <si>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</si>
  <si>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</si>
  <si>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</si>
  <si>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</si>
  <si>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</si>
  <si>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</si>
  <si>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</si>
  <si>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</si>
  <si>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</si>
  <si>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</si>
  <si>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</si>
  <si>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</si>
  <si>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</si>
  <si>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</si>
  <si>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</si>
  <si>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</si>
  <si>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</si>
  <si>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</si>
  <si>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</si>
  <si>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</si>
  <si>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</si>
  <si>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</si>
  <si>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</si>
  <si>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</si>
  <si>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</si>
  <si>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</si>
  <si>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</si>
  <si>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</si>
  <si>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</si>
  <si>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</si>
  <si>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</si>
  <si>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</si>
  <si>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</si>
  <si>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</si>
  <si>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</si>
  <si>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</si>
  <si>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</si>
  <si>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</si>
  <si>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</si>
  <si>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</si>
  <si>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</si>
  <si>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</si>
  <si>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</si>
  <si>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</si>
  <si>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</si>
  <si>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</si>
  <si>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</si>
  <si>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</si>
  <si>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</si>
  <si>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</si>
  <si>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</si>
  <si>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</si>
  <si>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</si>
  <si>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</si>
  <si>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</si>
  <si>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</si>
  <si>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</si>
  <si>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</si>
  <si>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</si>
  <si>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</si>
  <si>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</si>
  <si>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</si>
  <si>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</si>
  <si>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</si>
  <si>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</si>
  <si>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</si>
  <si>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</si>
  <si>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</si>
  <si>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</si>
  <si>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</si>
  <si>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</si>
  <si>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</si>
  <si>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</si>
  <si>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</si>
  <si>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</si>
  <si>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</si>
  <si>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</si>
  <si>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</si>
  <si>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</si>
  <si>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</si>
  <si>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</si>
  <si>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</si>
  <si>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</si>
  <si>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</si>
  <si>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</si>
  <si>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</si>
  <si>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</si>
  <si>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</si>
  <si>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</si>
  <si>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</si>
  <si>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</si>
  <si>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</si>
  <si>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</si>
  <si>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</si>
  <si>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</si>
  <si>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</si>
  <si>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</si>
  <si>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</si>
  <si>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</si>
  <si>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</si>
  <si>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</si>
  <si>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</si>
  <si>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</si>
  <si>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</si>
  <si>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</si>
  <si>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</si>
  <si>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</si>
  <si>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</si>
  <si>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</si>
  <si>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</si>
  <si>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</si>
  <si>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</si>
  <si>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</si>
  <si>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</si>
  <si>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</si>
  <si>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</si>
  <si>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</si>
  <si>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</si>
  <si>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</si>
  <si>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</si>
  <si>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</si>
  <si>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</si>
  <si>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</si>
  <si>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</si>
  <si>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</si>
  <si>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</si>
  <si>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</si>
  <si>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</si>
  <si>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</si>
  <si>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</si>
  <si>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</si>
  <si>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</si>
  <si>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</si>
  <si>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</si>
  <si>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</si>
  <si>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</si>
  <si>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</si>
  <si>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</si>
  <si>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</si>
  <si>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</si>
  <si>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</si>
  <si>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</si>
  <si>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</si>
  <si>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</si>
  <si>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</si>
  <si>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</si>
  <si>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</si>
  <si>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</si>
  <si>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</si>
  <si>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</si>
  <si>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</si>
  <si>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</si>
  <si>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</si>
  <si>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</si>
  <si>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</si>
  <si>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</si>
  <si>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</si>
  <si>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</si>
  <si>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</si>
  <si>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</si>
  <si>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</si>
  <si>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</si>
  <si>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</si>
  <si>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</si>
  <si>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</si>
  <si>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</si>
  <si>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</si>
  <si>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</si>
  <si>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</si>
  <si>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</si>
  <si>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</si>
  <si>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</si>
  <si>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</si>
  <si>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</si>
  <si>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</si>
  <si>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</si>
  <si>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</si>
  <si>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</si>
  <si>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</si>
  <si>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</si>
  <si>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</si>
  <si>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</si>
  <si>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</si>
  <si>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</si>
  <si>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</si>
  <si>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</si>
  <si>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</si>
  <si>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</si>
  <si>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</si>
  <si>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</si>
  <si>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</si>
  <si>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</si>
  <si>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</si>
  <si>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</si>
  <si>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</si>
  <si>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</si>
  <si>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</si>
  <si>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</si>
  <si>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</si>
  <si>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</si>
  <si>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</si>
  <si>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</si>
  <si>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</si>
  <si>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</si>
  <si>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</si>
  <si>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</si>
  <si>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</si>
  <si>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</si>
  <si>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</si>
  <si>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</si>
  <si>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</si>
  <si>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</si>
  <si>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</si>
  <si>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</si>
  <si>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</si>
  <si>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</si>
  <si>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</si>
  <si>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</si>
  <si>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</si>
  <si>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</si>
  <si>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</si>
  <si>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</si>
  <si>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</si>
  <si>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</si>
  <si>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</si>
  <si>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</si>
  <si>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</si>
  <si>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</si>
  <si>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</si>
  <si>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</si>
  <si>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</si>
  <si>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</si>
  <si>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</si>
  <si>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</si>
  <si>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</si>
  <si>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</si>
  <si>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</si>
  <si>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</si>
  <si>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</si>
  <si>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</si>
  <si>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</si>
  <si>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</si>
  <si>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</si>
  <si>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</si>
  <si>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</si>
  <si>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</si>
  <si>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</si>
  <si>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</si>
  <si>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</si>
  <si>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</si>
  <si>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</si>
  <si>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</si>
  <si>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</si>
  <si>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</si>
  <si>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</si>
  <si>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</si>
  <si>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</si>
  <si>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</si>
  <si>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</si>
  <si>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</si>
  <si>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</si>
  <si>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</si>
  <si>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</si>
  <si>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</si>
  <si>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</si>
  <si>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</si>
  <si>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</si>
  <si>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</si>
  <si>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</si>
  <si>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</si>
  <si>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</si>
  <si>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</si>
  <si>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</si>
  <si>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</si>
  <si>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</si>
  <si>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</si>
  <si>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</si>
  <si>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</si>
  <si>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</si>
  <si>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</si>
  <si>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</si>
  <si>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</si>
  <si>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</si>
  <si>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</si>
  <si>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</si>
  <si>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</si>
  <si>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</si>
  <si>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</si>
  <si>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</si>
  <si>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</si>
  <si>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</si>
  <si>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</si>
  <si>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</si>
  <si>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</si>
  <si>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</si>
  <si>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</si>
  <si>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</si>
  <si>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</si>
  <si>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</si>
  <si>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</si>
  <si>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</si>
  <si>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</si>
  <si>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</si>
  <si>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</si>
  <si>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</si>
  <si>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</si>
  <si>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</si>
  <si>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</si>
  <si>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</si>
  <si>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</si>
  <si>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</si>
  <si>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</si>
  <si>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</si>
  <si>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</si>
  <si>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</si>
  <si>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</si>
  <si>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</si>
  <si>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</si>
  <si>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</si>
  <si>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</si>
  <si>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</si>
  <si>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</si>
  <si>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</si>
  <si>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</si>
  <si>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</si>
  <si>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</si>
  <si>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</si>
  <si>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</si>
  <si>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</si>
  <si>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</si>
  <si>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</si>
  <si>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</si>
  <si>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</si>
  <si>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</si>
  <si>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</si>
  <si>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</si>
  <si>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</si>
  <si>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</si>
  <si>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</si>
  <si>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</si>
  <si>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</si>
  <si>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</si>
  <si>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</si>
  <si>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</si>
  <si>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</si>
  <si>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</si>
  <si>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</si>
  <si>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</si>
  <si>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</si>
  <si>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</si>
  <si>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</si>
  <si>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</si>
  <si>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</si>
  <si>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</si>
  <si>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</si>
  <si>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</si>
  <si>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</si>
  <si>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</si>
  <si>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</si>
  <si>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</si>
  <si>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</si>
  <si>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</si>
  <si>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</si>
  <si>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</si>
  <si>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</si>
  <si>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</si>
  <si>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</si>
  <si>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</si>
  <si>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</si>
  <si>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</si>
  <si>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</si>
  <si>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</si>
  <si>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</si>
  <si>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</si>
  <si>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</si>
  <si>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</si>
  <si>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</si>
  <si>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</si>
  <si>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</si>
  <si>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</si>
  <si>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</si>
  <si>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</si>
  <si>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</si>
  <si>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</si>
  <si>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</si>
  <si>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</si>
  <si>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</si>
  <si>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</si>
  <si>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</si>
  <si>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</si>
  <si>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</si>
  <si>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</si>
  <si>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</si>
  <si>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</si>
  <si>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</si>
  <si>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</si>
  <si>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</si>
  <si>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</si>
  <si>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</si>
  <si>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</si>
  <si>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</si>
  <si>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</si>
  <si>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</si>
  <si>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</si>
  <si>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</si>
  <si>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</si>
  <si>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</si>
  <si>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</si>
  <si>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</si>
  <si>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</si>
  <si>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</si>
  <si>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</si>
  <si>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</si>
  <si>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</si>
  <si>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</si>
  <si>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</si>
  <si>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</si>
  <si>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</si>
  <si>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</si>
  <si>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</si>
  <si>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</si>
  <si>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</si>
  <si>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</si>
  <si>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</si>
  <si>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</si>
  <si>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</si>
  <si>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</si>
  <si>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</si>
  <si>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</si>
  <si>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</si>
  <si>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</si>
  <si>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</si>
  <si>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</si>
  <si>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</si>
  <si>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</si>
  <si>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</si>
  <si>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</si>
  <si>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</si>
  <si>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</si>
  <si>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</si>
  <si>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</si>
  <si>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</si>
  <si>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</si>
  <si>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</si>
  <si>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</si>
  <si>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</si>
  <si>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</si>
  <si>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</si>
  <si>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</si>
  <si>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</si>
  <si>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</si>
  <si>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</si>
  <si>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</si>
  <si>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</si>
  <si>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</si>
  <si>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</si>
  <si>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</si>
  <si>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</si>
  <si>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</si>
  <si>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</si>
  <si>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</si>
  <si>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</si>
  <si>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</si>
  <si>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</si>
  <si>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</si>
  <si>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</si>
  <si>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</si>
  <si>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</si>
  <si>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</si>
  <si>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</si>
  <si>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</si>
  <si>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</si>
  <si>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</si>
  <si>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</si>
  <si>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</si>
  <si>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</si>
  <si>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</si>
  <si>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</si>
  <si>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</si>
  <si>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</si>
  <si>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</si>
  <si>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</si>
  <si>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</si>
  <si>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</si>
  <si>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</si>
  <si>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</si>
  <si>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</si>
  <si>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</si>
  <si>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</si>
  <si>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</si>
  <si>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</si>
  <si>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</si>
  <si>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</si>
  <si>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</si>
  <si>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</si>
  <si>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</si>
  <si>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</si>
  <si>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</si>
  <si>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</si>
  <si>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</si>
  <si>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</si>
  <si>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</si>
  <si>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</si>
  <si>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</si>
  <si>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</si>
  <si>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</si>
  <si>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</si>
  <si>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</si>
  <si>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</si>
  <si>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</si>
  <si>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</si>
  <si>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</si>
  <si>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</si>
  <si>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</si>
  <si>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</si>
  <si>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</si>
  <si>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</si>
  <si>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</si>
  <si>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</si>
  <si>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</si>
  <si>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</si>
  <si>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</si>
  <si>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</si>
  <si>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</si>
  <si>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</si>
  <si>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</si>
  <si>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</si>
  <si>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</si>
  <si>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</si>
  <si>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</si>
  <si>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</si>
  <si>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</si>
  <si>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</si>
  <si>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</si>
  <si>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</si>
  <si>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</si>
  <si>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</si>
  <si>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</si>
  <si>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</si>
  <si>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</si>
  <si>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</si>
  <si>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</si>
  <si>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</si>
  <si>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</si>
  <si>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</si>
  <si>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</si>
  <si>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</si>
  <si>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</si>
  <si>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</si>
  <si>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</si>
  <si>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</si>
  <si>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</si>
  <si>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</si>
  <si>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</si>
  <si>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</si>
  <si>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</si>
  <si>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</si>
  <si>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</si>
  <si>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</si>
  <si>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</si>
  <si>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</si>
  <si>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</si>
  <si>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</si>
  <si>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</si>
  <si>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</si>
  <si>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</si>
  <si>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</si>
  <si>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</si>
  <si>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</si>
  <si>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</si>
  <si>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</si>
  <si>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</si>
  <si>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</si>
  <si>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</si>
  <si>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</si>
  <si>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</si>
  <si>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</si>
  <si>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</si>
  <si>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</si>
  <si>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</si>
  <si>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</si>
  <si>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</si>
  <si>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</si>
  <si>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</si>
  <si>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</si>
  <si>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</si>
  <si>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</si>
  <si>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</si>
  <si>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</si>
  <si>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</si>
  <si>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</si>
  <si>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</si>
  <si>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</si>
  <si>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</si>
  <si>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</si>
  <si>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</si>
  <si>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</si>
  <si>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</si>
  <si>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</si>
  <si>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</si>
  <si>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</si>
  <si>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</si>
  <si>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</si>
  <si>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</si>
  <si>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</si>
  <si>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</si>
  <si>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</si>
  <si>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</si>
  <si>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</si>
  <si>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</si>
  <si>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</si>
  <si>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</si>
  <si>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</si>
  <si>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</si>
  <si>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</si>
  <si>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</si>
  <si>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</si>
  <si>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</si>
  <si>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</si>
  <si>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</si>
  <si>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</si>
  <si>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</si>
  <si>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</si>
  <si>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</si>
  <si>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</si>
  <si>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</si>
  <si>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</si>
  <si>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</si>
  <si>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</si>
  <si>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</si>
  <si>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</si>
  <si>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</si>
  <si>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</si>
  <si>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</si>
  <si>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</si>
  <si>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</si>
  <si>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</si>
  <si>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</si>
  <si>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</si>
  <si>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</si>
  <si>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</si>
  <si>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</si>
  <si>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</si>
  <si>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</si>
  <si>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</si>
  <si>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</si>
  <si>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</si>
  <si>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</si>
  <si>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</si>
  <si>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</si>
  <si>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</si>
  <si>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</si>
  <si>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</si>
  <si>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</si>
  <si>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</si>
  <si>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</si>
  <si>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</si>
  <si>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</si>
  <si>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</si>
  <si>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</si>
  <si>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</si>
  <si>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</si>
  <si>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</si>
  <si>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</si>
  <si>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</si>
  <si>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</si>
  <si>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</si>
  <si>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</si>
  <si>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</si>
  <si>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</si>
  <si>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</si>
  <si>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</si>
  <si>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</si>
  <si>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</si>
  <si>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</si>
  <si>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</si>
  <si>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</si>
  <si>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</si>
  <si>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</si>
  <si>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</si>
  <si>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</si>
  <si>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</si>
  <si>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</si>
  <si>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</si>
  <si>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</si>
  <si>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</si>
  <si>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</si>
  <si>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</si>
  <si>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</si>
  <si>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</si>
  <si>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</si>
  <si>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</si>
  <si>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</si>
  <si>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</si>
  <si>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</si>
  <si>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</si>
  <si>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</si>
  <si>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</si>
  <si>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</si>
  <si>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</si>
  <si>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</si>
  <si>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</si>
  <si>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</si>
  <si>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</si>
  <si>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</si>
  <si>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</si>
  <si>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</si>
  <si>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</si>
  <si>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</si>
  <si>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</si>
  <si>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</si>
  <si>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</si>
  <si>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</si>
  <si>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</si>
  <si>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</si>
  <si>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</si>
  <si>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</si>
  <si>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</si>
  <si>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</si>
  <si>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</si>
  <si>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</si>
  <si>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</si>
  <si>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</si>
  <si>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</si>
  <si>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</si>
  <si>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</si>
  <si>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</si>
  <si>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</si>
  <si>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</si>
  <si>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</si>
  <si>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</si>
  <si>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</si>
  <si>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</si>
  <si>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</si>
  <si>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</si>
  <si>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</si>
  <si>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</si>
  <si>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</si>
  <si>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</si>
  <si>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</si>
  <si>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</si>
  <si>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</si>
  <si>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</si>
  <si>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</si>
  <si>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</si>
  <si>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</si>
  <si>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</si>
  <si>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</si>
  <si>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</si>
  <si>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</si>
  <si>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</si>
  <si>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</si>
  <si>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</si>
  <si>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</si>
  <si>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</si>
  <si>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</si>
  <si>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</si>
  <si>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</si>
  <si>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</si>
  <si>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</si>
  <si>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</si>
  <si>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</si>
  <si>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</si>
  <si>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</si>
  <si>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</si>
  <si>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</si>
  <si>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</si>
  <si>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</si>
  <si>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</si>
  <si>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</si>
  <si>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</si>
  <si>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</si>
  <si>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</si>
  <si>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</si>
  <si>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</si>
  <si>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</si>
  <si>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</si>
  <si>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</si>
  <si>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</si>
  <si>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</si>
  <si>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</si>
  <si>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</si>
  <si>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</si>
  <si>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</si>
  <si>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</si>
  <si>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</si>
  <si>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</si>
  <si>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</si>
  <si>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</si>
  <si>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</si>
  <si>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</si>
  <si>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</si>
  <si>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</si>
  <si>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</si>
  <si>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</si>
  <si>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</si>
  <si>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</si>
  <si>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</si>
  <si>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</si>
  <si>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</si>
  <si>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</si>
  <si>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</si>
  <si>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</si>
  <si>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</si>
  <si>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</si>
  <si>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</si>
  <si>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</si>
  <si>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</si>
  <si>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</si>
  <si>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</si>
  <si>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</si>
  <si>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</si>
  <si>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</si>
  <si>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</si>
  <si>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</si>
  <si>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</si>
  <si>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</si>
  <si>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</si>
  <si>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</si>
  <si>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</si>
  <si>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</si>
  <si>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</si>
  <si>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</si>
  <si>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</si>
  <si>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</si>
  <si>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</si>
  <si>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</si>
  <si>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</si>
  <si>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</si>
  <si>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</si>
  <si>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</si>
  <si>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</si>
  <si>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</si>
  <si>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</si>
  <si>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</si>
  <si>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</si>
  <si>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</si>
  <si>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</si>
  <si>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</si>
  <si>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</si>
  <si>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</si>
  <si>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</si>
  <si>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</si>
  <si>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</si>
  <si>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</si>
  <si>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</si>
  <si>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</si>
  <si>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</si>
  <si>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</si>
  <si>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</si>
  <si>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</si>
  <si>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</si>
  <si>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</si>
  <si>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</si>
  <si>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</si>
  <si>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</si>
  <si>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</si>
  <si>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</si>
  <si>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</si>
  <si>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</si>
  <si>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</si>
  <si>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</si>
  <si>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</si>
  <si>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</si>
  <si>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</si>
  <si>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</si>
  <si>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</si>
  <si>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</si>
  <si>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</si>
  <si>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</si>
  <si>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</si>
  <si>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</si>
  <si>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</si>
  <si>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</si>
  <si>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</si>
  <si>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</si>
  <si>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</si>
  <si>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</si>
  <si>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</si>
  <si>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</si>
  <si>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</si>
  <si>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</si>
  <si>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</si>
  <si>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</si>
  <si>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</si>
  <si>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</si>
  <si>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</si>
  <si>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</si>
  <si>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</si>
  <si>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</si>
  <si>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</si>
  <si>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</si>
  <si>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</si>
  <si>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</si>
  <si>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</si>
  <si>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</si>
  <si>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</si>
  <si>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</si>
  <si>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</si>
  <si>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</si>
  <si>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</si>
  <si>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</si>
  <si>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</si>
  <si>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</si>
  <si>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</si>
  <si>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</si>
  <si>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</si>
  <si>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</si>
  <si>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</si>
  <si>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</si>
  <si>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</si>
  <si>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</si>
  <si>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</si>
  <si>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</si>
  <si>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</si>
  <si>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</si>
  <si>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</si>
  <si>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</si>
  <si>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</si>
  <si>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</si>
  <si>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</si>
  <si>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</si>
  <si>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</si>
  <si>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</si>
  <si>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</si>
  <si>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</si>
  <si>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</si>
  <si>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</si>
  <si>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</si>
  <si>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</si>
  <si>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</si>
  <si>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</si>
  <si>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</si>
  <si>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</si>
  <si>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</si>
  <si>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</si>
  <si>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</si>
  <si>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</si>
  <si>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</si>
  <si>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</si>
  <si>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</si>
  <si>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</si>
  <si>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</si>
  <si>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</si>
  <si>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</si>
  <si>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</si>
  <si>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</si>
  <si>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</si>
  <si>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</si>
  <si>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</si>
  <si>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</si>
  <si>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</si>
  <si>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</si>
  <si>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</si>
  <si>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</si>
  <si>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</si>
  <si>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</si>
  <si>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</si>
  <si>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</si>
  <si>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</si>
  <si>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</si>
  <si>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</si>
  <si>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</si>
  <si>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</si>
  <si>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</si>
  <si>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</si>
  <si>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</si>
  <si>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</si>
  <si>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</si>
  <si>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</si>
  <si>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</si>
  <si>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</si>
  <si>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</si>
  <si>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</si>
  <si>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</si>
  <si>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</si>
  <si>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</si>
  <si>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</si>
  <si>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</si>
  <si>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</si>
  <si>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</si>
  <si>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</si>
  <si>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</si>
  <si>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</si>
  <si>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</si>
  <si>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</si>
  <si>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</si>
  <si>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</si>
  <si>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</si>
  <si>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</si>
  <si>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</si>
  <si>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</si>
  <si>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</si>
  <si>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</si>
  <si>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</si>
  <si>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</si>
  <si>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</si>
  <si>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</si>
  <si>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</si>
  <si>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</si>
  <si>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</si>
  <si>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</si>
  <si>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</si>
  <si>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</si>
  <si>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</si>
  <si>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</si>
  <si>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</si>
  <si>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</si>
  <si>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</si>
  <si>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</si>
  <si>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</si>
  <si>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</si>
  <si>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</si>
  <si>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</si>
  <si>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</si>
  <si>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</si>
  <si>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</si>
  <si>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</si>
  <si>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</si>
  <si>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</si>
  <si>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</si>
  <si>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</si>
  <si>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</si>
  <si>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</si>
  <si>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</si>
  <si>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</si>
  <si>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</si>
  <si>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</si>
  <si>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</si>
  <si>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</si>
  <si>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</si>
  <si>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</si>
  <si>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</si>
  <si>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</si>
  <si>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</si>
  <si>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</si>
  <si>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</si>
  <si>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</si>
  <si>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</si>
  <si>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</si>
  <si>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</si>
  <si>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</si>
  <si>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</si>
  <si>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</si>
  <si>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</si>
  <si>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</si>
  <si>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</si>
  <si>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</si>
  <si>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</si>
  <si>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</si>
  <si>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</si>
  <si>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</si>
  <si>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</si>
  <si>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</si>
  <si>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</si>
  <si>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</si>
  <si>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</si>
  <si>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</si>
  <si>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</si>
  <si>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</si>
  <si>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</si>
  <si>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</si>
  <si>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</si>
  <si>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</si>
  <si>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</si>
  <si>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</si>
  <si>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</si>
  <si>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</si>
  <si>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</si>
  <si>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</si>
  <si>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</si>
  <si>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</si>
  <si>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</si>
  <si>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</si>
  <si>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</si>
  <si>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</si>
  <si>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</si>
  <si>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</si>
  <si>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</si>
  <si>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</si>
  <si>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</si>
  <si>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</si>
  <si>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</si>
  <si>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</si>
  <si>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</si>
  <si>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</si>
  <si>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</si>
  <si>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</si>
  <si>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</si>
  <si>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</si>
  <si>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</si>
  <si>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</si>
  <si>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</si>
  <si>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</si>
  <si>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</si>
  <si>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</si>
  <si>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</si>
  <si>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</si>
  <si>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</si>
  <si>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</si>
  <si>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</si>
  <si>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</si>
  <si>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</si>
  <si>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</si>
  <si>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</si>
  <si>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</si>
  <si>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</si>
  <si>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</si>
  <si>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</si>
  <si>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</si>
  <si>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</si>
  <si>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</si>
  <si>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</si>
  <si>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</si>
  <si>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</si>
  <si>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</si>
  <si>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</si>
  <si>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</si>
  <si>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</si>
  <si>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</si>
  <si>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</si>
  <si>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</si>
  <si>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</si>
  <si>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</si>
  <si>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</si>
  <si>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</si>
  <si>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</si>
  <si>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</si>
  <si>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</si>
  <si>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</si>
  <si>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</si>
  <si>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</si>
  <si>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</si>
  <si>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</si>
  <si>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</si>
  <si>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</si>
  <si>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</si>
  <si>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</si>
  <si>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</si>
  <si>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</si>
  <si>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</si>
  <si>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</si>
  <si>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</si>
  <si>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</si>
  <si>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</si>
  <si>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</si>
  <si>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</si>
  <si>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</si>
  <si>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</si>
  <si>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</si>
  <si>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</si>
  <si>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</si>
  <si>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</si>
  <si>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</si>
  <si>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</si>
  <si>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</si>
  <si>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</si>
  <si>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</si>
  <si>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</si>
  <si>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</si>
  <si>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</si>
  <si>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</si>
  <si>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</si>
  <si>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</si>
  <si>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</si>
  <si>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</si>
  <si>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</si>
  <si>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</si>
  <si>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</si>
  <si>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</si>
  <si>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</si>
  <si>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</si>
  <si>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</si>
  <si>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</si>
  <si>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</si>
  <si>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</si>
  <si>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</si>
  <si>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</si>
  <si>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</si>
  <si>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</si>
  <si>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</si>
  <si>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</si>
  <si>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</si>
  <si>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</si>
  <si>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</si>
  <si>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</si>
  <si>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</si>
  <si>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</si>
  <si>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</si>
  <si>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</si>
  <si>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</si>
  <si>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</si>
  <si>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</si>
  <si>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</si>
  <si>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</si>
  <si>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</si>
  <si>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</si>
  <si>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</si>
  <si>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</si>
  <si>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</si>
  <si>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</si>
  <si>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</si>
  <si>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</si>
  <si>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</si>
  <si>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</si>
  <si>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</si>
  <si>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</si>
  <si>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</si>
  <si>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</si>
  <si>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</si>
  <si>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</si>
  <si>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</si>
  <si>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</si>
  <si>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</si>
  <si>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</si>
  <si>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</si>
  <si>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</si>
  <si>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</si>
  <si>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</si>
  <si>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</si>
  <si>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</si>
  <si>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</si>
  <si>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</si>
  <si>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</si>
  <si>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</si>
  <si>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</si>
  <si>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</si>
  <si>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</si>
  <si>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</si>
  <si>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</si>
  <si>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</si>
  <si>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</si>
  <si>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</si>
  <si>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</si>
  <si>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</si>
  <si>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</si>
  <si>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</si>
  <si>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</si>
  <si>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</si>
  <si>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</si>
  <si>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</si>
  <si>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</si>
  <si>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</si>
  <si>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</si>
  <si>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</si>
  <si>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</si>
  <si>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</si>
  <si>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</si>
  <si>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</si>
  <si>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</si>
  <si>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</si>
  <si>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</si>
  <si>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</si>
  <si>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</si>
  <si>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</si>
  <si>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</si>
  <si>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</si>
  <si>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</si>
  <si>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</si>
  <si>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</si>
  <si>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</si>
  <si>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</si>
  <si>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</si>
  <si>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</si>
  <si>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</si>
  <si>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</si>
  <si>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</si>
  <si>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</si>
  <si>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</si>
  <si>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</si>
  <si>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</si>
  <si>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</si>
  <si>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</si>
  <si>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</si>
  <si>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</si>
  <si>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</si>
  <si>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</si>
  <si>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</si>
  <si>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</si>
  <si>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</si>
  <si>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</si>
  <si>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</si>
  <si>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</si>
  <si>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</si>
  <si>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</si>
  <si>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</si>
  <si>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</si>
  <si>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</si>
  <si>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</si>
  <si>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</si>
  <si>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</si>
  <si>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</si>
  <si>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</si>
  <si>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</si>
  <si>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</si>
  <si>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</si>
  <si>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</si>
  <si>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</si>
  <si>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</si>
  <si>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</si>
  <si>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</si>
  <si>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</si>
  <si>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</si>
  <si>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</si>
  <si>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</si>
  <si>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</si>
  <si>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</si>
  <si>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</si>
  <si>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</si>
  <si>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</si>
  <si>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</si>
  <si>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</si>
  <si>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</si>
  <si>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</si>
  <si>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</si>
  <si>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</si>
  <si>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</si>
  <si>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</si>
  <si>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</si>
  <si>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</si>
  <si>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</si>
  <si>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</si>
  <si>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</si>
  <si>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</si>
  <si>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</si>
  <si>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</si>
  <si>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</si>
  <si>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</si>
  <si>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</si>
  <si>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</si>
  <si>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</si>
  <si>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</si>
  <si>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</si>
  <si>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</si>
  <si>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</si>
  <si>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</si>
  <si>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</si>
  <si>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</si>
  <si>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</si>
  <si>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</si>
  <si>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</si>
  <si>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</si>
  <si>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</si>
  <si>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</si>
  <si>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</si>
  <si>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</si>
  <si>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</si>
  <si>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</si>
  <si>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</si>
  <si>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</si>
  <si>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</si>
  <si>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</si>
  <si>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</si>
  <si>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</si>
  <si>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</si>
  <si>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</si>
  <si>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</si>
  <si>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</si>
  <si>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</si>
  <si>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</si>
  <si>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</si>
  <si>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</si>
  <si>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</si>
  <si>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</si>
  <si>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</si>
  <si>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</si>
  <si>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</si>
  <si>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</si>
  <si>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</si>
  <si>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</si>
  <si>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</si>
  <si>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</si>
  <si>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</si>
  <si>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</si>
  <si>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</si>
  <si>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</si>
  <si>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</si>
  <si>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</si>
  <si>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</si>
  <si>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</si>
  <si>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</si>
  <si>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</si>
  <si>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</si>
  <si>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</si>
  <si>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</si>
  <si>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</si>
  <si>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</si>
  <si>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</si>
  <si>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</si>
  <si>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</si>
  <si>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</si>
  <si>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</si>
  <si>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</si>
  <si>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</si>
  <si>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</si>
  <si>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</si>
  <si>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</si>
  <si>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</si>
  <si>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</si>
  <si>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</si>
  <si>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</si>
  <si>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</si>
  <si>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</si>
  <si>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</si>
  <si>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</si>
  <si>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</si>
  <si>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</si>
  <si>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</si>
  <si>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</si>
  <si>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</si>
  <si>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</si>
  <si>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</si>
  <si>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</si>
  <si>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</si>
  <si>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</si>
  <si>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</si>
  <si>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</si>
  <si>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</si>
  <si>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</si>
  <si>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</si>
  <si>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</si>
  <si>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</si>
  <si>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</si>
  <si>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</si>
  <si>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</si>
  <si>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</si>
  <si>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</si>
  <si>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</si>
  <si>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</si>
  <si>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</si>
  <si>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</si>
  <si>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</si>
  <si>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</si>
  <si>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</si>
  <si>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</si>
  <si>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</si>
  <si>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</si>
  <si>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</si>
  <si>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</si>
  <si>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</si>
  <si>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</si>
  <si>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</si>
  <si>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</si>
  <si>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</si>
  <si>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</si>
  <si>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</si>
  <si>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</si>
  <si>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</si>
  <si>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</si>
  <si>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</si>
  <si>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</si>
  <si>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</si>
  <si>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</si>
  <si>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</si>
  <si>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</si>
  <si>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</si>
  <si>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</si>
  <si>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</si>
  <si>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</si>
  <si>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</si>
  <si>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</si>
  <si>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</si>
  <si>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</si>
  <si>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</si>
  <si>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</si>
  <si>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</si>
  <si>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</si>
  <si>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</si>
  <si>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</si>
  <si>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</si>
  <si>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</si>
  <si>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</si>
  <si>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</si>
  <si>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</si>
  <si>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</si>
  <si>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</si>
  <si>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</si>
  <si>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</si>
  <si>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</si>
  <si>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</si>
  <si>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</si>
  <si>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</si>
  <si>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</si>
  <si>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</si>
  <si>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</si>
  <si>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</si>
  <si>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</si>
  <si>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</si>
  <si>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</si>
  <si>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</si>
  <si>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</si>
  <si>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</si>
  <si>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</si>
  <si>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</si>
  <si>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</si>
  <si>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</si>
  <si>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</si>
  <si>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</si>
  <si>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</si>
  <si>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</si>
  <si>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</si>
  <si>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</si>
  <si>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</si>
  <si>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</si>
  <si>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</si>
  <si>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</si>
  <si>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</si>
  <si>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</si>
  <si>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</si>
  <si>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</si>
  <si>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</si>
  <si>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</si>
  <si>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</si>
  <si>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</si>
  <si>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</si>
  <si>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</si>
  <si>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</si>
  <si>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</si>
  <si>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</si>
  <si>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</si>
  <si>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</si>
  <si>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</si>
  <si>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</si>
  <si>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</si>
  <si>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</si>
  <si>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</si>
  <si>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</si>
  <si>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</si>
  <si>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</si>
  <si>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</si>
  <si>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</si>
  <si>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</si>
  <si>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</si>
  <si>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</si>
  <si>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</si>
  <si>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</si>
  <si>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</si>
  <si>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</si>
  <si>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</si>
  <si>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</si>
  <si>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</si>
  <si>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</si>
  <si>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</si>
  <si>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</si>
  <si>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</si>
  <si>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</si>
  <si>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</si>
  <si>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</si>
  <si>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</si>
  <si>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</si>
  <si>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</si>
  <si>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</si>
  <si>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</si>
  <si>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</si>
  <si>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</si>
  <si>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</si>
  <si>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</si>
  <si>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</si>
  <si>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</si>
  <si>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</si>
  <si>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</si>
  <si>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</si>
  <si>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</si>
  <si>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</si>
  <si>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</si>
  <si>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</si>
  <si>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</si>
  <si>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</si>
  <si>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</si>
  <si>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</si>
  <si>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</si>
  <si>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</si>
  <si>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</si>
  <si>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</si>
  <si>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</si>
  <si>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</si>
  <si>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</si>
  <si>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</si>
  <si>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</si>
  <si>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</si>
  <si>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</si>
  <si>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</si>
  <si>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</si>
  <si>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</si>
  <si>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</si>
  <si>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</si>
  <si>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</si>
  <si>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</si>
  <si>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</si>
  <si>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</si>
  <si>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</si>
  <si>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</si>
  <si>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</si>
  <si>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</si>
  <si>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</si>
  <si>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</si>
  <si>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</si>
  <si>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</si>
  <si>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</si>
  <si>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</si>
  <si>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</si>
  <si>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</si>
  <si>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</si>
  <si>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</si>
  <si>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</si>
  <si>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</si>
  <si>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</si>
  <si>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</si>
  <si>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</si>
  <si>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</si>
  <si>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</si>
  <si>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</si>
  <si>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</si>
  <si>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</si>
  <si>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</si>
  <si>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</si>
  <si>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</si>
  <si>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</si>
  <si>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</si>
  <si>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</si>
  <si>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</si>
  <si>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</si>
  <si>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</si>
  <si>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</si>
  <si>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</si>
  <si>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</si>
  <si>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</si>
  <si>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</si>
  <si>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</si>
  <si>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</si>
  <si>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</si>
  <si>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</si>
  <si>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</si>
  <si>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</si>
  <si>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</si>
  <si>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</si>
  <si>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</si>
  <si>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</si>
  <si>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</si>
  <si>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</si>
  <si>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</si>
  <si>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</si>
  <si>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</si>
  <si>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</si>
  <si>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</si>
  <si>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</si>
  <si>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</si>
  <si>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</si>
  <si>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</si>
  <si>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</si>
  <si>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</si>
  <si>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</si>
  <si>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</si>
  <si>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</si>
  <si>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</si>
  <si>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</si>
  <si>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</si>
  <si>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</si>
  <si>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</si>
  <si>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</si>
  <si>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</si>
  <si>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</si>
  <si>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</si>
  <si>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</si>
  <si>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</si>
  <si>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</si>
  <si>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</si>
  <si>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</si>
  <si>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</si>
  <si>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</si>
  <si>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</si>
  <si>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</si>
  <si>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</si>
  <si>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</si>
  <si>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</si>
  <si>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</si>
  <si>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</si>
  <si>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</si>
  <si>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</si>
  <si>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</si>
  <si>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</si>
  <si>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</si>
  <si>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</si>
  <si>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</si>
  <si>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</si>
  <si>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</si>
  <si>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</si>
  <si>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</si>
  <si>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</si>
  <si>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</si>
  <si>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</si>
  <si>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</si>
  <si>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</si>
  <si>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</si>
  <si>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</si>
  <si>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</si>
  <si>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</si>
  <si>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</si>
  <si>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</si>
  <si>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</si>
  <si>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</si>
  <si>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</si>
  <si>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</si>
  <si>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</si>
  <si>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</si>
  <si>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</si>
  <si>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</si>
  <si>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</si>
  <si>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</si>
  <si>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</si>
  <si>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</si>
  <si>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</si>
  <si>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</si>
  <si>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</si>
  <si>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</si>
  <si>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</si>
  <si>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</si>
  <si>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</si>
  <si>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</si>
  <si>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</si>
  <si>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</si>
  <si>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</si>
  <si>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</si>
  <si>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</si>
  <si>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</si>
  <si>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</si>
  <si>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</si>
  <si>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</si>
  <si>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</si>
  <si>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</si>
  <si>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</si>
  <si>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</si>
  <si>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</si>
  <si>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</si>
  <si>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</si>
  <si>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</si>
  <si>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</si>
  <si>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</si>
  <si>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</si>
  <si>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</si>
  <si>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</si>
  <si>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</si>
  <si>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</si>
  <si>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</si>
  <si>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</si>
  <si>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</si>
  <si>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</si>
  <si>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</si>
  <si>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</si>
  <si>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</si>
  <si>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</si>
  <si>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</si>
  <si>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</si>
  <si>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</si>
  <si>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</si>
  <si>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</si>
  <si>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</si>
  <si>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</si>
  <si>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</si>
  <si>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</si>
  <si>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</si>
  <si>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</si>
  <si>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</si>
  <si>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</si>
  <si>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</si>
  <si>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</si>
  <si>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</si>
  <si>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</si>
  <si>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</si>
  <si>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</si>
  <si>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</si>
  <si>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</si>
  <si>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</si>
  <si>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</si>
  <si>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</si>
  <si>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</si>
  <si>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</si>
  <si>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</si>
  <si>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</si>
  <si>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</si>
  <si>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</si>
  <si>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</si>
  <si>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</si>
  <si>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</si>
  <si>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</si>
  <si>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</si>
  <si>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</si>
  <si>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</si>
  <si>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</si>
  <si>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</si>
  <si>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</si>
  <si>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</si>
  <si>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</si>
  <si>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</si>
  <si>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</si>
  <si>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</si>
  <si>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</si>
  <si>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</si>
  <si>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</si>
  <si>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</si>
  <si>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</si>
  <si>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</si>
  <si>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</si>
  <si>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</si>
  <si>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</si>
  <si>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</si>
  <si>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</si>
  <si>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</si>
  <si>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</si>
  <si>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</si>
  <si>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</si>
  <si>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</si>
  <si>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</si>
  <si>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</si>
  <si>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</si>
  <si>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</si>
  <si>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</si>
  <si>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</si>
  <si>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</si>
  <si>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</si>
  <si>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</si>
  <si>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</si>
  <si>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</si>
  <si>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</si>
  <si>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</si>
  <si>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</si>
  <si>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</si>
  <si>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</si>
  <si>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</si>
  <si>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</si>
  <si>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</si>
  <si>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</si>
  <si>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</si>
  <si>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</si>
  <si>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</si>
  <si>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</si>
  <si>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</si>
  <si>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</si>
  <si>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</si>
  <si>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</si>
  <si>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</si>
  <si>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</si>
  <si>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</si>
  <si>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</si>
  <si>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</si>
  <si>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</si>
  <si>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</si>
  <si>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</si>
  <si>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</si>
  <si>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</si>
  <si>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</si>
  <si>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</si>
  <si>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</si>
  <si>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</si>
  <si>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</si>
  <si>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</si>
  <si>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</si>
  <si>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</si>
  <si>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</si>
  <si>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</si>
  <si>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</si>
  <si>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</si>
  <si>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</si>
  <si>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</si>
  <si>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</si>
  <si>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</si>
  <si>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</si>
  <si>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</si>
  <si>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</si>
  <si>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</si>
  <si>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</si>
  <si>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</si>
  <si>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</si>
  <si>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</si>
  <si>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</si>
  <si>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</si>
  <si>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</si>
  <si>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</si>
  <si>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</si>
  <si>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</si>
  <si>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</si>
  <si>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</si>
  <si>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</si>
  <si>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</si>
  <si>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</si>
  <si>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</si>
  <si>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</si>
  <si>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</si>
  <si>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</si>
  <si>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</si>
  <si>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</si>
  <si>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</si>
  <si>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</si>
  <si>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</si>
  <si>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</si>
  <si>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</si>
  <si>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</si>
  <si>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</si>
  <si>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</si>
  <si>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</si>
  <si>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</si>
  <si>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</si>
  <si>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</si>
  <si>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</si>
  <si>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</si>
  <si>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</si>
  <si>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</si>
  <si>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</si>
  <si>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</si>
  <si>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</si>
  <si>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</si>
  <si>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</si>
  <si>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</si>
  <si>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</si>
  <si>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</si>
  <si>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</si>
  <si>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</si>
  <si>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</si>
  <si>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</si>
  <si>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</si>
  <si>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</si>
  <si>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</si>
  <si>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</si>
  <si>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</si>
  <si>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</si>
  <si>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</si>
  <si>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</si>
  <si>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</si>
  <si>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</si>
  <si>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</si>
  <si>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</si>
  <si>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</si>
  <si>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</si>
  <si>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</si>
  <si>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</si>
  <si>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</si>
  <si>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</si>
  <si>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</si>
  <si>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</si>
  <si>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</si>
  <si>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</si>
  <si>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</si>
  <si>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</si>
  <si>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</si>
  <si>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</si>
  <si>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</si>
  <si>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</si>
  <si>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</si>
  <si>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</si>
  <si>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</si>
  <si>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</si>
  <si>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</si>
  <si>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</si>
  <si>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</si>
  <si>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</si>
  <si>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</si>
  <si>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</si>
  <si>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</si>
  <si>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</si>
  <si>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</si>
  <si>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</si>
  <si>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</si>
  <si>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</si>
  <si>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</si>
  <si>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</si>
  <si>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</si>
  <si>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</si>
  <si>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</si>
  <si>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</si>
  <si>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</si>
  <si>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</si>
  <si>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</si>
  <si>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</si>
  <si>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</si>
  <si>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</si>
  <si>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</si>
  <si>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</si>
  <si>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</si>
  <si>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</si>
  <si>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</si>
  <si>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</si>
  <si>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</si>
  <si>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</si>
  <si>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</si>
  <si>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</si>
  <si>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</si>
  <si>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</si>
  <si>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</si>
  <si>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</si>
  <si>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</si>
  <si>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</si>
  <si>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</si>
  <si>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</si>
  <si>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</si>
  <si>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</si>
  <si>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</si>
  <si>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</si>
  <si>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</si>
  <si>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</si>
  <si>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</si>
  <si>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</si>
  <si>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</si>
  <si>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</si>
  <si>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</si>
  <si>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</si>
  <si>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</si>
  <si>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</si>
  <si>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</si>
  <si>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</si>
  <si>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</si>
  <si>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</si>
  <si>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</si>
  <si>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</si>
  <si>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</si>
  <si>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</si>
  <si>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</si>
  <si>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</si>
  <si>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</si>
  <si>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</si>
  <si>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</si>
  <si>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</si>
  <si>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</si>
  <si>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</si>
  <si>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</si>
  <si>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</si>
  <si>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</si>
  <si>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</si>
  <si>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</si>
  <si>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</si>
  <si>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</si>
  <si>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</si>
  <si>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</si>
  <si>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</si>
  <si>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</si>
  <si>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</si>
  <si>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</si>
  <si>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</si>
  <si>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</si>
  <si>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</si>
  <si>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</si>
  <si>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</si>
  <si>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</si>
  <si>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</si>
  <si>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</si>
  <si>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</si>
  <si>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</si>
  <si>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</si>
  <si>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</si>
  <si>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</si>
  <si>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</si>
  <si>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</si>
  <si>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</si>
  <si>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</si>
  <si>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</si>
  <si>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</si>
  <si>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</si>
  <si>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</si>
  <si>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</si>
  <si>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</si>
  <si>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</si>
  <si>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</si>
  <si>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</si>
  <si>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</si>
  <si>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</si>
  <si>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</si>
  <si>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</si>
  <si>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</si>
  <si>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</si>
  <si>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</si>
  <si>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</si>
  <si>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</si>
  <si>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</si>
  <si>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</si>
  <si>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</si>
  <si>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</si>
  <si>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</si>
  <si>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</si>
  <si>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</si>
  <si>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</si>
  <si>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</si>
  <si>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</si>
  <si>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</si>
  <si>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</si>
  <si>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</si>
  <si>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</si>
  <si>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</si>
  <si>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</si>
  <si>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</si>
  <si>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</si>
  <si>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</si>
  <si>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</si>
  <si>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</si>
  <si>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</si>
  <si>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</si>
  <si>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</si>
  <si>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</si>
  <si>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</si>
  <si>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</si>
  <si>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</si>
  <si>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</si>
  <si>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</si>
  <si>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</si>
  <si>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</si>
  <si>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</si>
  <si>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</si>
  <si>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</si>
  <si>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</si>
  <si>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</si>
  <si>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</si>
  <si>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</si>
  <si>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</si>
  <si>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</si>
  <si>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</si>
  <si>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</si>
  <si>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</si>
  <si>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</si>
  <si>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</si>
  <si>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</si>
  <si>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</si>
  <si>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</si>
  <si>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</si>
  <si>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</si>
  <si>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</si>
  <si>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</si>
  <si>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</si>
  <si>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</si>
  <si>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</si>
  <si>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</si>
  <si>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</si>
  <si>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</si>
  <si>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</si>
  <si>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</si>
  <si>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</si>
  <si>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</si>
  <si>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</si>
  <si>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</si>
  <si>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</si>
  <si>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</si>
  <si>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</si>
  <si>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</si>
  <si>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</si>
  <si>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</si>
  <si>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</si>
  <si>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</si>
  <si>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</si>
  <si>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</si>
  <si>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</si>
  <si>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</si>
  <si>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</si>
  <si>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</si>
  <si>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</si>
  <si>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</si>
  <si>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</si>
  <si>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</si>
  <si>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</si>
  <si>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</si>
  <si>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</si>
  <si>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</si>
  <si>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</si>
  <si>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</si>
  <si>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</si>
  <si>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</si>
  <si>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</si>
  <si>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</si>
  <si>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</si>
  <si>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</si>
  <si>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</si>
  <si>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</si>
  <si>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</si>
  <si>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</si>
  <si>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</si>
  <si>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</si>
  <si>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</si>
  <si>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</si>
  <si>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</si>
  <si>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</si>
  <si>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</si>
  <si>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</si>
  <si>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</si>
  <si>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</si>
  <si>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</si>
  <si>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</si>
  <si>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</si>
  <si>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</si>
  <si>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</si>
  <si>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</si>
  <si>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</si>
  <si>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</si>
  <si>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</si>
  <si>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</si>
  <si>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</si>
  <si>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</si>
  <si>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</si>
  <si>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</si>
  <si>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</si>
  <si>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</si>
  <si>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</si>
  <si>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</si>
  <si>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</si>
  <si>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</si>
  <si>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</si>
  <si>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</si>
  <si>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</si>
  <si>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</si>
  <si>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</si>
  <si>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</si>
  <si>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</si>
  <si>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</si>
  <si>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</si>
  <si>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</si>
  <si>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</si>
  <si>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</si>
  <si>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</si>
  <si>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</si>
  <si>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</si>
  <si>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</si>
  <si>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</si>
  <si>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</si>
  <si>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</si>
  <si>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</si>
  <si>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</si>
  <si>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</si>
  <si>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</si>
  <si>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</si>
  <si>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</si>
  <si>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</si>
  <si>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</si>
  <si>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</si>
  <si>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</si>
  <si>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</si>
  <si>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</si>
  <si>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</si>
  <si>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</si>
  <si>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</si>
  <si>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</si>
  <si>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</si>
  <si>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</si>
  <si>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</si>
  <si>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</si>
  <si>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</si>
  <si>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</si>
  <si>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</si>
  <si>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</si>
  <si>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</si>
  <si>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</si>
  <si>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</si>
  <si>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</si>
  <si>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</si>
  <si>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</si>
  <si>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</si>
  <si>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</si>
  <si>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</si>
  <si>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</si>
  <si>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</si>
  <si>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</si>
  <si>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</si>
  <si>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</si>
  <si>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</si>
  <si>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</si>
  <si>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</si>
  <si>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</si>
  <si>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</si>
  <si>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</si>
  <si>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</si>
  <si>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</si>
  <si>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</si>
  <si>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</si>
  <si>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</si>
  <si>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</si>
  <si>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</si>
  <si>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</si>
  <si>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</si>
  <si>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</si>
  <si>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</si>
  <si>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</si>
  <si>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</si>
  <si>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</si>
  <si>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</si>
  <si>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</si>
  <si>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</si>
  <si>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</si>
  <si>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</si>
  <si>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</si>
  <si>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</si>
  <si>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</si>
  <si>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</si>
  <si>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</si>
  <si>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</si>
  <si>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</si>
  <si>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</si>
  <si>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</si>
  <si>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</si>
  <si>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</si>
  <si>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</si>
  <si>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</si>
  <si>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</si>
  <si>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</si>
  <si>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</si>
  <si>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</si>
  <si>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</si>
  <si>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</si>
  <si>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</si>
  <si>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</si>
  <si>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</si>
  <si>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</si>
  <si>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</si>
  <si>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</si>
  <si>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</si>
  <si>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</si>
  <si>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</si>
  <si>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</si>
  <si>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</si>
  <si>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</si>
  <si>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</si>
  <si>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</si>
  <si>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</si>
  <si>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</si>
  <si>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</si>
  <si>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</si>
  <si>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</si>
  <si>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</si>
  <si>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</si>
  <si>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</si>
  <si>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</si>
  <si>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</si>
  <si>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</si>
  <si>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</si>
  <si>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</si>
  <si>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</si>
  <si>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</si>
  <si>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</si>
  <si>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</si>
  <si>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</si>
  <si>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</si>
  <si>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</si>
  <si>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</si>
  <si>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</si>
  <si>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</si>
  <si>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</si>
  <si>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</si>
  <si>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</si>
  <si>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</si>
  <si>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</si>
  <si>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</si>
  <si>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</si>
  <si>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</si>
  <si>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</si>
  <si>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</si>
  <si>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</si>
  <si>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</si>
  <si>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</si>
  <si>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</si>
  <si>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</si>
  <si>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</si>
  <si>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</si>
  <si>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</si>
  <si>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</si>
  <si>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</si>
  <si>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</si>
  <si>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</si>
  <si>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</si>
  <si>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</si>
  <si>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</si>
  <si>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</si>
  <si>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</si>
  <si>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</si>
  <si>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</si>
  <si>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</si>
  <si>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</si>
  <si>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</si>
  <si>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</si>
  <si>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</si>
  <si>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</si>
  <si>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</si>
  <si>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</si>
  <si>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</si>
  <si>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</si>
  <si>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</si>
  <si>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</si>
  <si>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</si>
  <si>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</si>
  <si>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</si>
  <si>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</si>
  <si>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</si>
  <si>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</si>
  <si>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</si>
  <si>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</si>
  <si>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</si>
  <si>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</si>
  <si>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</si>
  <si>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</si>
  <si>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</si>
  <si>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</si>
  <si>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</si>
  <si>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</si>
  <si>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</si>
  <si>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</si>
  <si>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</si>
  <si>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</si>
  <si>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</si>
  <si>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</si>
  <si>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</si>
  <si>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</si>
  <si>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</si>
  <si>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</si>
  <si>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</si>
  <si>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</si>
  <si>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</si>
  <si>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</si>
  <si>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</si>
  <si>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</si>
  <si>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</si>
  <si>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</si>
  <si>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</si>
  <si>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</si>
  <si>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</si>
  <si>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</si>
  <si>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</si>
  <si>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</si>
  <si>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</si>
  <si>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</si>
  <si>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</si>
  <si>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</si>
  <si>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</si>
  <si>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</si>
  <si>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</si>
  <si>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</si>
  <si>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</si>
  <si>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</si>
  <si>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</si>
  <si>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</si>
  <si>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</si>
  <si>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</si>
  <si>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</si>
  <si>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</si>
  <si>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</si>
  <si>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</si>
  <si>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</si>
  <si>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</si>
  <si>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</si>
  <si>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</si>
  <si>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</si>
  <si>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</si>
  <si>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</si>
  <si>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</si>
  <si>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</si>
  <si>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</si>
  <si>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</si>
  <si>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</si>
  <si>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</si>
  <si>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</si>
  <si>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</si>
  <si>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</si>
  <si>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</si>
  <si>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</si>
  <si>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</si>
  <si>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</si>
  <si>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</si>
  <si>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</si>
  <si>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</si>
  <si>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</si>
  <si>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</si>
  <si>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</si>
  <si>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</si>
  <si>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</si>
  <si>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</si>
  <si>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</si>
  <si>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</si>
  <si>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</si>
  <si>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</si>
  <si>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</si>
  <si>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</si>
  <si>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</si>
  <si>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</si>
  <si>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</si>
  <si>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</si>
  <si>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</si>
  <si>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</si>
  <si>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</si>
  <si>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</si>
  <si>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</si>
  <si>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</si>
  <si>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</si>
  <si>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</si>
  <si>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</si>
  <si>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</si>
  <si>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</si>
  <si>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</si>
  <si>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</si>
  <si>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</si>
  <si>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</si>
  <si>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</si>
  <si>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</si>
  <si>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</si>
  <si>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</si>
  <si>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</si>
  <si>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</si>
  <si>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</si>
  <si>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</si>
  <si>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</si>
  <si>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</si>
  <si>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</si>
  <si>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</si>
  <si>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</si>
  <si>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</si>
  <si>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</si>
  <si>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</si>
  <si>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</si>
  <si>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</si>
  <si>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</si>
  <si>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</si>
  <si>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</si>
  <si>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</si>
  <si>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</si>
  <si>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</si>
  <si>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</si>
  <si>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</si>
  <si>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</si>
  <si>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</si>
  <si>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</si>
  <si>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</si>
  <si>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</si>
  <si>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</si>
  <si>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</si>
  <si>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</si>
  <si>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</si>
  <si>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</si>
  <si>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</si>
  <si>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</si>
  <si>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</si>
  <si>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</si>
  <si>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</si>
  <si>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</si>
  <si>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</si>
  <si>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</si>
  <si>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</si>
  <si>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</si>
  <si>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</si>
  <si>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</si>
  <si>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</si>
  <si>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</si>
  <si>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</si>
  <si>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</si>
  <si>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</si>
  <si>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</si>
  <si>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</si>
  <si>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</si>
  <si>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</si>
  <si>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</si>
  <si>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</si>
  <si>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</si>
  <si>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</si>
  <si>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</si>
  <si>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</si>
  <si>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</si>
  <si>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</si>
  <si>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</si>
  <si>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</si>
  <si>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</si>
  <si>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</si>
  <si>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</si>
  <si>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</si>
  <si>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</si>
  <si>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</si>
  <si>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</si>
  <si>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</si>
  <si>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</si>
  <si>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</si>
  <si>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</si>
  <si>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</si>
  <si>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</si>
  <si>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</si>
  <si>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</si>
  <si>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</si>
  <si>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</si>
  <si>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</si>
  <si>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</si>
  <si>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</si>
  <si>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</si>
  <si>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</si>
  <si>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</si>
  <si>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</si>
  <si>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</si>
  <si>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</si>
  <si>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</si>
  <si>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</si>
  <si>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</si>
  <si>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</si>
  <si>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</si>
  <si>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</si>
  <si>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</si>
  <si>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</si>
  <si>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</si>
  <si>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</si>
  <si>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</si>
  <si>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</si>
  <si>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</si>
  <si>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</si>
  <si>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</si>
  <si>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</si>
  <si>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</si>
  <si>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</si>
  <si>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</si>
  <si>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</si>
  <si>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</si>
  <si>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</si>
  <si>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</si>
  <si>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</si>
  <si>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</si>
  <si>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</si>
  <si>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</si>
  <si>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</si>
  <si>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</si>
  <si>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</si>
  <si>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</si>
  <si>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</si>
  <si>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</si>
  <si>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</si>
  <si>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</si>
  <si>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</si>
  <si>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</si>
  <si>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</si>
  <si>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</si>
  <si>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</si>
  <si>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</si>
  <si>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</si>
  <si>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</si>
  <si>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</si>
  <si>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</si>
  <si>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</si>
  <si>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</si>
  <si>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</si>
  <si>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</si>
  <si>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</si>
  <si>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</si>
  <si>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</si>
  <si>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</si>
  <si>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</si>
  <si>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</si>
  <si>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</si>
  <si>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</si>
  <si>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</si>
  <si>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</si>
  <si>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</si>
  <si>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</si>
  <si>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</si>
  <si>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</si>
  <si>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</si>
  <si>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</si>
  <si>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</si>
  <si>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</si>
  <si>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</si>
  <si>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</si>
  <si>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</si>
  <si>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</si>
  <si>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</si>
  <si>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</si>
  <si>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</si>
  <si>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</si>
  <si>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</si>
  <si>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</si>
  <si>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</si>
  <si>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</si>
  <si>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</si>
  <si>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</si>
  <si>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</si>
  <si>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</si>
  <si>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</si>
  <si>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</si>
  <si>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</si>
  <si>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</si>
  <si>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</si>
  <si>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</si>
  <si>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</si>
  <si>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</si>
  <si>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</si>
  <si>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</si>
  <si>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</si>
  <si>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</si>
  <si>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</si>
  <si>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</si>
  <si>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</si>
  <si>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</si>
  <si>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</si>
  <si>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</si>
  <si>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</si>
  <si>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</si>
  <si>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</si>
  <si>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</si>
  <si>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</si>
  <si>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</si>
  <si>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</si>
  <si>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</si>
  <si>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</si>
  <si>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</si>
  <si>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</si>
  <si>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</si>
  <si>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</si>
  <si>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</si>
  <si>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</si>
  <si>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</si>
  <si>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</si>
  <si>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</si>
  <si>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</si>
  <si>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</si>
  <si>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</si>
  <si>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</si>
  <si>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</si>
  <si>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</si>
  <si>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</si>
  <si>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</si>
  <si>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</si>
  <si>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</si>
  <si>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</si>
  <si>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</si>
  <si>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</si>
  <si>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</si>
  <si>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</si>
  <si>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</si>
  <si>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</si>
  <si>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</si>
  <si>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</si>
  <si>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</si>
  <si>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</si>
  <si>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</si>
  <si>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</si>
  <si>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</si>
  <si>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</si>
  <si>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</si>
  <si>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</si>
  <si>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</si>
  <si>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</si>
  <si>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</si>
  <si>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</si>
  <si>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</si>
  <si>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</si>
  <si>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</si>
  <si>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</si>
  <si>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</si>
  <si>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</si>
  <si>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</si>
  <si>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</si>
  <si>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</si>
  <si>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</si>
  <si>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</si>
  <si>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</si>
  <si>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</si>
  <si>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</si>
  <si>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</si>
  <si>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</si>
  <si>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</si>
  <si>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</si>
  <si>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</si>
  <si>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</si>
  <si>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</si>
  <si>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</si>
  <si>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</si>
  <si>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</si>
  <si>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</si>
  <si>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</si>
  <si>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</si>
  <si>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</si>
  <si>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</si>
  <si>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</si>
  <si>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</si>
  <si>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</si>
  <si>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</si>
  <si>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</si>
  <si>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</si>
  <si>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</si>
  <si>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</si>
  <si>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</si>
  <si>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</si>
  <si>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</si>
  <si>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</si>
  <si>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</si>
  <si>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</si>
  <si>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</si>
  <si>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</si>
  <si>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</si>
  <si>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</si>
  <si>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</si>
  <si>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</si>
  <si>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</si>
  <si>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</si>
  <si>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</si>
  <si>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</si>
  <si>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</si>
  <si>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</si>
  <si>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</si>
  <si>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</si>
  <si>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</si>
  <si>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</si>
  <si>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</si>
  <si>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</si>
  <si>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</si>
  <si>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</si>
  <si>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</si>
  <si>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</si>
  <si>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</si>
  <si>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</si>
  <si>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</si>
  <si>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</si>
  <si>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</si>
  <si>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</si>
  <si>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</si>
  <si>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</si>
  <si>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</si>
  <si>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</si>
  <si>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</si>
  <si>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</si>
  <si>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</si>
  <si>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</si>
  <si>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</si>
  <si>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</si>
  <si>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</si>
  <si>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</si>
  <si>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</si>
  <si>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</si>
  <si>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</si>
  <si>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</si>
  <si>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</si>
  <si>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</si>
  <si>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</si>
  <si>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</si>
  <si>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</si>
  <si>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</si>
  <si>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</si>
  <si>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</si>
  <si>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</si>
  <si>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</si>
  <si>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</si>
  <si>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</si>
  <si>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</si>
  <si>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</si>
  <si>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</si>
  <si>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</si>
  <si>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</si>
  <si>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</si>
  <si>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</si>
  <si>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</si>
  <si>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</si>
  <si>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</si>
  <si>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</si>
  <si>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</si>
  <si>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</si>
  <si>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</si>
  <si>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</si>
  <si>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</si>
  <si>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</si>
  <si>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</si>
  <si>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</si>
  <si>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</si>
  <si>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</si>
  <si>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</si>
  <si>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</si>
  <si>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</si>
  <si>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</si>
  <si>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</si>
  <si>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</si>
  <si>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</si>
  <si>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</si>
  <si>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</si>
  <si>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</si>
  <si>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</si>
  <si>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</si>
  <si>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</si>
  <si>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</si>
  <si>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</si>
  <si>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</si>
  <si>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</si>
  <si>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</si>
  <si>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</si>
  <si>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</si>
  <si>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</si>
  <si>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</si>
  <si>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</si>
  <si>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</si>
  <si>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</si>
  <si>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</si>
  <si>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</si>
  <si>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</si>
  <si>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</si>
  <si>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</si>
  <si>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</si>
  <si>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</si>
  <si>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</si>
  <si>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</si>
  <si>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</si>
  <si>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</si>
  <si>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</si>
  <si>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</si>
  <si>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</si>
  <si>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</si>
  <si>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</si>
  <si>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</si>
  <si>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</si>
  <si>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</si>
  <si>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</si>
  <si>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</si>
  <si>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</si>
  <si>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</si>
  <si>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</si>
  <si>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</si>
  <si>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</si>
  <si>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</si>
  <si>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</si>
  <si>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</si>
  <si>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</si>
  <si>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</si>
  <si>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</si>
  <si>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</si>
  <si>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</si>
  <si>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</si>
  <si>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</si>
  <si>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</si>
  <si>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</si>
  <si>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</si>
  <si>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</si>
  <si>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</si>
  <si>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</si>
  <si>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</si>
  <si>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</si>
  <si>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</si>
  <si>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</si>
  <si>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</si>
  <si>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</si>
  <si>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</si>
  <si>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</si>
  <si>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</si>
  <si>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</si>
  <si>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</si>
  <si>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</si>
  <si>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</si>
  <si>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</si>
  <si>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</si>
  <si>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</si>
  <si>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</si>
  <si>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</si>
  <si>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</si>
  <si>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</si>
  <si>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</si>
  <si>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</si>
  <si>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</si>
  <si>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</si>
  <si>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</si>
  <si>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</si>
  <si>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</si>
  <si>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</si>
  <si>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</si>
  <si>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</si>
  <si>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</si>
  <si>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</si>
  <si>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</si>
  <si>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</si>
  <si>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</si>
  <si>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</si>
  <si>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</si>
  <si>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</si>
  <si>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</si>
  <si>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</si>
  <si>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</si>
  <si>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</si>
  <si>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</si>
  <si>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</si>
  <si>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</si>
  <si>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</si>
  <si>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</si>
  <si>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</si>
  <si>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</si>
  <si>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</si>
  <si>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</si>
  <si>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</si>
  <si>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</si>
  <si>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</si>
  <si>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</si>
  <si>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</si>
  <si>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</si>
  <si>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</si>
  <si>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</si>
  <si>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</si>
  <si>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</si>
  <si>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</si>
  <si>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</si>
  <si>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</si>
  <si>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</si>
  <si>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</si>
  <si>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</si>
  <si>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</si>
  <si>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</si>
  <si>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</si>
  <si>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</si>
  <si>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</si>
  <si>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</si>
  <si>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</si>
  <si>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</si>
  <si>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</si>
  <si>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</si>
  <si>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</si>
  <si>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</si>
  <si>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</si>
  <si>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</si>
  <si>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</si>
  <si>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</si>
  <si>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</si>
  <si>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</si>
  <si>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</si>
  <si>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</si>
  <si>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</si>
  <si>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</si>
  <si>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</si>
  <si>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</si>
  <si>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</si>
  <si>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</si>
  <si>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</si>
  <si>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</si>
  <si>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</si>
  <si>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</si>
  <si>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</si>
  <si>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</si>
  <si>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</si>
  <si>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</si>
  <si>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</si>
  <si>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</si>
  <si>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</si>
  <si>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</si>
  <si>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</si>
  <si>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</si>
  <si>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</si>
  <si>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</si>
  <si>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</si>
  <si>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</si>
  <si>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</si>
  <si>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</si>
  <si>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</si>
  <si>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</si>
  <si>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</si>
  <si>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</si>
  <si>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</si>
  <si>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</si>
  <si>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</si>
  <si>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</si>
  <si>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</si>
  <si>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</si>
  <si>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</si>
  <si>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</si>
  <si>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</si>
  <si>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</si>
  <si>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</si>
  <si>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</si>
  <si>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</si>
  <si>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</si>
  <si>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</si>
  <si>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</si>
  <si>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</si>
  <si>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</si>
  <si>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</si>
  <si>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</si>
  <si>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</si>
  <si>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</si>
  <si>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</si>
  <si>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</si>
  <si>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</si>
  <si>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</si>
  <si>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</si>
  <si>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</si>
  <si>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</si>
  <si>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</si>
  <si>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</si>
  <si>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</si>
  <si>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</si>
  <si>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</si>
  <si>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</si>
  <si>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</si>
  <si>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</si>
  <si>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</si>
  <si>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</si>
  <si>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</si>
  <si>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</si>
  <si>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</si>
  <si>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</si>
  <si>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</si>
  <si>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</si>
  <si>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</si>
  <si>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</si>
  <si>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</si>
  <si>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</si>
  <si>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</si>
  <si>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</si>
  <si>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</si>
  <si>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</si>
  <si>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</si>
  <si>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</si>
  <si>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</si>
  <si>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</si>
  <si>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</si>
  <si>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</si>
  <si>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</si>
  <si>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</si>
  <si>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</si>
  <si>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</si>
  <si>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</si>
  <si>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</si>
  <si>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</si>
  <si>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</si>
  <si>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</si>
  <si>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</si>
  <si>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</si>
  <si>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</si>
  <si>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</si>
  <si>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</si>
  <si>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</si>
  <si>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</si>
  <si>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</si>
  <si>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</si>
  <si>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</si>
  <si>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</si>
  <si>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</si>
  <si>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</si>
  <si>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</si>
  <si>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</si>
  <si>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</si>
  <si>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</si>
  <si>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</si>
  <si>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</si>
  <si>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</si>
  <si>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</si>
  <si>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</si>
  <si>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</si>
  <si>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</si>
  <si>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</si>
  <si>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</si>
  <si>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</si>
  <si>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</si>
  <si>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</si>
  <si>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</si>
  <si>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</si>
  <si>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</si>
  <si>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</si>
  <si>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</si>
  <si>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</si>
  <si>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</si>
  <si>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</si>
  <si>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</si>
  <si>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</si>
  <si>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</si>
  <si>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</si>
  <si>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</si>
  <si>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</si>
  <si>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</si>
  <si>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</si>
  <si>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</si>
  <si>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</si>
  <si>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</si>
  <si>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</si>
  <si>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</si>
  <si>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</si>
  <si>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</si>
  <si>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</si>
  <si>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</si>
  <si>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</si>
  <si>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</si>
  <si>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</si>
  <si>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</si>
  <si>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</si>
  <si>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</si>
  <si>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</si>
  <si>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</si>
  <si>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</si>
  <si>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</si>
  <si>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</si>
  <si>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</si>
  <si>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</si>
  <si>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</si>
  <si>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</si>
  <si>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</si>
  <si>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</si>
  <si>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</si>
  <si>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</si>
  <si>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</si>
  <si>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</si>
  <si>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</si>
  <si>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</si>
  <si>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</si>
  <si>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</si>
  <si>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</si>
  <si>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</si>
  <si>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</si>
  <si>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</si>
  <si>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</si>
  <si>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</si>
  <si>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</si>
  <si>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</si>
  <si>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</si>
  <si>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</si>
  <si>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</si>
  <si>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</si>
  <si>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</si>
  <si>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</si>
  <si>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</si>
  <si>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</si>
  <si>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</si>
  <si>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</si>
  <si>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</si>
  <si>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</si>
  <si>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</si>
  <si>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</si>
  <si>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</si>
  <si>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</si>
  <si>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</si>
  <si>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</si>
  <si>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</si>
  <si>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</si>
  <si>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</si>
  <si>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</si>
  <si>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</si>
  <si>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</si>
  <si>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</si>
  <si>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</si>
  <si>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</si>
  <si>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</si>
  <si>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</si>
  <si>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</si>
  <si>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</si>
  <si>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</si>
  <si>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</si>
  <si>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</si>
  <si>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</si>
  <si>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</si>
  <si>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</si>
  <si>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</si>
  <si>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</si>
  <si>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</si>
  <si>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</si>
  <si>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</si>
  <si>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</si>
  <si>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</si>
  <si>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</si>
  <si>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</si>
  <si>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</si>
  <si>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</si>
  <si>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</si>
  <si>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</si>
  <si>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</si>
  <si>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</si>
  <si>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</si>
  <si>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</si>
  <si>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</si>
  <si>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</si>
  <si>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</si>
  <si>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</si>
  <si>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</si>
  <si>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</si>
  <si>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</si>
  <si>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</si>
  <si>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</si>
  <si>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</si>
  <si>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</si>
  <si>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</si>
  <si>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</si>
  <si>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</si>
  <si>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</si>
  <si>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</si>
  <si>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</si>
  <si>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</si>
  <si>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</si>
  <si>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</si>
  <si>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</si>
  <si>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</si>
  <si>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</si>
  <si>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</si>
  <si>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</si>
  <si>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</si>
  <si>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</si>
  <si>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</si>
  <si>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</si>
  <si>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</si>
  <si>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</si>
  <si>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</si>
  <si>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</si>
  <si>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</si>
  <si>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</si>
  <si>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</si>
  <si>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</si>
  <si>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</si>
  <si>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</si>
  <si>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</si>
  <si>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</si>
  <si>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</si>
  <si>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</si>
  <si>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</si>
  <si>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</si>
  <si>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</si>
  <si>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</si>
  <si>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</si>
  <si>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</si>
  <si>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</si>
  <si>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</si>
  <si>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</si>
  <si>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</si>
  <si>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</si>
  <si>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</si>
  <si>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</si>
  <si>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</si>
  <si>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</si>
  <si>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</si>
  <si>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</si>
  <si>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</si>
  <si>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</si>
  <si>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</si>
  <si>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</si>
  <si>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</si>
  <si>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</si>
  <si>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</si>
  <si>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</si>
  <si>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</si>
  <si>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</si>
  <si>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</si>
  <si>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</si>
  <si>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</si>
  <si>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</si>
  <si>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</si>
  <si>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</si>
  <si>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</si>
  <si>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</si>
  <si>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</si>
  <si>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</si>
  <si>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</si>
  <si>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</si>
  <si>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</si>
  <si>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</si>
  <si>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</si>
  <si>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</si>
  <si>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</si>
  <si>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</si>
  <si>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</si>
  <si>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</si>
  <si>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</si>
  <si>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</si>
  <si>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</si>
  <si>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</si>
  <si>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</si>
  <si>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</si>
  <si>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</si>
  <si>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</si>
  <si>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</si>
  <si>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</si>
  <si>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</si>
  <si>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</si>
  <si>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</si>
  <si>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</si>
  <si>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</si>
  <si>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</si>
  <si>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</si>
  <si>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</si>
  <si>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</si>
  <si>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</si>
  <si>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</si>
  <si>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</si>
  <si>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</si>
  <si>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</si>
  <si>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</si>
  <si>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</si>
  <si>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</si>
  <si>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</si>
  <si>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</si>
  <si>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</si>
  <si>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</si>
  <si>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</si>
  <si>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</si>
  <si>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</si>
  <si>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</si>
  <si>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</si>
  <si>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</si>
  <si>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</si>
  <si>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</si>
  <si>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</si>
  <si>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</si>
  <si>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</si>
  <si>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</si>
  <si>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</si>
  <si>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</si>
  <si>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</si>
  <si>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</si>
  <si>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</si>
  <si>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</si>
  <si>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</si>
  <si>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</si>
  <si>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</si>
  <si>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</si>
  <si>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</si>
  <si>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</si>
  <si>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</si>
  <si>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</si>
  <si>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</si>
  <si>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</si>
  <si>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</si>
  <si>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</si>
  <si>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</si>
  <si>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</si>
  <si>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</si>
  <si>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</si>
  <si>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</si>
  <si>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</si>
  <si>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</si>
  <si>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</si>
  <si>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</si>
  <si>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</si>
  <si>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</si>
  <si>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</si>
  <si>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</si>
  <si>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</si>
  <si>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</si>
  <si>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</si>
  <si>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</si>
  <si>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</si>
  <si>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</si>
  <si>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</si>
  <si>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</si>
  <si>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</si>
  <si>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</si>
  <si>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</si>
  <si>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</si>
  <si>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</si>
  <si>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</si>
  <si>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</si>
  <si>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</si>
  <si>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</si>
  <si>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</si>
  <si>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</si>
  <si>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</si>
  <si>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</si>
  <si>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</si>
  <si>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</si>
  <si>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</si>
  <si>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</si>
  <si>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</si>
  <si>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</si>
  <si>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</si>
  <si>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</si>
  <si>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</si>
  <si>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</si>
  <si>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</si>
  <si>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</si>
  <si>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</si>
  <si>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</si>
  <si>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</si>
  <si>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</si>
  <si>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</si>
  <si>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</si>
  <si>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</si>
  <si>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</si>
  <si>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</si>
  <si>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</si>
  <si>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</si>
  <si>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</si>
  <si>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</si>
  <si>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</si>
  <si>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</si>
  <si>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</si>
  <si>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</si>
  <si>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</si>
  <si>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</si>
  <si>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</si>
  <si>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</si>
  <si>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</si>
  <si>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</si>
  <si>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</si>
  <si>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</si>
  <si>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</si>
  <si>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</si>
  <si>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</si>
  <si>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</si>
  <si>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</si>
  <si>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</si>
  <si>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</si>
  <si>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</si>
  <si>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</si>
  <si>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</si>
  <si>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</si>
  <si>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</si>
  <si>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</si>
  <si>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</si>
  <si>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</si>
  <si>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</si>
  <si>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</si>
  <si>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</si>
  <si>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</si>
  <si>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</si>
  <si>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</si>
  <si>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</si>
  <si>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</si>
  <si>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</si>
  <si>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</si>
  <si>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</si>
  <si>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</si>
  <si>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</si>
  <si>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</si>
  <si>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</si>
  <si>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</si>
  <si>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</si>
  <si>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</si>
  <si>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</si>
  <si>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</si>
  <si>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</si>
  <si>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</si>
  <si>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</si>
  <si>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</si>
  <si>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</si>
  <si>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</si>
  <si>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</si>
  <si>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</si>
  <si>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</si>
  <si>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</si>
  <si>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</si>
  <si>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</si>
  <si>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</si>
  <si>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</si>
  <si>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</si>
  <si>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</si>
  <si>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</si>
  <si>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</si>
  <si>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</si>
  <si>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</si>
  <si>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</si>
  <si>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</si>
  <si>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</si>
  <si>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</si>
  <si>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</si>
  <si>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</si>
  <si>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</si>
  <si>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</si>
  <si>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</si>
  <si>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</si>
  <si>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</si>
  <si>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</si>
  <si>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</si>
  <si>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</si>
  <si>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</si>
  <si>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</si>
  <si>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</si>
  <si>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</si>
  <si>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</si>
  <si>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</si>
  <si>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</si>
  <si>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</si>
  <si>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</si>
  <si>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</si>
  <si>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</si>
  <si>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</si>
  <si>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</si>
  <si>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</si>
  <si>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</si>
  <si>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</si>
  <si>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</si>
  <si>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</si>
  <si>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</si>
  <si>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</si>
  <si>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</si>
  <si>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</si>
  <si>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</si>
  <si>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</si>
  <si>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</si>
  <si>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</si>
  <si>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</si>
  <si>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</si>
  <si>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</si>
  <si>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</si>
  <si>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</si>
  <si>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</si>
  <si>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</si>
  <si>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</si>
  <si>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</si>
  <si>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</si>
  <si>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</si>
  <si>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</si>
  <si>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</si>
  <si>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</si>
  <si>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</si>
  <si>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</si>
  <si>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</si>
  <si>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</si>
  <si>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</si>
  <si>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</si>
  <si>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</si>
  <si>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</si>
  <si>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</si>
  <si>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</si>
  <si>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</si>
  <si>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</si>
  <si>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</si>
  <si>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</si>
  <si>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</si>
  <si>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</si>
  <si>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</si>
  <si>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</si>
  <si>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</si>
  <si>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</si>
  <si>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</si>
  <si>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</si>
  <si>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</si>
  <si>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</si>
  <si>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</si>
  <si>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</si>
  <si>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</si>
  <si>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</si>
  <si>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</si>
  <si>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</si>
  <si>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</si>
  <si>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</si>
  <si>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</si>
  <si>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</si>
  <si>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</si>
  <si>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</si>
  <si>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</si>
  <si>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</si>
  <si>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</si>
  <si>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</si>
  <si>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</si>
  <si>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</si>
  <si>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</si>
  <si>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</si>
  <si>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</si>
  <si>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</si>
  <si>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</si>
  <si>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</si>
  <si>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</si>
  <si>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</si>
  <si>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</si>
  <si>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</si>
  <si>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</si>
  <si>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</si>
  <si>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</si>
  <si>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</si>
  <si>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</si>
  <si>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</si>
  <si>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</si>
  <si>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</si>
  <si>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</si>
  <si>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</si>
  <si>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</si>
  <si>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</si>
  <si>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</si>
  <si>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</si>
  <si>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</si>
  <si>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</si>
  <si>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</si>
  <si>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</si>
  <si>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</si>
  <si>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</si>
  <si>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</si>
  <si>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</si>
  <si>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</si>
  <si>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</si>
  <si>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</si>
  <si>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</si>
  <si>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</si>
  <si>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</si>
  <si>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</si>
  <si>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</si>
  <si>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</si>
  <si>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</si>
  <si>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</si>
  <si>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</si>
  <si>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</si>
  <si>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</si>
  <si>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</si>
  <si>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</si>
  <si>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</si>
  <si>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</si>
  <si>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</si>
  <si>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</si>
  <si>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</si>
  <si>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</si>
  <si>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</si>
  <si>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</si>
  <si>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</si>
  <si>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</si>
  <si>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</si>
  <si>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</si>
  <si>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</si>
  <si>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</si>
  <si>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</si>
  <si>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</si>
  <si>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</si>
  <si>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</si>
  <si>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</si>
  <si>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</si>
  <si>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</si>
  <si>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</si>
  <si>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</si>
  <si>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</si>
  <si>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</si>
  <si>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</si>
  <si>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</si>
  <si>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</si>
  <si>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</si>
  <si>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</si>
  <si>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</si>
  <si>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</si>
  <si>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</si>
  <si>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</si>
  <si>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</si>
  <si>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</si>
  <si>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</si>
  <si>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</si>
  <si>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</si>
  <si>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</si>
  <si>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</si>
  <si>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</si>
  <si>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</si>
  <si>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</si>
  <si>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</si>
  <si>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</si>
  <si>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</si>
  <si>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</si>
  <si>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</si>
  <si>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</si>
  <si>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</si>
  <si>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</si>
  <si>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</si>
  <si>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</si>
  <si>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</si>
  <si>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</si>
  <si>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</si>
  <si>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</si>
  <si>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</si>
  <si>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</si>
  <si>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</si>
  <si>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</si>
  <si>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</si>
  <si>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</si>
  <si>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</si>
  <si>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</si>
  <si>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</si>
  <si>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</si>
  <si>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</si>
  <si>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</si>
  <si>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</si>
  <si>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</si>
  <si>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</si>
  <si>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</si>
  <si>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</si>
  <si>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</si>
  <si>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</si>
  <si>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</si>
  <si>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</si>
  <si>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</si>
  <si>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</si>
  <si>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</si>
  <si>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</si>
  <si>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</si>
  <si>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</si>
  <si>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</si>
  <si>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</si>
  <si>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</si>
  <si>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</si>
  <si>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</si>
  <si>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</si>
  <si>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</si>
  <si>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</si>
  <si>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</si>
  <si>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</si>
  <si>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</si>
  <si>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</si>
  <si>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</si>
  <si>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</si>
  <si>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</si>
  <si>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</si>
  <si>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</si>
  <si>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</si>
  <si>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</si>
  <si>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</si>
  <si>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</si>
  <si>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</si>
  <si>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</si>
  <si>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</si>
  <si>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</si>
  <si>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</si>
  <si>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</si>
  <si>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</si>
  <si>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</si>
  <si>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</si>
  <si>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</si>
  <si>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</si>
  <si>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</si>
  <si>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</si>
  <si>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</si>
  <si>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</si>
  <si>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</si>
  <si>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</si>
  <si>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</si>
  <si>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</si>
  <si>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</si>
  <si>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</si>
  <si>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</si>
  <si>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</si>
  <si>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</si>
  <si>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</si>
  <si>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</si>
  <si>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</si>
  <si>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</si>
  <si>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</si>
  <si>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</si>
  <si>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</si>
  <si>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</si>
  <si>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</si>
  <si>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</si>
  <si>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</si>
  <si>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</si>
  <si>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</si>
  <si>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</si>
  <si>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</si>
  <si>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</si>
  <si>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</si>
  <si>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</si>
  <si>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</si>
  <si>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</si>
  <si>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</si>
  <si>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</si>
  <si>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</si>
  <si>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</si>
  <si>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</si>
  <si>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</si>
  <si>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</si>
  <si>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</si>
  <si>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</si>
  <si>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</si>
  <si>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</si>
  <si>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</si>
  <si>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</si>
  <si>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</si>
  <si>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</si>
  <si>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</si>
  <si>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</si>
  <si>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</si>
  <si>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</si>
  <si>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</si>
  <si>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</si>
  <si>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</si>
  <si>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</si>
  <si>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</si>
  <si>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</si>
  <si>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</si>
  <si>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</si>
  <si>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</si>
  <si>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</si>
  <si>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</si>
  <si>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</si>
  <si>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</si>
  <si>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</si>
  <si>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</si>
  <si>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</si>
  <si>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</si>
  <si>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</si>
  <si>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</si>
  <si>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</si>
  <si>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</si>
  <si>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</si>
  <si>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</si>
  <si>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</si>
  <si>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</si>
  <si>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</si>
  <si>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</si>
  <si>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</si>
  <si>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</si>
  <si>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</si>
  <si>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</si>
  <si>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</si>
  <si>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</si>
  <si>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</si>
  <si>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</si>
  <si>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</si>
  <si>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</si>
  <si>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</si>
  <si>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</si>
  <si>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</si>
  <si>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</si>
  <si>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</si>
  <si>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</si>
  <si>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</si>
  <si>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</si>
  <si>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</si>
  <si>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</si>
  <si>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</si>
  <si>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</si>
  <si>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</si>
  <si>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</si>
  <si>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</si>
  <si>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</si>
  <si>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</si>
  <si>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</si>
  <si>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</si>
  <si>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</si>
  <si>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</si>
  <si>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</si>
  <si>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</si>
  <si>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</si>
  <si>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</si>
  <si>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</si>
  <si>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</si>
  <si>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</si>
  <si>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</si>
  <si>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</si>
  <si>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</si>
  <si>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</si>
  <si>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</si>
  <si>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</si>
  <si>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</si>
  <si>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</si>
  <si>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</si>
  <si>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</si>
  <si>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</si>
  <si>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</si>
  <si>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</si>
  <si>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</si>
  <si>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</si>
  <si>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</si>
  <si>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</si>
  <si>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</si>
  <si>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</si>
  <si>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</si>
  <si>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</si>
  <si>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</si>
  <si>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</si>
  <si>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</si>
  <si>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</si>
  <si>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</si>
  <si>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</si>
  <si>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</si>
  <si>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</si>
  <si>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</si>
  <si>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</si>
  <si>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</si>
  <si>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</si>
  <si>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</si>
  <si>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</si>
  <si>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</si>
  <si>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</si>
  <si>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</si>
  <si>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</si>
  <si>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</si>
  <si>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</si>
  <si>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</si>
  <si>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</si>
  <si>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</si>
  <si>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</si>
  <si>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</si>
  <si>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</si>
  <si>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</si>
  <si>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</si>
  <si>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</si>
  <si>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</si>
  <si>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</si>
  <si>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</si>
  <si>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</si>
  <si>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</si>
  <si>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</si>
  <si>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</si>
  <si>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</si>
  <si>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</si>
  <si>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</si>
  <si>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</si>
  <si>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</si>
  <si>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</si>
  <si>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</si>
  <si>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</si>
  <si>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</si>
  <si>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</si>
  <si>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</si>
  <si>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</si>
  <si>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</si>
  <si>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</si>
  <si>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</si>
  <si>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</si>
  <si>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</si>
  <si>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</si>
  <si>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</si>
  <si>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</si>
  <si>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</si>
  <si>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</si>
  <si>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</si>
  <si>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</si>
  <si>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</si>
  <si>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</si>
  <si>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</si>
  <si>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</si>
  <si>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</si>
  <si>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</si>
  <si>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</si>
  <si>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</si>
  <si>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</si>
  <si>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</si>
  <si>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</si>
  <si>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</si>
  <si>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</si>
  <si>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</si>
  <si>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</si>
  <si>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</si>
  <si>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</si>
  <si>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</si>
  <si>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</si>
  <si>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</si>
  <si>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</si>
  <si>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</si>
  <si>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</si>
  <si>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</si>
  <si>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</si>
  <si>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</si>
  <si>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</si>
  <si>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</si>
  <si>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</si>
  <si>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</si>
  <si>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</si>
  <si>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</si>
  <si>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</si>
  <si>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</si>
  <si>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</si>
  <si>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</si>
  <si>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</si>
  <si>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</si>
  <si>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</si>
  <si>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</si>
  <si>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</si>
  <si>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</si>
  <si>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</si>
  <si>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</si>
  <si>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</si>
  <si>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</si>
  <si>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</si>
  <si>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</si>
  <si>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</si>
  <si>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</si>
  <si>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</si>
  <si>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</si>
  <si>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</si>
  <si>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</si>
  <si>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</si>
  <si>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</si>
  <si>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</si>
  <si>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</si>
  <si>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</si>
  <si>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</si>
  <si>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</si>
  <si>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</si>
  <si>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</si>
  <si>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</si>
  <si>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</si>
  <si>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</si>
  <si>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</si>
  <si>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</si>
  <si>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</si>
  <si>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</si>
  <si>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</si>
  <si>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</si>
  <si>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</si>
  <si>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</si>
  <si>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</si>
  <si>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</si>
  <si>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</si>
  <si>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</si>
  <si>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</si>
  <si>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</si>
  <si>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</si>
  <si>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</si>
  <si>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</si>
  <si>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</si>
  <si>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</si>
  <si>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</si>
  <si>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</si>
  <si>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</si>
  <si>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</si>
  <si>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</si>
  <si>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</si>
  <si>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</si>
  <si>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</si>
  <si>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</si>
  <si>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</si>
  <si>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</si>
  <si>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</si>
  <si>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</si>
  <si>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</si>
  <si>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</si>
  <si>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</si>
  <si>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</si>
  <si>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</si>
  <si>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</si>
  <si>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</si>
  <si>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</si>
  <si>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</si>
  <si>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</si>
  <si>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</si>
  <si>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</si>
  <si>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</si>
  <si>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</si>
  <si>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</si>
  <si>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</si>
  <si>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</si>
  <si>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</si>
  <si>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</si>
  <si>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</si>
  <si>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</si>
  <si>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</si>
  <si>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</si>
  <si>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</si>
  <si>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</si>
  <si>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</si>
  <si>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</si>
  <si>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</si>
  <si>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</si>
  <si>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</si>
  <si>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</si>
  <si>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</si>
  <si>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</si>
  <si>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</si>
  <si>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</si>
  <si>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</si>
  <si>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</si>
  <si>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</si>
  <si>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</si>
  <si>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</si>
  <si>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</si>
  <si>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</si>
  <si>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</si>
  <si>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</si>
  <si>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</si>
  <si>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</si>
  <si>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</si>
  <si>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</si>
  <si>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</si>
  <si>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</si>
  <si>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</si>
  <si>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</si>
  <si>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</si>
  <si>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</si>
  <si>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</si>
  <si>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</si>
  <si>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</si>
  <si>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</si>
  <si>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</si>
  <si>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</si>
  <si>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</si>
  <si>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</si>
  <si>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</si>
  <si>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</si>
  <si>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</si>
  <si>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</si>
  <si>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</si>
  <si>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</si>
  <si>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</si>
  <si>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</si>
  <si>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</si>
  <si>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</si>
  <si>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</si>
  <si>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</si>
  <si>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</si>
  <si>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</si>
  <si>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</si>
  <si>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</si>
  <si>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</si>
  <si>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</si>
  <si>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</si>
  <si>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</si>
  <si>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</si>
  <si>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</si>
  <si>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</si>
  <si>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</si>
  <si>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</si>
  <si>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</si>
  <si>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</si>
  <si>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</si>
  <si>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</si>
  <si>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</si>
  <si>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</si>
  <si>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</si>
  <si>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</si>
  <si>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</si>
  <si>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</si>
  <si>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</si>
  <si>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</si>
  <si>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</si>
  <si>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</si>
  <si>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</si>
  <si>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</si>
  <si>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</si>
  <si>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</si>
  <si>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</si>
  <si>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</si>
  <si>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</si>
  <si>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</si>
  <si>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</si>
  <si>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</si>
  <si>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</si>
  <si>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</si>
  <si>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</si>
  <si>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</si>
  <si>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</si>
  <si>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</si>
  <si>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</si>
  <si>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</si>
  <si>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</si>
  <si>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</si>
  <si>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</si>
  <si>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</si>
  <si>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</si>
  <si>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</si>
  <si>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</si>
  <si>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</si>
  <si>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</si>
  <si>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</si>
  <si>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</si>
  <si>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</si>
  <si>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</si>
  <si>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</si>
  <si>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</si>
  <si>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</si>
  <si>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</si>
  <si>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</si>
  <si>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</si>
  <si>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</si>
  <si>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</si>
  <si>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</si>
  <si>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</si>
  <si>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</si>
  <si>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</si>
  <si>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</si>
  <si>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</si>
  <si>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</si>
  <si>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</si>
  <si>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</si>
  <si>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</si>
  <si>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</si>
  <si>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</si>
  <si>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</si>
  <si>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</si>
  <si>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</si>
  <si>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</si>
  <si>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</si>
  <si>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</si>
  <si>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</si>
  <si>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</si>
  <si>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</si>
  <si>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</si>
  <si>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</si>
  <si>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</si>
  <si>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</si>
  <si>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</si>
  <si>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</si>
  <si>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</si>
  <si>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</si>
  <si>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</si>
  <si>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</si>
  <si>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</si>
  <si>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</si>
  <si>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</si>
  <si>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</si>
  <si>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</si>
  <si>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</si>
  <si>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</si>
  <si>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</si>
  <si>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</si>
  <si>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</si>
  <si>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</si>
  <si>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</si>
  <si>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</si>
  <si>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</si>
  <si>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</si>
  <si>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</si>
  <si>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</si>
  <si>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</si>
  <si>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</si>
  <si>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</si>
  <si>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</si>
  <si>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</si>
  <si>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</si>
  <si>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</si>
  <si>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</si>
  <si>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</si>
  <si>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</si>
  <si>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</si>
  <si>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</si>
  <si>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</si>
  <si>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</si>
  <si>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</si>
  <si>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</si>
  <si>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</si>
  <si>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</si>
  <si>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</si>
  <si>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</si>
  <si>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</si>
  <si>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</si>
  <si>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</si>
  <si>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Count</t>
  </si>
  <si>
    <t>Mean</t>
  </si>
  <si>
    <t>Median</t>
  </si>
  <si>
    <t>Minimum</t>
  </si>
  <si>
    <t>Maximum</t>
  </si>
  <si>
    <t>Qunatity</t>
  </si>
  <si>
    <t>Unit Price</t>
  </si>
  <si>
    <t>Total Price</t>
  </si>
  <si>
    <t>Grand Total</t>
  </si>
  <si>
    <t>Payment Method</t>
  </si>
  <si>
    <t xml:space="preserve">Count </t>
  </si>
  <si>
    <t>Order Status</t>
  </si>
  <si>
    <t>Referral Source</t>
  </si>
  <si>
    <t>Analysis Performed</t>
  </si>
  <si>
    <t>Analysis No.</t>
  </si>
  <si>
    <t>Key Observation</t>
  </si>
  <si>
    <t>Business Insight</t>
  </si>
  <si>
    <t>PaymentMethod Distribution</t>
  </si>
  <si>
    <t>Online payments recorded the highest number of transactions (258), while Gift Card recorded the lowest (230). Payment methods were fairly evenly distributed across the 1,200 transactions.</t>
  </si>
  <si>
    <t>Customers show a slight preference for online payments. The business should continue supporting secure digital payment options while maintaining all available payment methods to enhance customer convenience.</t>
  </si>
  <si>
    <t>Product Distribution</t>
  </si>
  <si>
    <t>Printer recorded the highest number of orders (181), followed closely by Tablet (179) and Chair (178). Phone had the lowest number of orders (156). Overall, product orders were fairly evenly distributed across all seven products, totaling 1,200 transactions.</t>
  </si>
  <si>
    <t>The relatively balanced demand across products suggests a diversified customer purchasing pattern. However, Printers and Tablets showed slightly higher demand, indicating they may require higher inventory levels and could be prioritized in promotional campaigns. Products with lower demand, such as Phones, may benefit from targeted marketing or pricing strategies to boost sales.</t>
  </si>
  <si>
    <t>Order Status Distribution</t>
  </si>
  <si>
    <t>Cancelled orders recorded the highest count (250), followed closely by Returned (247). Delivered orders were the lowest at 231. The distribution of order statuses is relatively balanced across the 1,200 orders, with each status representing approximately one-fifth of the total orders.</t>
  </si>
  <si>
    <t>The relatively high number of Cancelled and Returned orders may indicate issues with order fulfillment, customer satisfaction, product quality, or delivery processes. The business should investigate the causes of cancellations and returns to improve customer experience, reduce operational costs, and increase the proportion of successfully delivered orders.</t>
  </si>
  <si>
    <t>Referral Source Distribution</t>
  </si>
  <si>
    <t>Instagram generated the highest number of customer referrals (259), followed by Email (250) and Google (241). Referral recorded the lowest number of customer acquisitions (222). Overall, customer acquisition sources were fairly balanced across the 1,200 transactions.</t>
  </si>
  <si>
    <t>The results indicate that Instagram is the most effective customer acquisition channel and should continue to receive strong marketing investment. Email and Google also contribute significantly to customer acquisition and should be maintained as key marketing channels. Since Referral generated the fewest customers, the business could introduce referral incentives or loyalty programs to encourage existing customers to bring in new customers.</t>
  </si>
  <si>
    <t>(blank)</t>
  </si>
  <si>
    <t>Discount Code Usage</t>
  </si>
  <si>
    <t>The popularity of the FREESHIP promotion suggests that customers are highly motivated by free shipping offers. Additionally, many customers completed purchases without using any promotional code, indicating that discounts are not always necessary to drive sales. The business can continue offering free shipping campaigns while exploring strategies to increase the use of other promotional codes, such as SAVE10 and WINTER15, to encourage higher customer engagement and repeat purchases.</t>
  </si>
  <si>
    <t xml:space="preserve">FREESHIP was the most frequently used discount code with 313 transactions, followed by (Blank, meaning, customers that did not use Discount Code) with 309, WINTER15 with 292, and SAVE10 with 286.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</si>
</sst>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x14ac:knownFonts="1">
    <font>
      <sz val="10"/>
      <color rgb="FF000000"/>
      <name val="Arial"/>
      <scheme val="minor"/>
    </font>
    <font>
      <b/>
      <sz val="11"/>
      <color theme="1"/>
      <name val="Calibri"/>
    </font>
    <font>
      <sz val="10"/>
      <color theme="1"/>
      <name val="Arial"/>
      <scheme val="minor"/>
    </font>
    <font>
      <sz val="11"/>
      <color theme="1"/>
      <name val="Calibri"/>
    </font>
    <font>
      <b/>
      <sz val="10"/>
      <color theme="4" tint="-0.249977111117893"/>
      <name val="Arial"/>
      <family val="2"/>
      <scheme val="minor"/>
    </font>
    <font>
      <sz val="10"/>
      <color rgb="FF002060"/>
      <name val="Arial"/>
      <family val="2"/>
      <scheme val="minor"/>
    </font>
    <font>
      <b/>
      <sz val="10"/>
      <color rgb="FF000000"/>
      <name val="Arial"/>
      <family val="2"/>
      <scheme val="minor"/>
    </font>
    <font>
      <sz val="10"/>
      <color rgb="FF000000"/>
      <name val="Arial"/>
      <family val="2"/>
      <scheme val="minor"/>
    </font>
  </fonts>
  <fills count="3">
    <fill>
      <patternFill patternType="none"/>
    </fill>
    <fill>
      <patternFill patternType="gray125"/>
    </fill>
    <fill>
      <patternFill patternType="solid">
        <fgColor theme="2" tint="-4.9989318521683403E-2"/>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1" fillId="0" borderId="1" xfId="0" applyFont="1" applyBorder="1" applyAlignment="1">
      <alignment horizontal="center" vertical="top"/>
    </xf>
    <xf numFmtId="0" fontId="2" fillId="0" borderId="0" xfId="0" applyFont="1"/>
    <xf numFmtId="164" fontId="3" fillId="0" borderId="0" xfId="0" applyNumberFormat="1" applyFont="1"/>
    <xf numFmtId="0" fontId="0" fillId="2" borderId="2" xfId="0" applyFill="1" applyBorder="1"/>
    <xf numFmtId="0" fontId="4" fillId="2" borderId="2" xfId="0" applyFont="1" applyFill="1" applyBorder="1"/>
    <xf numFmtId="1" fontId="5" fillId="2" borderId="2" xfId="0" applyNumberFormat="1" applyFont="1" applyFill="1" applyBorder="1"/>
    <xf numFmtId="2" fontId="5" fillId="2" borderId="2" xfId="0" applyNumberFormat="1" applyFont="1" applyFill="1" applyBorder="1"/>
    <xf numFmtId="0" fontId="0" fillId="0" borderId="2" xfId="0" pivotButton="1" applyBorder="1"/>
    <xf numFmtId="0" fontId="0" fillId="0" borderId="2" xfId="0" applyBorder="1"/>
    <xf numFmtId="0" fontId="0" fillId="0" borderId="2" xfId="0" applyBorder="1" applyAlignment="1">
      <alignment horizontal="left"/>
    </xf>
    <xf numFmtId="0" fontId="0" fillId="0" borderId="0" xfId="0" applyAlignment="1">
      <alignment vertical="center"/>
    </xf>
    <xf numFmtId="0" fontId="0" fillId="0" borderId="0" xfId="0" applyAlignment="1">
      <alignment horizontal="center" vertical="center"/>
    </xf>
    <xf numFmtId="0" fontId="6" fillId="0" borderId="0" xfId="0" applyFont="1" applyAlignment="1">
      <alignment horizontal="center" vertical="center"/>
    </xf>
    <xf numFmtId="0" fontId="6" fillId="0" borderId="0" xfId="0" applyFont="1"/>
    <xf numFmtId="0" fontId="7" fillId="0" borderId="0" xfId="0" applyFont="1" applyAlignment="1">
      <alignment vertical="center"/>
    </xf>
    <xf numFmtId="0" fontId="0" fillId="0" borderId="0" xfId="0" applyAlignment="1">
      <alignment horizontal="left" vertical="center" wrapText="1"/>
    </xf>
    <xf numFmtId="0" fontId="0" fillId="0" borderId="0" xfId="0" applyAlignment="1">
      <alignment wrapText="1"/>
    </xf>
    <xf numFmtId="0" fontId="7" fillId="0" borderId="0" xfId="0" applyFont="1" applyAlignment="1">
      <alignment wrapText="1"/>
    </xf>
    <xf numFmtId="0" fontId="7" fillId="0" borderId="0" xfId="0" applyFont="1" applyAlignment="1">
      <alignment vertical="center" wrapText="1"/>
    </xf>
    <xf numFmtId="0" fontId="7" fillId="0" borderId="0" xfId="0" applyFont="1" applyAlignment="1">
      <alignment horizontal="left" vertical="center" wrapText="1"/>
    </xf>
    <xf numFmtId="0" fontId="0" fillId="0" borderId="2" xfId="0" applyNumberFormat="1" applyBorder="1"/>
  </cellXfs>
  <cellStyles count="1">
    <cellStyle name="Normal" xfId="0" builtinId="0"/>
  </cellStyles>
  <dxfs count="47">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dxf>
    <dxf>
      <alignment horizontal="left" vertical="center" textRotation="0" wrapText="1"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17/10/relationships/person" Target="persons/person.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[Decodelab_Cleaning Project_Dataset.xlsx]Pivot_Tables!PivotTable1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Payment</a:t>
            </a:r>
            <a:r>
              <a:rPr lang="en-US" sz="1200" b="1" baseline="0"/>
              <a:t> Method Chart</a:t>
            </a:r>
            <a:endParaRPr lang="en-US" sz="1200" b="1"/>
          </a:p>
        </c:rich>
      </c:tx>
      <c:layout>
        <c:manualLayout>
          <c:xMode val="edge"/>
          <c:yMode val="edge"/>
          <c:x val="0.29601806866340297"/>
          <c:y val="2.77777423571041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28231086498804"/>
          <c:y val="9.7452116006160383E-2"/>
          <c:w val="0.7437029591159261"/>
          <c:h val="0.69886618423709179"/>
        </c:manualLayout>
      </c:layout>
      <c:barChart>
        <c:barDir val="col"/>
        <c:grouping val="clustered"/>
        <c:varyColors val="0"/>
        <c:ser>
          <c:idx val="0"/>
          <c:order val="0"/>
          <c:tx>
            <c:strRef>
              <c:f>Pivot_Tables!$B$1</c:f>
              <c:strCache>
                <c:ptCount val="1"/>
                <c:pt idx="0">
                  <c:v>Total</c:v>
                </c:pt>
              </c:strCache>
            </c:strRef>
          </c:tx>
          <c:spPr>
            <a:solidFill>
              <a:schemeClr val="accent1"/>
            </a:solidFill>
            <a:ln>
              <a:noFill/>
            </a:ln>
            <a:effectLst/>
          </c:spPr>
          <c:invertIfNegative val="0"/>
          <c:cat>
            <c:strRef>
              <c:f>Pivot_Tables!$A$2:$A$7</c:f>
              <c:strCache>
                <c:ptCount val="5"/>
                <c:pt idx="0">
                  <c:v>Gift Card</c:v>
                </c:pt>
                <c:pt idx="1">
                  <c:v>Debit Card</c:v>
                </c:pt>
                <c:pt idx="2">
                  <c:v>Credit Card</c:v>
                </c:pt>
                <c:pt idx="3">
                  <c:v>Cash</c:v>
                </c:pt>
                <c:pt idx="4">
                  <c:v>Online</c:v>
                </c:pt>
              </c:strCache>
            </c:strRef>
          </c:cat>
          <c:val>
            <c:numRef>
              <c:f>Pivot_Tables!$B$2:$B$7</c:f>
              <c:numCache>
                <c:formatCode>General</c:formatCode>
                <c:ptCount val="5"/>
                <c:pt idx="0">
                  <c:v>230</c:v>
                </c:pt>
                <c:pt idx="1">
                  <c:v>232</c:v>
                </c:pt>
                <c:pt idx="2">
                  <c:v>234</c:v>
                </c:pt>
                <c:pt idx="3">
                  <c:v>246</c:v>
                </c:pt>
                <c:pt idx="4">
                  <c:v>258</c:v>
                </c:pt>
              </c:numCache>
            </c:numRef>
          </c:val>
          <c:extLst>
            <c:ext xmlns:c16="http://schemas.microsoft.com/office/drawing/2014/chart" uri="{C3380CC4-5D6E-409C-BE32-E72D297353CC}">
              <c16:uniqueId val="{00000000-81BA-4259-9FAD-287E5955D906}"/>
            </c:ext>
          </c:extLst>
        </c:ser>
        <c:dLbls>
          <c:showLegendKey val="0"/>
          <c:showVal val="0"/>
          <c:showCatName val="0"/>
          <c:showSerName val="0"/>
          <c:showPercent val="0"/>
          <c:showBubbleSize val="0"/>
        </c:dLbls>
        <c:gapWidth val="219"/>
        <c:overlap val="-27"/>
        <c:axId val="1787613856"/>
        <c:axId val="1787619136"/>
      </c:barChart>
      <c:catAx>
        <c:axId val="17876138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Payment</a:t>
                </a:r>
                <a:r>
                  <a:rPr lang="en-US" b="1" baseline="0"/>
                  <a:t> Method</a:t>
                </a:r>
                <a:endParaRPr lang="en-US" b="1"/>
              </a:p>
            </c:rich>
          </c:tx>
          <c:layout>
            <c:manualLayout>
              <c:xMode val="edge"/>
              <c:yMode val="edge"/>
              <c:x val="0.34808510638297879"/>
              <c:y val="0.9028340080971659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619136"/>
        <c:crosses val="autoZero"/>
        <c:auto val="1"/>
        <c:lblAlgn val="ctr"/>
        <c:lblOffset val="100"/>
        <c:noMultiLvlLbl val="0"/>
      </c:catAx>
      <c:valAx>
        <c:axId val="17876191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layout>
            <c:manualLayout>
              <c:xMode val="edge"/>
              <c:yMode val="edge"/>
              <c:x val="2.9944838455476755E-2"/>
              <c:y val="0.3465451029147672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613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[Decodelab_Cleaning Project_Dataset.xlsx]Pivot_Tables!PivotTable2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Product</a:t>
            </a:r>
            <a:r>
              <a:rPr lang="en-US" sz="1200" b="1" baseline="0"/>
              <a:t> Chart</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93088363954509"/>
          <c:y val="0.25870151647710704"/>
          <c:w val="0.76997156605424322"/>
          <c:h val="0.54796733741615633"/>
        </c:manualLayout>
      </c:layout>
      <c:barChart>
        <c:barDir val="col"/>
        <c:grouping val="clustered"/>
        <c:varyColors val="0"/>
        <c:ser>
          <c:idx val="0"/>
          <c:order val="0"/>
          <c:tx>
            <c:strRef>
              <c:f>Pivot_Tables!$B$24</c:f>
              <c:strCache>
                <c:ptCount val="1"/>
                <c:pt idx="0">
                  <c:v>Total</c:v>
                </c:pt>
              </c:strCache>
            </c:strRef>
          </c:tx>
          <c:spPr>
            <a:solidFill>
              <a:schemeClr val="accent1"/>
            </a:solidFill>
            <a:ln>
              <a:noFill/>
            </a:ln>
            <a:effectLst/>
          </c:spPr>
          <c:invertIfNegative val="0"/>
          <c:cat>
            <c:strRef>
              <c:f>Pivot_Tables!$A$25:$A$32</c:f>
              <c:strCache>
                <c:ptCount val="7"/>
                <c:pt idx="0">
                  <c:v>Chair</c:v>
                </c:pt>
                <c:pt idx="1">
                  <c:v>Desk</c:v>
                </c:pt>
                <c:pt idx="2">
                  <c:v>Laptop</c:v>
                </c:pt>
                <c:pt idx="3">
                  <c:v>Monitor</c:v>
                </c:pt>
                <c:pt idx="4">
                  <c:v>Phone</c:v>
                </c:pt>
                <c:pt idx="5">
                  <c:v>Printer</c:v>
                </c:pt>
                <c:pt idx="6">
                  <c:v>Tablet</c:v>
                </c:pt>
              </c:strCache>
            </c:strRef>
          </c:cat>
          <c:val>
            <c:numRef>
              <c:f>Pivot_Tables!$B$25:$B$32</c:f>
              <c:numCache>
                <c:formatCode>General</c:formatCode>
                <c:ptCount val="7"/>
                <c:pt idx="0">
                  <c:v>178</c:v>
                </c:pt>
                <c:pt idx="1">
                  <c:v>170</c:v>
                </c:pt>
                <c:pt idx="2">
                  <c:v>173</c:v>
                </c:pt>
                <c:pt idx="3">
                  <c:v>163</c:v>
                </c:pt>
                <c:pt idx="4">
                  <c:v>156</c:v>
                </c:pt>
                <c:pt idx="5">
                  <c:v>181</c:v>
                </c:pt>
                <c:pt idx="6">
                  <c:v>179</c:v>
                </c:pt>
              </c:numCache>
            </c:numRef>
          </c:val>
          <c:extLst>
            <c:ext xmlns:c16="http://schemas.microsoft.com/office/drawing/2014/chart" uri="{C3380CC4-5D6E-409C-BE32-E72D297353CC}">
              <c16:uniqueId val="{00000000-8927-4059-8D57-C677E8B1A6E9}"/>
            </c:ext>
          </c:extLst>
        </c:ser>
        <c:dLbls>
          <c:showLegendKey val="0"/>
          <c:showVal val="0"/>
          <c:showCatName val="0"/>
          <c:showSerName val="0"/>
          <c:showPercent val="0"/>
          <c:showBubbleSize val="0"/>
        </c:dLbls>
        <c:gapWidth val="219"/>
        <c:overlap val="-27"/>
        <c:axId val="322713088"/>
        <c:axId val="322716928"/>
      </c:barChart>
      <c:catAx>
        <c:axId val="3227130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Produc</a:t>
                </a:r>
                <a:r>
                  <a:rPr lang="en-US"/>
                  <a:t>t</a:t>
                </a:r>
              </a:p>
            </c:rich>
          </c:tx>
          <c:layout>
            <c:manualLayout>
              <c:xMode val="edge"/>
              <c:yMode val="edge"/>
              <c:x val="0.42263581384930821"/>
              <c:y val="0.903895243021629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716928"/>
        <c:crosses val="autoZero"/>
        <c:auto val="1"/>
        <c:lblAlgn val="ctr"/>
        <c:lblOffset val="100"/>
        <c:noMultiLvlLbl val="0"/>
      </c:catAx>
      <c:valAx>
        <c:axId val="3227169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Count</a:t>
                </a:r>
              </a:p>
            </c:rich>
          </c:tx>
          <c:layout>
            <c:manualLayout>
              <c:xMode val="edge"/>
              <c:yMode val="edge"/>
              <c:x val="4.0246500916050693E-3"/>
              <c:y val="0.4531716382167557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713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[Decodelab_Cleaning Project_Dataset.xlsx]Pivot_Tables!PivotTable3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Order</a:t>
            </a:r>
            <a:r>
              <a:rPr lang="en-US" sz="1200" b="1" baseline="0"/>
              <a:t> Status Chart</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Pivot_Tables!$B$47</c:f>
              <c:strCache>
                <c:ptCount val="1"/>
                <c:pt idx="0">
                  <c:v>Total</c:v>
                </c:pt>
              </c:strCache>
            </c:strRef>
          </c:tx>
          <c:spPr>
            <a:solidFill>
              <a:schemeClr val="accent1"/>
            </a:solidFill>
            <a:ln>
              <a:noFill/>
            </a:ln>
            <a:effectLst/>
          </c:spPr>
          <c:invertIfNegative val="0"/>
          <c:cat>
            <c:strRef>
              <c:f>Pivot_Tables!$A$48:$A$53</c:f>
              <c:strCache>
                <c:ptCount val="5"/>
                <c:pt idx="0">
                  <c:v>Cancelled</c:v>
                </c:pt>
                <c:pt idx="1">
                  <c:v>Delivered</c:v>
                </c:pt>
                <c:pt idx="2">
                  <c:v>Pending</c:v>
                </c:pt>
                <c:pt idx="3">
                  <c:v>Returned</c:v>
                </c:pt>
                <c:pt idx="4">
                  <c:v>Shipped</c:v>
                </c:pt>
              </c:strCache>
            </c:strRef>
          </c:cat>
          <c:val>
            <c:numRef>
              <c:f>Pivot_Tables!$B$48:$B$53</c:f>
              <c:numCache>
                <c:formatCode>General</c:formatCode>
                <c:ptCount val="5"/>
                <c:pt idx="0">
                  <c:v>250</c:v>
                </c:pt>
                <c:pt idx="1">
                  <c:v>231</c:v>
                </c:pt>
                <c:pt idx="2">
                  <c:v>237</c:v>
                </c:pt>
                <c:pt idx="3">
                  <c:v>247</c:v>
                </c:pt>
                <c:pt idx="4">
                  <c:v>235</c:v>
                </c:pt>
              </c:numCache>
            </c:numRef>
          </c:val>
          <c:extLst>
            <c:ext xmlns:c16="http://schemas.microsoft.com/office/drawing/2014/chart" uri="{C3380CC4-5D6E-409C-BE32-E72D297353CC}">
              <c16:uniqueId val="{00000000-E88B-4C47-A92D-65749491E7FE}"/>
            </c:ext>
          </c:extLst>
        </c:ser>
        <c:dLbls>
          <c:showLegendKey val="0"/>
          <c:showVal val="0"/>
          <c:showCatName val="0"/>
          <c:showSerName val="0"/>
          <c:showPercent val="0"/>
          <c:showBubbleSize val="0"/>
        </c:dLbls>
        <c:gapWidth val="219"/>
        <c:overlap val="-27"/>
        <c:axId val="1609252048"/>
        <c:axId val="1609250608"/>
      </c:barChart>
      <c:catAx>
        <c:axId val="16092520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Order</a:t>
                </a:r>
                <a:r>
                  <a:rPr lang="en-US" b="1" baseline="0"/>
                  <a:t> Status</a:t>
                </a:r>
                <a:endParaRPr lang="en-US" b="1"/>
              </a:p>
            </c:rich>
          </c:tx>
          <c:layout>
            <c:manualLayout>
              <c:xMode val="edge"/>
              <c:yMode val="edge"/>
              <c:x val="0.45009033245844271"/>
              <c:y val="0.8865740740740740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250608"/>
        <c:crosses val="autoZero"/>
        <c:auto val="1"/>
        <c:lblAlgn val="ctr"/>
        <c:lblOffset val="100"/>
        <c:noMultiLvlLbl val="0"/>
      </c:catAx>
      <c:valAx>
        <c:axId val="16092506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Count</a:t>
                </a:r>
              </a:p>
            </c:rich>
          </c:tx>
          <c:layout>
            <c:manualLayout>
              <c:xMode val="edge"/>
              <c:yMode val="edge"/>
              <c:x val="1.6666666666666666E-2"/>
              <c:y val="0.4130672207640711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252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[Decodelab_Cleaning Project_Dataset.xlsx]Pivot_Tables!PivotTable4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Referral</a:t>
            </a:r>
            <a:r>
              <a:rPr lang="en-US" baseline="0"/>
              <a:t> Source Chart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Pivot_Tables!$B$68</c:f>
              <c:strCache>
                <c:ptCount val="1"/>
                <c:pt idx="0">
                  <c:v>Total</c:v>
                </c:pt>
              </c:strCache>
            </c:strRef>
          </c:tx>
          <c:spPr>
            <a:solidFill>
              <a:schemeClr val="accent1"/>
            </a:solidFill>
            <a:ln>
              <a:noFill/>
            </a:ln>
            <a:effectLst/>
          </c:spPr>
          <c:invertIfNegative val="0"/>
          <c:cat>
            <c:strRef>
              <c:f>Pivot_Tables!$A$69:$A$74</c:f>
              <c:strCache>
                <c:ptCount val="5"/>
                <c:pt idx="0">
                  <c:v>Email</c:v>
                </c:pt>
                <c:pt idx="1">
                  <c:v>Facebook</c:v>
                </c:pt>
                <c:pt idx="2">
                  <c:v>Google</c:v>
                </c:pt>
                <c:pt idx="3">
                  <c:v>Instagram</c:v>
                </c:pt>
                <c:pt idx="4">
                  <c:v>Referral</c:v>
                </c:pt>
              </c:strCache>
            </c:strRef>
          </c:cat>
          <c:val>
            <c:numRef>
              <c:f>Pivot_Tables!$B$69:$B$74</c:f>
              <c:numCache>
                <c:formatCode>General</c:formatCode>
                <c:ptCount val="5"/>
                <c:pt idx="0">
                  <c:v>250</c:v>
                </c:pt>
                <c:pt idx="1">
                  <c:v>228</c:v>
                </c:pt>
                <c:pt idx="2">
                  <c:v>241</c:v>
                </c:pt>
                <c:pt idx="3">
                  <c:v>259</c:v>
                </c:pt>
                <c:pt idx="4">
                  <c:v>222</c:v>
                </c:pt>
              </c:numCache>
            </c:numRef>
          </c:val>
          <c:extLst>
            <c:ext xmlns:c16="http://schemas.microsoft.com/office/drawing/2014/chart" uri="{C3380CC4-5D6E-409C-BE32-E72D297353CC}">
              <c16:uniqueId val="{00000000-EC98-4617-8294-676509E1527C}"/>
            </c:ext>
          </c:extLst>
        </c:ser>
        <c:dLbls>
          <c:showLegendKey val="0"/>
          <c:showVal val="0"/>
          <c:showCatName val="0"/>
          <c:showSerName val="0"/>
          <c:showPercent val="0"/>
          <c:showBubbleSize val="0"/>
        </c:dLbls>
        <c:gapWidth val="219"/>
        <c:overlap val="-27"/>
        <c:axId val="321405744"/>
        <c:axId val="321402864"/>
      </c:barChart>
      <c:catAx>
        <c:axId val="321405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Referral</a:t>
                </a:r>
                <a:r>
                  <a:rPr lang="en-US" b="1" baseline="0"/>
                  <a:t> Source</a:t>
                </a:r>
                <a:endParaRPr lang="en-US" b="1"/>
              </a:p>
            </c:rich>
          </c:tx>
          <c:layout>
            <c:manualLayout>
              <c:xMode val="edge"/>
              <c:yMode val="edge"/>
              <c:x val="0.43372922134733155"/>
              <c:y val="0.8922244094488188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402864"/>
        <c:crosses val="autoZero"/>
        <c:auto val="1"/>
        <c:lblAlgn val="ctr"/>
        <c:lblOffset val="100"/>
        <c:noMultiLvlLbl val="0"/>
      </c:catAx>
      <c:valAx>
        <c:axId val="3214028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Count</a:t>
                </a:r>
              </a:p>
            </c:rich>
          </c:tx>
          <c:layout>
            <c:manualLayout>
              <c:xMode val="edge"/>
              <c:yMode val="edge"/>
              <c:x val="1.3888888888888888E-2"/>
              <c:y val="0.3913425925925925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405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[Decodelab_Cleaning Project_Dataset.xlsx]Pivot_Tables!PivotTable5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Referral</a:t>
            </a:r>
            <a:r>
              <a:rPr lang="en-US" sz="1100" b="1" baseline="0"/>
              <a:t> Source  Chart</a:t>
            </a:r>
            <a:endParaRPr 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Pivot_Tables!$B$91</c:f>
              <c:strCache>
                <c:ptCount val="1"/>
                <c:pt idx="0">
                  <c:v>Total</c:v>
                </c:pt>
              </c:strCache>
            </c:strRef>
          </c:tx>
          <c:spPr>
            <a:solidFill>
              <a:schemeClr val="accent1"/>
            </a:solidFill>
            <a:ln>
              <a:noFill/>
            </a:ln>
            <a:effectLst/>
          </c:spPr>
          <c:invertIfNegative val="0"/>
          <c:cat>
            <c:strRef>
              <c:f>Pivot_Tables!$A$92:$A$96</c:f>
              <c:strCache>
                <c:ptCount val="4"/>
                <c:pt idx="0">
                  <c:v>FREESHIP</c:v>
                </c:pt>
                <c:pt idx="1">
                  <c:v>SAVE10</c:v>
                </c:pt>
                <c:pt idx="2">
                  <c:v>WINTER15</c:v>
                </c:pt>
                <c:pt idx="3">
                  <c:v>(blank)</c:v>
                </c:pt>
              </c:strCache>
            </c:strRef>
          </c:cat>
          <c:val>
            <c:numRef>
              <c:f>Pivot_Tables!$B$92:$B$96</c:f>
              <c:numCache>
                <c:formatCode>General</c:formatCode>
                <c:ptCount val="4"/>
                <c:pt idx="0">
                  <c:v>313</c:v>
                </c:pt>
                <c:pt idx="1">
                  <c:v>286</c:v>
                </c:pt>
                <c:pt idx="2">
                  <c:v>292</c:v>
                </c:pt>
                <c:pt idx="3">
                  <c:v>309</c:v>
                </c:pt>
              </c:numCache>
            </c:numRef>
          </c:val>
          <c:extLst>
            <c:ext xmlns:c16="http://schemas.microsoft.com/office/drawing/2014/chart" uri="{C3380CC4-5D6E-409C-BE32-E72D297353CC}">
              <c16:uniqueId val="{00000000-E1CD-4954-BA6B-347BE3E7E1AD}"/>
            </c:ext>
          </c:extLst>
        </c:ser>
        <c:dLbls>
          <c:showLegendKey val="0"/>
          <c:showVal val="0"/>
          <c:showCatName val="0"/>
          <c:showSerName val="0"/>
          <c:showPercent val="0"/>
          <c:showBubbleSize val="0"/>
        </c:dLbls>
        <c:gapWidth val="219"/>
        <c:overlap val="-27"/>
        <c:axId val="1166757183"/>
        <c:axId val="1166750463"/>
      </c:barChart>
      <c:catAx>
        <c:axId val="11667571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Referral</a:t>
                </a:r>
                <a:r>
                  <a:rPr lang="en-US" b="1" baseline="0"/>
                  <a:t> Source</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750463"/>
        <c:crosses val="autoZero"/>
        <c:auto val="1"/>
        <c:lblAlgn val="ctr"/>
        <c:lblOffset val="100"/>
        <c:noMultiLvlLbl val="0"/>
      </c:catAx>
      <c:valAx>
        <c:axId val="116675046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757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28574</xdr:colOff>
      <xdr:row>0</xdr:row>
      <xdr:rowOff>28575</xdr:rowOff>
    </xdr:from>
    <xdr:to>
      <xdr:col>11</xdr:col>
      <xdr:colOff>95249</xdr:colOff>
      <xdr:row>14</xdr:row>
      <xdr:rowOff>66675</xdr:rowOff>
    </xdr:to>
    <xdr:graphicFrame macro="">
      <xdr:nvGraphicFramePr>
        <xdr:cNvPr id="2" name="Chart 1">
          <a:extLst>
            <a:ext uri="{FF2B5EF4-FFF2-40B4-BE49-F238E27FC236}">
              <a16:creationId xmlns:a16="http://schemas.microsoft.com/office/drawing/2014/main" id="{494EBB4C-B889-E6A7-B4C4-BB69747D2A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28574</xdr:colOff>
      <xdr:row>22</xdr:row>
      <xdr:rowOff>114300</xdr:rowOff>
    </xdr:from>
    <xdr:to>
      <xdr:col>11</xdr:col>
      <xdr:colOff>114299</xdr:colOff>
      <xdr:row>38</xdr:row>
      <xdr:rowOff>133350</xdr:rowOff>
    </xdr:to>
    <xdr:graphicFrame macro="">
      <xdr:nvGraphicFramePr>
        <xdr:cNvPr id="3" name="Chart 2">
          <a:extLst>
            <a:ext uri="{FF2B5EF4-FFF2-40B4-BE49-F238E27FC236}">
              <a16:creationId xmlns:a16="http://schemas.microsoft.com/office/drawing/2014/main" id="{4BCE54D2-7AE0-254E-E745-B178BF1093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28575</xdr:colOff>
      <xdr:row>45</xdr:row>
      <xdr:rowOff>152400</xdr:rowOff>
    </xdr:from>
    <xdr:to>
      <xdr:col>11</xdr:col>
      <xdr:colOff>219075</xdr:colOff>
      <xdr:row>60</xdr:row>
      <xdr:rowOff>152400</xdr:rowOff>
    </xdr:to>
    <xdr:graphicFrame macro="">
      <xdr:nvGraphicFramePr>
        <xdr:cNvPr id="4" name="Chart 3">
          <a:extLst>
            <a:ext uri="{FF2B5EF4-FFF2-40B4-BE49-F238E27FC236}">
              <a16:creationId xmlns:a16="http://schemas.microsoft.com/office/drawing/2014/main" id="{BC0DFE70-2CAB-5C1C-A402-6D06747C05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38100</xdr:colOff>
      <xdr:row>67</xdr:row>
      <xdr:rowOff>9525</xdr:rowOff>
    </xdr:from>
    <xdr:to>
      <xdr:col>11</xdr:col>
      <xdr:colOff>342900</xdr:colOff>
      <xdr:row>84</xdr:row>
      <xdr:rowOff>0</xdr:rowOff>
    </xdr:to>
    <xdr:graphicFrame macro="">
      <xdr:nvGraphicFramePr>
        <xdr:cNvPr id="6" name="Chart 5">
          <a:extLst>
            <a:ext uri="{FF2B5EF4-FFF2-40B4-BE49-F238E27FC236}">
              <a16:creationId xmlns:a16="http://schemas.microsoft.com/office/drawing/2014/main" id="{70BF81C4-7136-1363-D0D6-66732989F8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285750</xdr:colOff>
      <xdr:row>88</xdr:row>
      <xdr:rowOff>0</xdr:rowOff>
    </xdr:from>
    <xdr:to>
      <xdr:col>11</xdr:col>
      <xdr:colOff>590550</xdr:colOff>
      <xdr:row>104</xdr:row>
      <xdr:rowOff>152400</xdr:rowOff>
    </xdr:to>
    <xdr:graphicFrame macro="">
      <xdr:nvGraphicFramePr>
        <xdr:cNvPr id="5" name="Chart 4">
          <a:extLst>
            <a:ext uri="{FF2B5EF4-FFF2-40B4-BE49-F238E27FC236}">
              <a16:creationId xmlns:a16="http://schemas.microsoft.com/office/drawing/2014/main" id="{BC17FFD8-5F16-07A3-1F9D-7E439A5E9F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35.952842245373" createdVersion="8" refreshedVersion="8" minRefreshableVersion="3" recordCount="1200" xr:uid="{34365EF4-FE1D-4AEA-AB16-2D37E6179189}">
  <cacheSource type="worksheet">
    <worksheetSource ref="A1:K1201" sheet="Clean Data"/>
  </cacheSource>
  <cacheFields count="11">
    <cacheField name="OrderID" numFmtId="0">
      <sharedItems/>
    </cacheField>
    <cacheField name="Date" numFmtId="164">
      <sharedItems containsSemiMixedTypes="0" containsNonDate="0" containsDate="1" containsString="0" minDate="2023-01-01T00:00:00" maxDate="2025-07-01T00:00:00"/>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35.954669212966" createdVersion="8" refreshedVersion="8" minRefreshableVersion="3" recordCount="1200" xr:uid="{A58AED89-4FEC-41E0-893E-987AD671EB51}">
  <cacheSource type="worksheet">
    <worksheetSource ref="A1:N1201" sheet="Clean Data"/>
  </cacheSource>
  <cacheFields count="14">
    <cacheField name="OrderID" numFmtId="0">
      <sharedItems/>
    </cacheField>
    <cacheField name="Date" numFmtId="164">
      <sharedItems containsSemiMixedTypes="0" containsNonDate="0" containsDate="1" containsString="0" minDate="2023-01-01T00:00:00" maxDate="2025-07-01T00:00:00"/>
    </cacheField>
    <cacheField name="CustomerID" numFmtId="0">
      <sharedItems/>
    </cacheField>
    <cacheField name="Product" numFmtId="0">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ntainsBlank="1" count="4">
        <s v="SAVE10"/>
        <s v="FREESHIP"/>
        <m/>
        <s v="WINTER15"/>
      </sharedItems>
    </cacheField>
    <cacheField name="ReferralSource" numFmtId="0">
      <sharedItems count="5">
        <s v="Instagram"/>
        <s v="Referral"/>
        <s v="Email"/>
        <s v="Facebook"/>
        <s v="Google"/>
      </sharedItems>
    </cacheField>
    <cacheField name="TotalPrice" numFmtId="0">
      <sharedItems containsSemiMixedTypes="0" containsString="0" containsNumber="1" minValue="11.39" maxValue="3456.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d v="2023-01-04T00:00:00"/>
    <s v="C72649"/>
    <x v="0"/>
    <n v="5"/>
    <n v="570.62"/>
    <s v="928 Main St"/>
    <x v="0"/>
    <x v="0"/>
    <s v="TRK37947903"/>
    <n v="7"/>
  </r>
  <r>
    <s v="ORD200001"/>
    <d v="2024-08-23T00:00:00"/>
    <s v="C75739"/>
    <x v="1"/>
    <n v="2"/>
    <n v="151.35"/>
    <s v="823 Main St"/>
    <x v="1"/>
    <x v="0"/>
    <s v="TRK91186779"/>
    <n v="3"/>
  </r>
  <r>
    <s v="ORD200002"/>
    <d v="2024-02-27T00:00:00"/>
    <s v="C81728"/>
    <x v="2"/>
    <n v="5"/>
    <n v="550.67999999999995"/>
    <s v="512 Main St"/>
    <x v="2"/>
    <x v="1"/>
    <s v="TRK42903982"/>
    <n v="8"/>
  </r>
  <r>
    <s v="ORD200003"/>
    <d v="2023-10-15T00:00:00"/>
    <s v="C33540"/>
    <x v="3"/>
    <n v="1"/>
    <n v="273.19"/>
    <s v="275 Main St"/>
    <x v="0"/>
    <x v="2"/>
    <s v="TRK62788070"/>
    <n v="5"/>
  </r>
  <r>
    <s v="ORD200004"/>
    <d v="2025-05-08T00:00:00"/>
    <s v="C81840"/>
    <x v="4"/>
    <n v="4"/>
    <n v="626.01"/>
    <s v="668 Main St"/>
    <x v="1"/>
    <x v="3"/>
    <s v="TRK29241424"/>
    <n v="8"/>
  </r>
  <r>
    <s v="ORD200005"/>
    <d v="2023-10-23T00:00:00"/>
    <s v="C37249"/>
    <x v="1"/>
    <n v="2"/>
    <n v="245.86"/>
    <s v="934 Main St"/>
    <x v="2"/>
    <x v="0"/>
    <s v="TRK72976927"/>
    <n v="4"/>
  </r>
  <r>
    <s v="ORD200006"/>
    <d v="2025-06-17T00:00:00"/>
    <s v="C83492"/>
    <x v="5"/>
    <n v="1"/>
    <n v="664.42"/>
    <s v="986 Main St"/>
    <x v="3"/>
    <x v="2"/>
    <s v="TRK96417362"/>
    <n v="6"/>
  </r>
  <r>
    <s v="ORD200007"/>
    <d v="2023-05-12T00:00:00"/>
    <s v="C41460"/>
    <x v="0"/>
    <n v="5"/>
    <n v="149.55000000000001"/>
    <s v="706 Main St"/>
    <x v="4"/>
    <x v="0"/>
    <s v="TRK78809193"/>
    <n v="9"/>
  </r>
  <r>
    <s v="ORD200008"/>
    <d v="2025-04-02T00:00:00"/>
    <s v="C26817"/>
    <x v="1"/>
    <n v="2"/>
    <n v="134.28"/>
    <s v="904 Main St"/>
    <x v="3"/>
    <x v="1"/>
    <s v="TRK61042692"/>
    <n v="2"/>
  </r>
  <r>
    <s v="ORD200009"/>
    <d v="2023-11-21T00:00:00"/>
    <s v="C31946"/>
    <x v="6"/>
    <n v="4"/>
    <n v="509.38"/>
    <s v="102 Main St"/>
    <x v="2"/>
    <x v="0"/>
    <s v="TRK33478363"/>
    <n v="6"/>
  </r>
  <r>
    <s v="ORD200010"/>
    <d v="2023-12-29T00:00:00"/>
    <s v="C43443"/>
    <x v="2"/>
    <n v="5"/>
    <n v="625.97"/>
    <s v="333 Main St"/>
    <x v="2"/>
    <x v="2"/>
    <s v="TRK98859248"/>
    <n v="9"/>
  </r>
  <r>
    <s v="ORD200011"/>
    <d v="2024-02-17T00:00:00"/>
    <s v="C93861"/>
    <x v="0"/>
    <n v="3"/>
    <n v="49.14"/>
    <s v="831 Main St"/>
    <x v="1"/>
    <x v="2"/>
    <s v="TRK48234646"/>
    <n v="7"/>
  </r>
  <r>
    <s v="ORD200012"/>
    <d v="2024-10-15T00:00:00"/>
    <s v="C38785"/>
    <x v="0"/>
    <n v="2"/>
    <n v="180.5"/>
    <s v="179 Main St"/>
    <x v="0"/>
    <x v="4"/>
    <s v="TRK20419991"/>
    <n v="6"/>
  </r>
  <r>
    <s v="ORD200013"/>
    <d v="2023-08-30T00:00:00"/>
    <s v="C88348"/>
    <x v="5"/>
    <n v="3"/>
    <n v="201.49"/>
    <s v="903 Main St"/>
    <x v="2"/>
    <x v="2"/>
    <s v="TRK81913874"/>
    <n v="4"/>
  </r>
  <r>
    <s v="ORD200014"/>
    <d v="2023-03-27T00:00:00"/>
    <s v="C98474"/>
    <x v="2"/>
    <n v="2"/>
    <n v="393.33"/>
    <s v="980 Main St"/>
    <x v="0"/>
    <x v="4"/>
    <s v="TRK79186539"/>
    <n v="3"/>
  </r>
  <r>
    <s v="ORD200015"/>
    <d v="2023-07-17T00:00:00"/>
    <s v="C39416"/>
    <x v="4"/>
    <n v="1"/>
    <n v="473.96"/>
    <s v="942 Main St"/>
    <x v="4"/>
    <x v="3"/>
    <s v="TRK54930938"/>
    <n v="3"/>
  </r>
  <r>
    <s v="ORD200016"/>
    <d v="2023-01-24T00:00:00"/>
    <s v="C28976"/>
    <x v="4"/>
    <n v="2"/>
    <n v="533.80999999999995"/>
    <s v="914 Main St"/>
    <x v="2"/>
    <x v="4"/>
    <s v="TRK13194259"/>
    <n v="3"/>
  </r>
  <r>
    <s v="ORD200017"/>
    <d v="2024-03-02T00:00:00"/>
    <s v="C60672"/>
    <x v="2"/>
    <n v="1"/>
    <n v="423.4"/>
    <s v="382 Main St"/>
    <x v="0"/>
    <x v="0"/>
    <s v="TRK11972116"/>
    <n v="3"/>
  </r>
  <r>
    <s v="ORD200018"/>
    <d v="2025-03-26T00:00:00"/>
    <s v="C84329"/>
    <x v="6"/>
    <n v="1"/>
    <n v="431.44"/>
    <s v="891 Main St"/>
    <x v="3"/>
    <x v="4"/>
    <s v="TRK65191045"/>
    <n v="3"/>
  </r>
  <r>
    <s v="ORD200019"/>
    <d v="2023-01-23T00:00:00"/>
    <s v="C14552"/>
    <x v="0"/>
    <n v="5"/>
    <n v="224"/>
    <s v="273 Main St"/>
    <x v="4"/>
    <x v="2"/>
    <s v="TRK59101365"/>
    <n v="9"/>
  </r>
  <r>
    <s v="ORD200020"/>
    <d v="2023-05-08T00:00:00"/>
    <s v="C54829"/>
    <x v="3"/>
    <n v="5"/>
    <n v="62.51"/>
    <s v="587 Main St"/>
    <x v="4"/>
    <x v="4"/>
    <s v="TRK16718651"/>
    <n v="9"/>
  </r>
  <r>
    <s v="ORD200021"/>
    <d v="2024-11-17T00:00:00"/>
    <s v="C99023"/>
    <x v="0"/>
    <n v="4"/>
    <n v="342.95"/>
    <s v="569 Main St"/>
    <x v="4"/>
    <x v="3"/>
    <s v="TRK52646983"/>
    <n v="6"/>
  </r>
  <r>
    <s v="ORD200022"/>
    <d v="2023-01-29T00:00:00"/>
    <s v="C34416"/>
    <x v="0"/>
    <n v="2"/>
    <n v="49.62"/>
    <s v="633 Main St"/>
    <x v="1"/>
    <x v="4"/>
    <s v="TRK75937350"/>
    <n v="2"/>
  </r>
  <r>
    <s v="ORD200023"/>
    <d v="2025-04-09T00:00:00"/>
    <s v="C42372"/>
    <x v="1"/>
    <n v="4"/>
    <n v="273.25"/>
    <s v="755 Main St"/>
    <x v="0"/>
    <x v="1"/>
    <s v="TRK36168083"/>
    <n v="5"/>
  </r>
  <r>
    <s v="ORD200024"/>
    <d v="2024-10-30T00:00:00"/>
    <s v="C17470"/>
    <x v="5"/>
    <n v="2"/>
    <n v="230.95"/>
    <s v="956 Main St"/>
    <x v="1"/>
    <x v="3"/>
    <s v="TRK28775057"/>
    <n v="3"/>
  </r>
  <r>
    <s v="ORD200025"/>
    <d v="2024-07-24T00:00:00"/>
    <s v="C42577"/>
    <x v="0"/>
    <n v="1"/>
    <n v="399.98"/>
    <s v="709 Main St"/>
    <x v="0"/>
    <x v="3"/>
    <s v="TRK69423327"/>
    <n v="3"/>
  </r>
  <r>
    <s v="ORD200026"/>
    <d v="2024-03-06T00:00:00"/>
    <s v="C21944"/>
    <x v="5"/>
    <n v="5"/>
    <n v="59.55"/>
    <s v="296 Main St"/>
    <x v="1"/>
    <x v="3"/>
    <s v="TRK80276812"/>
    <n v="6"/>
  </r>
  <r>
    <s v="ORD200027"/>
    <d v="2024-02-22T00:00:00"/>
    <s v="C97593"/>
    <x v="4"/>
    <n v="1"/>
    <n v="472.74"/>
    <s v="881 Main St"/>
    <x v="1"/>
    <x v="0"/>
    <s v="TRK89117573"/>
    <n v="6"/>
  </r>
  <r>
    <s v="ORD200028"/>
    <d v="2023-11-21T00:00:00"/>
    <s v="C59823"/>
    <x v="1"/>
    <n v="4"/>
    <n v="160.07"/>
    <s v="568 Main St"/>
    <x v="1"/>
    <x v="4"/>
    <s v="TRK65895539"/>
    <n v="5"/>
  </r>
  <r>
    <s v="ORD200029"/>
    <d v="2024-09-20T00:00:00"/>
    <s v="C33260"/>
    <x v="6"/>
    <n v="3"/>
    <n v="423.53"/>
    <s v="930 Main St"/>
    <x v="2"/>
    <x v="3"/>
    <s v="TRK59744090"/>
    <n v="6"/>
  </r>
  <r>
    <s v="ORD200030"/>
    <d v="2025-03-22T00:00:00"/>
    <s v="C44267"/>
    <x v="0"/>
    <n v="2"/>
    <n v="426.7"/>
    <s v="895 Main St"/>
    <x v="1"/>
    <x v="4"/>
    <s v="TRK54751444"/>
    <n v="5"/>
  </r>
  <r>
    <s v="ORD200031"/>
    <d v="2023-06-30T00:00:00"/>
    <s v="C26445"/>
    <x v="3"/>
    <n v="3"/>
    <n v="500.08"/>
    <s v="996 Main St"/>
    <x v="0"/>
    <x v="2"/>
    <s v="TRK31229981"/>
    <n v="6"/>
  </r>
  <r>
    <s v="ORD200032"/>
    <d v="2023-05-01T00:00:00"/>
    <s v="C12388"/>
    <x v="2"/>
    <n v="5"/>
    <n v="536.72"/>
    <s v="830 Main St"/>
    <x v="4"/>
    <x v="3"/>
    <s v="TRK99261395"/>
    <n v="10"/>
  </r>
  <r>
    <s v="ORD200033"/>
    <d v="2023-06-05T00:00:00"/>
    <s v="C52184"/>
    <x v="3"/>
    <n v="1"/>
    <n v="162.77000000000001"/>
    <s v="912 Main St"/>
    <x v="1"/>
    <x v="1"/>
    <s v="TRK73312471"/>
    <n v="4"/>
  </r>
  <r>
    <s v="ORD200034"/>
    <d v="2023-01-07T00:00:00"/>
    <s v="C67195"/>
    <x v="3"/>
    <n v="4"/>
    <n v="576.52"/>
    <s v="926 Main St"/>
    <x v="2"/>
    <x v="4"/>
    <s v="TRK55467915"/>
    <n v="5"/>
  </r>
  <r>
    <s v="ORD200035"/>
    <d v="2024-12-07T00:00:00"/>
    <s v="C50304"/>
    <x v="0"/>
    <n v="2"/>
    <n v="465.15"/>
    <s v="128 Main St"/>
    <x v="1"/>
    <x v="0"/>
    <s v="TRK46850888"/>
    <n v="2"/>
  </r>
  <r>
    <s v="ORD200036"/>
    <d v="2025-05-08T00:00:00"/>
    <s v="C59337"/>
    <x v="5"/>
    <n v="2"/>
    <n v="534.42999999999995"/>
    <s v="465 Main St"/>
    <x v="0"/>
    <x v="4"/>
    <s v="TRK50961250"/>
    <n v="5"/>
  </r>
  <r>
    <s v="ORD200037"/>
    <d v="2024-10-14T00:00:00"/>
    <s v="C10054"/>
    <x v="5"/>
    <n v="2"/>
    <n v="76.739999999999995"/>
    <s v="409 Main St"/>
    <x v="4"/>
    <x v="2"/>
    <s v="TRK94005261"/>
    <n v="7"/>
  </r>
  <r>
    <s v="ORD200038"/>
    <d v="2024-12-19T00:00:00"/>
    <s v="C15924"/>
    <x v="5"/>
    <n v="1"/>
    <n v="245.89"/>
    <s v="549 Main St"/>
    <x v="0"/>
    <x v="3"/>
    <s v="TRK14835975"/>
    <n v="3"/>
  </r>
  <r>
    <s v="ORD200039"/>
    <d v="2025-02-27T00:00:00"/>
    <s v="C96664"/>
    <x v="4"/>
    <n v="3"/>
    <n v="256.45999999999998"/>
    <s v="666 Main St"/>
    <x v="2"/>
    <x v="3"/>
    <s v="TRK85508960"/>
    <n v="4"/>
  </r>
  <r>
    <s v="ORD200040"/>
    <d v="2023-08-20T00:00:00"/>
    <s v="C84766"/>
    <x v="6"/>
    <n v="2"/>
    <n v="344.02"/>
    <s v="267 Main St"/>
    <x v="1"/>
    <x v="3"/>
    <s v="TRK78967923"/>
    <n v="4"/>
  </r>
  <r>
    <s v="ORD200041"/>
    <d v="2023-12-05T00:00:00"/>
    <s v="C20212"/>
    <x v="0"/>
    <n v="3"/>
    <n v="611.45000000000005"/>
    <s v="657 Main St"/>
    <x v="3"/>
    <x v="4"/>
    <s v="TRK69733327"/>
    <n v="4"/>
  </r>
  <r>
    <s v="ORD200042"/>
    <d v="2024-05-06T00:00:00"/>
    <s v="C28712"/>
    <x v="4"/>
    <n v="2"/>
    <n v="151.66"/>
    <s v="980 Main St"/>
    <x v="4"/>
    <x v="1"/>
    <s v="TRK40772558"/>
    <n v="6"/>
  </r>
  <r>
    <s v="ORD200043"/>
    <d v="2023-12-14T00:00:00"/>
    <s v="C60572"/>
    <x v="3"/>
    <n v="3"/>
    <n v="499.21"/>
    <s v="871 Main St"/>
    <x v="1"/>
    <x v="1"/>
    <s v="TRK20351666"/>
    <n v="8"/>
  </r>
  <r>
    <s v="ORD200044"/>
    <d v="2025-04-21T00:00:00"/>
    <s v="C73225"/>
    <x v="1"/>
    <n v="2"/>
    <n v="550.17999999999995"/>
    <s v="996 Main St"/>
    <x v="3"/>
    <x v="2"/>
    <s v="TRK73848522"/>
    <n v="3"/>
  </r>
  <r>
    <s v="ORD200045"/>
    <d v="2024-02-10T00:00:00"/>
    <s v="C17388"/>
    <x v="3"/>
    <n v="1"/>
    <n v="317.25"/>
    <s v="157 Main St"/>
    <x v="0"/>
    <x v="2"/>
    <s v="TRK47077395"/>
    <n v="1"/>
  </r>
  <r>
    <s v="ORD200046"/>
    <d v="2024-06-26T00:00:00"/>
    <s v="C43212"/>
    <x v="0"/>
    <n v="4"/>
    <n v="550.14"/>
    <s v="223 Main St"/>
    <x v="0"/>
    <x v="4"/>
    <s v="TRK25100762"/>
    <n v="4"/>
  </r>
  <r>
    <s v="ORD200047"/>
    <d v="2023-07-19T00:00:00"/>
    <s v="C38134"/>
    <x v="6"/>
    <n v="2"/>
    <n v="209.94"/>
    <s v="323 Main St"/>
    <x v="2"/>
    <x v="2"/>
    <s v="TRK42450754"/>
    <n v="3"/>
  </r>
  <r>
    <s v="ORD200048"/>
    <d v="2023-08-26T00:00:00"/>
    <s v="C12408"/>
    <x v="0"/>
    <n v="2"/>
    <n v="80.77"/>
    <s v="464 Main St"/>
    <x v="0"/>
    <x v="0"/>
    <s v="TRK38938858"/>
    <n v="4"/>
  </r>
  <r>
    <s v="ORD200049"/>
    <d v="2023-10-07T00:00:00"/>
    <s v="C11985"/>
    <x v="4"/>
    <n v="1"/>
    <n v="30.44"/>
    <s v="633 Main St"/>
    <x v="2"/>
    <x v="0"/>
    <s v="TRK53272402"/>
    <n v="1"/>
  </r>
  <r>
    <s v="ORD200050"/>
    <d v="2023-07-31T00:00:00"/>
    <s v="C96494"/>
    <x v="2"/>
    <n v="1"/>
    <n v="179.22"/>
    <s v="446 Main St"/>
    <x v="1"/>
    <x v="1"/>
    <s v="TRK14675049"/>
    <n v="6"/>
  </r>
  <r>
    <s v="ORD200051"/>
    <d v="2024-12-30T00:00:00"/>
    <s v="C36778"/>
    <x v="2"/>
    <n v="1"/>
    <n v="388.33"/>
    <s v="434 Main St"/>
    <x v="4"/>
    <x v="2"/>
    <s v="TRK67610289"/>
    <n v="2"/>
  </r>
  <r>
    <s v="ORD200052"/>
    <d v="2024-09-08T00:00:00"/>
    <s v="C30513"/>
    <x v="2"/>
    <n v="1"/>
    <n v="586.44000000000005"/>
    <s v="232 Main St"/>
    <x v="1"/>
    <x v="2"/>
    <s v="TRK64320429"/>
    <n v="5"/>
  </r>
  <r>
    <s v="ORD200053"/>
    <d v="2024-05-18T00:00:00"/>
    <s v="C67551"/>
    <x v="1"/>
    <n v="4"/>
    <n v="488.78"/>
    <s v="512 Main St"/>
    <x v="1"/>
    <x v="2"/>
    <s v="TRK94992552"/>
    <n v="5"/>
  </r>
  <r>
    <s v="ORD200054"/>
    <d v="2025-03-27T00:00:00"/>
    <s v="C48120"/>
    <x v="3"/>
    <n v="1"/>
    <n v="280.25"/>
    <s v="623 Main St"/>
    <x v="1"/>
    <x v="4"/>
    <s v="TRK11014449"/>
    <n v="5"/>
  </r>
  <r>
    <s v="ORD200055"/>
    <d v="2025-06-24T00:00:00"/>
    <s v="C95984"/>
    <x v="4"/>
    <n v="3"/>
    <n v="344.4"/>
    <s v="565 Main St"/>
    <x v="1"/>
    <x v="1"/>
    <s v="TRK67434829"/>
    <n v="3"/>
  </r>
  <r>
    <s v="ORD200056"/>
    <d v="2023-05-21T00:00:00"/>
    <s v="C54298"/>
    <x v="2"/>
    <n v="3"/>
    <n v="479.21"/>
    <s v="566 Main St"/>
    <x v="4"/>
    <x v="1"/>
    <s v="TRK62902341"/>
    <n v="5"/>
  </r>
  <r>
    <s v="ORD200057"/>
    <d v="2023-01-22T00:00:00"/>
    <s v="C88036"/>
    <x v="4"/>
    <n v="5"/>
    <n v="314.27"/>
    <s v="842 Main St"/>
    <x v="4"/>
    <x v="2"/>
    <s v="TRK52470128"/>
    <n v="6"/>
  </r>
  <r>
    <s v="ORD200058"/>
    <d v="2023-01-15T00:00:00"/>
    <s v="C60190"/>
    <x v="1"/>
    <n v="4"/>
    <n v="474.69"/>
    <s v="202 Main St"/>
    <x v="3"/>
    <x v="1"/>
    <s v="TRK70857868"/>
    <n v="6"/>
  </r>
  <r>
    <s v="ORD200059"/>
    <d v="2024-09-11T00:00:00"/>
    <s v="C97603"/>
    <x v="3"/>
    <n v="4"/>
    <n v="593.27"/>
    <s v="811 Main St"/>
    <x v="1"/>
    <x v="0"/>
    <s v="TRK47055028"/>
    <n v="5"/>
  </r>
  <r>
    <s v="ORD200060"/>
    <d v="2024-08-21T00:00:00"/>
    <s v="C39256"/>
    <x v="6"/>
    <n v="1"/>
    <n v="417.1"/>
    <s v="634 Main St"/>
    <x v="0"/>
    <x v="2"/>
    <s v="TRK23412025"/>
    <n v="3"/>
  </r>
  <r>
    <s v="ORD200061"/>
    <d v="2024-03-24T00:00:00"/>
    <s v="C61618"/>
    <x v="6"/>
    <n v="4"/>
    <n v="122.2"/>
    <s v="104 Main St"/>
    <x v="4"/>
    <x v="3"/>
    <s v="TRK43458485"/>
    <n v="7"/>
  </r>
  <r>
    <s v="ORD200062"/>
    <d v="2023-08-22T00:00:00"/>
    <s v="C36497"/>
    <x v="6"/>
    <n v="2"/>
    <n v="43.15"/>
    <s v="691 Main St"/>
    <x v="0"/>
    <x v="4"/>
    <s v="TRK12102911"/>
    <n v="3"/>
  </r>
  <r>
    <s v="ORD200063"/>
    <d v="2025-02-02T00:00:00"/>
    <s v="C96695"/>
    <x v="3"/>
    <n v="1"/>
    <n v="564.86"/>
    <s v="813 Main St"/>
    <x v="0"/>
    <x v="0"/>
    <s v="TRK64283851"/>
    <n v="6"/>
  </r>
  <r>
    <s v="ORD200064"/>
    <d v="2025-06-25T00:00:00"/>
    <s v="C49720"/>
    <x v="4"/>
    <n v="3"/>
    <n v="130.61000000000001"/>
    <s v="752 Main St"/>
    <x v="0"/>
    <x v="1"/>
    <s v="TRK55785217"/>
    <n v="4"/>
  </r>
  <r>
    <s v="ORD200065"/>
    <d v="2023-12-30T00:00:00"/>
    <s v="C97735"/>
    <x v="0"/>
    <n v="5"/>
    <n v="81.7"/>
    <s v="385 Main St"/>
    <x v="2"/>
    <x v="3"/>
    <s v="TRK13743703"/>
    <n v="6"/>
  </r>
  <r>
    <s v="ORD200066"/>
    <d v="2024-11-15T00:00:00"/>
    <s v="C18104"/>
    <x v="3"/>
    <n v="5"/>
    <n v="127.18"/>
    <s v="715 Main St"/>
    <x v="4"/>
    <x v="1"/>
    <s v="TRK15488568"/>
    <n v="9"/>
  </r>
  <r>
    <s v="ORD200067"/>
    <d v="2024-12-09T00:00:00"/>
    <s v="C25587"/>
    <x v="4"/>
    <n v="4"/>
    <n v="12.1"/>
    <s v="440 Main St"/>
    <x v="0"/>
    <x v="1"/>
    <s v="TRK55105323"/>
    <n v="8"/>
  </r>
  <r>
    <s v="ORD200068"/>
    <d v="2023-12-11T00:00:00"/>
    <s v="C41598"/>
    <x v="3"/>
    <n v="3"/>
    <n v="490.92"/>
    <s v="709 Main St"/>
    <x v="2"/>
    <x v="4"/>
    <s v="TRK81665940"/>
    <n v="5"/>
  </r>
  <r>
    <s v="ORD200069"/>
    <d v="2023-05-11T00:00:00"/>
    <s v="C43338"/>
    <x v="0"/>
    <n v="3"/>
    <n v="478.65"/>
    <s v="552 Main St"/>
    <x v="1"/>
    <x v="0"/>
    <s v="TRK35241775"/>
    <n v="4"/>
  </r>
  <r>
    <s v="ORD200070"/>
    <d v="2023-05-26T00:00:00"/>
    <s v="C25123"/>
    <x v="6"/>
    <n v="1"/>
    <n v="629.21"/>
    <s v="384 Main St"/>
    <x v="3"/>
    <x v="4"/>
    <s v="TRK27812282"/>
    <n v="2"/>
  </r>
  <r>
    <s v="ORD200071"/>
    <d v="2025-06-10T00:00:00"/>
    <s v="C37454"/>
    <x v="0"/>
    <n v="3"/>
    <n v="434.45"/>
    <s v="923 Main St"/>
    <x v="2"/>
    <x v="4"/>
    <s v="TRK28252730"/>
    <n v="4"/>
  </r>
  <r>
    <s v="ORD200072"/>
    <d v="2024-12-22T00:00:00"/>
    <s v="C19451"/>
    <x v="2"/>
    <n v="4"/>
    <n v="589.44000000000005"/>
    <s v="942 Main St"/>
    <x v="3"/>
    <x v="2"/>
    <s v="TRK87787793"/>
    <n v="5"/>
  </r>
  <r>
    <s v="ORD200073"/>
    <d v="2023-05-03T00:00:00"/>
    <s v="C17269"/>
    <x v="0"/>
    <n v="4"/>
    <n v="433.45"/>
    <s v="129 Main St"/>
    <x v="3"/>
    <x v="1"/>
    <s v="TRK79608389"/>
    <n v="4"/>
  </r>
  <r>
    <s v="ORD200074"/>
    <d v="2023-06-24T00:00:00"/>
    <s v="C25382"/>
    <x v="1"/>
    <n v="5"/>
    <n v="90.87"/>
    <s v="622 Main St"/>
    <x v="4"/>
    <x v="4"/>
    <s v="TRK64691287"/>
    <n v="5"/>
  </r>
  <r>
    <s v="ORD200075"/>
    <d v="2023-09-26T00:00:00"/>
    <s v="C80651"/>
    <x v="2"/>
    <n v="3"/>
    <n v="398.17"/>
    <s v="917 Main St"/>
    <x v="0"/>
    <x v="3"/>
    <s v="TRK14846720"/>
    <n v="5"/>
  </r>
  <r>
    <s v="ORD200076"/>
    <d v="2024-03-31T00:00:00"/>
    <s v="C58638"/>
    <x v="5"/>
    <n v="4"/>
    <n v="382.88"/>
    <s v="239 Main St"/>
    <x v="4"/>
    <x v="1"/>
    <s v="TRK38224871"/>
    <n v="6"/>
  </r>
  <r>
    <s v="ORD200077"/>
    <d v="2024-05-24T00:00:00"/>
    <s v="C50121"/>
    <x v="1"/>
    <n v="1"/>
    <n v="583.17999999999995"/>
    <s v="348 Main St"/>
    <x v="2"/>
    <x v="2"/>
    <s v="TRK79810059"/>
    <n v="5"/>
  </r>
  <r>
    <s v="ORD200078"/>
    <d v="2024-08-06T00:00:00"/>
    <s v="C32029"/>
    <x v="4"/>
    <n v="4"/>
    <n v="175.36"/>
    <s v="146 Main St"/>
    <x v="0"/>
    <x v="3"/>
    <s v="TRK68535532"/>
    <n v="4"/>
  </r>
  <r>
    <s v="ORD200079"/>
    <d v="2025-03-10T00:00:00"/>
    <s v="C76700"/>
    <x v="2"/>
    <n v="2"/>
    <n v="311.91000000000003"/>
    <s v="103 Main St"/>
    <x v="1"/>
    <x v="0"/>
    <s v="TRK13036341"/>
    <n v="2"/>
  </r>
  <r>
    <s v="ORD200080"/>
    <d v="2023-06-27T00:00:00"/>
    <s v="C29041"/>
    <x v="1"/>
    <n v="3"/>
    <n v="589.55999999999995"/>
    <s v="591 Main St"/>
    <x v="1"/>
    <x v="2"/>
    <s v="TRK28840655"/>
    <n v="6"/>
  </r>
  <r>
    <s v="ORD200081"/>
    <d v="2023-06-08T00:00:00"/>
    <s v="C29314"/>
    <x v="0"/>
    <n v="2"/>
    <n v="394.3"/>
    <s v="496 Main St"/>
    <x v="4"/>
    <x v="0"/>
    <s v="TRK59876213"/>
    <n v="6"/>
  </r>
  <r>
    <s v="ORD200082"/>
    <d v="2024-01-05T00:00:00"/>
    <s v="C65799"/>
    <x v="2"/>
    <n v="4"/>
    <n v="565.20000000000005"/>
    <s v="971 Main St"/>
    <x v="0"/>
    <x v="0"/>
    <s v="TRK66906607"/>
    <n v="9"/>
  </r>
  <r>
    <s v="ORD200083"/>
    <d v="2023-08-22T00:00:00"/>
    <s v="C15681"/>
    <x v="5"/>
    <n v="4"/>
    <n v="540.41"/>
    <s v="989 Main St"/>
    <x v="2"/>
    <x v="1"/>
    <s v="TRK75112172"/>
    <n v="6"/>
  </r>
  <r>
    <s v="ORD200084"/>
    <d v="2023-08-28T00:00:00"/>
    <s v="C64160"/>
    <x v="0"/>
    <n v="2"/>
    <n v="165.49"/>
    <s v="967 Main St"/>
    <x v="1"/>
    <x v="0"/>
    <s v="TRK34121529"/>
    <n v="4"/>
  </r>
  <r>
    <s v="ORD200085"/>
    <d v="2024-09-09T00:00:00"/>
    <s v="C14553"/>
    <x v="2"/>
    <n v="3"/>
    <n v="146.72999999999999"/>
    <s v="768 Main St"/>
    <x v="4"/>
    <x v="3"/>
    <s v="TRK93538334"/>
    <n v="8"/>
  </r>
  <r>
    <s v="ORD200086"/>
    <d v="2024-06-19T00:00:00"/>
    <s v="C88205"/>
    <x v="4"/>
    <n v="5"/>
    <n v="643.03"/>
    <s v="447 Main St"/>
    <x v="1"/>
    <x v="1"/>
    <s v="TRK93504166"/>
    <n v="5"/>
  </r>
  <r>
    <s v="ORD200087"/>
    <d v="2024-10-10T00:00:00"/>
    <s v="C91245"/>
    <x v="2"/>
    <n v="3"/>
    <n v="225.11"/>
    <s v="915 Main St"/>
    <x v="4"/>
    <x v="0"/>
    <s v="TRK46976391"/>
    <n v="4"/>
  </r>
  <r>
    <s v="ORD200088"/>
    <d v="2025-06-05T00:00:00"/>
    <s v="C75439"/>
    <x v="6"/>
    <n v="3"/>
    <n v="114.81"/>
    <s v="318 Main St"/>
    <x v="3"/>
    <x v="1"/>
    <s v="TRK19831653"/>
    <n v="7"/>
  </r>
  <r>
    <s v="ORD200089"/>
    <d v="2025-02-25T00:00:00"/>
    <s v="C17181"/>
    <x v="4"/>
    <n v="5"/>
    <n v="455.33"/>
    <s v="291 Main St"/>
    <x v="2"/>
    <x v="1"/>
    <s v="TRK78912978"/>
    <n v="8"/>
  </r>
  <r>
    <s v="ORD200090"/>
    <d v="2023-09-18T00:00:00"/>
    <s v="C36540"/>
    <x v="3"/>
    <n v="4"/>
    <n v="182.08"/>
    <s v="611 Main St"/>
    <x v="3"/>
    <x v="3"/>
    <s v="TRK35828122"/>
    <n v="4"/>
  </r>
  <r>
    <s v="ORD200091"/>
    <d v="2023-03-15T00:00:00"/>
    <s v="C98216"/>
    <x v="5"/>
    <n v="5"/>
    <n v="492.75"/>
    <s v="196 Main St"/>
    <x v="4"/>
    <x v="0"/>
    <s v="TRK40986666"/>
    <n v="6"/>
  </r>
  <r>
    <s v="ORD200092"/>
    <d v="2024-06-10T00:00:00"/>
    <s v="C29568"/>
    <x v="4"/>
    <n v="4"/>
    <n v="48.61"/>
    <s v="203 Main St"/>
    <x v="1"/>
    <x v="0"/>
    <s v="TRK46531075"/>
    <n v="7"/>
  </r>
  <r>
    <s v="ORD200093"/>
    <d v="2023-01-14T00:00:00"/>
    <s v="C97262"/>
    <x v="6"/>
    <n v="4"/>
    <n v="431.01"/>
    <s v="837 Main St"/>
    <x v="2"/>
    <x v="2"/>
    <s v="TRK65990229"/>
    <n v="7"/>
  </r>
  <r>
    <s v="ORD200094"/>
    <d v="2023-02-11T00:00:00"/>
    <s v="C79821"/>
    <x v="3"/>
    <n v="1"/>
    <n v="531.17999999999995"/>
    <s v="781 Main St"/>
    <x v="3"/>
    <x v="2"/>
    <s v="TRK12780193"/>
    <n v="6"/>
  </r>
  <r>
    <s v="ORD200095"/>
    <d v="2023-03-24T00:00:00"/>
    <s v="C76761"/>
    <x v="4"/>
    <n v="4"/>
    <n v="117.51"/>
    <s v="839 Main St"/>
    <x v="0"/>
    <x v="2"/>
    <s v="TRK60179774"/>
    <n v="7"/>
  </r>
  <r>
    <s v="ORD200096"/>
    <d v="2024-06-01T00:00:00"/>
    <s v="C93007"/>
    <x v="1"/>
    <n v="2"/>
    <n v="232.83"/>
    <s v="103 Main St"/>
    <x v="3"/>
    <x v="3"/>
    <s v="TRK85696091"/>
    <n v="7"/>
  </r>
  <r>
    <s v="ORD200097"/>
    <d v="2025-01-21T00:00:00"/>
    <s v="C15624"/>
    <x v="2"/>
    <n v="5"/>
    <n v="619.52"/>
    <s v="922 Main St"/>
    <x v="0"/>
    <x v="4"/>
    <s v="TRK40621141"/>
    <n v="9"/>
  </r>
  <r>
    <s v="ORD200098"/>
    <d v="2023-01-14T00:00:00"/>
    <s v="C70921"/>
    <x v="4"/>
    <n v="2"/>
    <n v="228.54"/>
    <s v="533 Main St"/>
    <x v="0"/>
    <x v="4"/>
    <s v="TRK54983109"/>
    <n v="3"/>
  </r>
  <r>
    <s v="ORD200099"/>
    <d v="2025-04-12T00:00:00"/>
    <s v="C30477"/>
    <x v="4"/>
    <n v="1"/>
    <n v="201.58"/>
    <s v="717 Main St"/>
    <x v="0"/>
    <x v="1"/>
    <s v="TRK51829648"/>
    <n v="2"/>
  </r>
  <r>
    <s v="ORD200100"/>
    <d v="2023-02-17T00:00:00"/>
    <s v="C74866"/>
    <x v="1"/>
    <n v="3"/>
    <n v="664.79"/>
    <s v="743 Main St"/>
    <x v="1"/>
    <x v="3"/>
    <s v="TRK53783265"/>
    <n v="6"/>
  </r>
  <r>
    <s v="ORD200101"/>
    <d v="2023-11-25T00:00:00"/>
    <s v="C15283"/>
    <x v="4"/>
    <n v="1"/>
    <n v="381.02"/>
    <s v="152 Main St"/>
    <x v="4"/>
    <x v="0"/>
    <s v="TRK19286291"/>
    <n v="6"/>
  </r>
  <r>
    <s v="ORD200102"/>
    <d v="2023-03-08T00:00:00"/>
    <s v="C18037"/>
    <x v="5"/>
    <n v="2"/>
    <n v="70.34"/>
    <s v="944 Main St"/>
    <x v="3"/>
    <x v="1"/>
    <s v="TRK47362236"/>
    <n v="3"/>
  </r>
  <r>
    <s v="ORD200103"/>
    <d v="2025-01-25T00:00:00"/>
    <s v="C62656"/>
    <x v="1"/>
    <n v="4"/>
    <n v="218.43"/>
    <s v="514 Main St"/>
    <x v="2"/>
    <x v="1"/>
    <s v="TRK86296459"/>
    <n v="9"/>
  </r>
  <r>
    <s v="ORD200104"/>
    <d v="2024-07-30T00:00:00"/>
    <s v="C65744"/>
    <x v="1"/>
    <n v="1"/>
    <n v="582.04"/>
    <s v="647 Main St"/>
    <x v="3"/>
    <x v="3"/>
    <s v="TRK39906058"/>
    <n v="1"/>
  </r>
  <r>
    <s v="ORD200105"/>
    <d v="2024-10-24T00:00:00"/>
    <s v="C72290"/>
    <x v="4"/>
    <n v="3"/>
    <n v="185.4"/>
    <s v="810 Main St"/>
    <x v="3"/>
    <x v="1"/>
    <s v="TRK68792129"/>
    <n v="7"/>
  </r>
  <r>
    <s v="ORD200106"/>
    <d v="2023-09-08T00:00:00"/>
    <s v="C73514"/>
    <x v="6"/>
    <n v="3"/>
    <n v="465.05"/>
    <s v="126 Main St"/>
    <x v="2"/>
    <x v="1"/>
    <s v="TRK96777924"/>
    <n v="3"/>
  </r>
  <r>
    <s v="ORD200107"/>
    <d v="2023-03-27T00:00:00"/>
    <s v="C16775"/>
    <x v="4"/>
    <n v="5"/>
    <n v="670.75"/>
    <s v="848 Main St"/>
    <x v="3"/>
    <x v="0"/>
    <s v="TRK34392124"/>
    <n v="8"/>
  </r>
  <r>
    <s v="ORD200108"/>
    <d v="2024-12-28T00:00:00"/>
    <s v="C33099"/>
    <x v="5"/>
    <n v="5"/>
    <n v="48.38"/>
    <s v="522 Main St"/>
    <x v="3"/>
    <x v="3"/>
    <s v="TRK28522330"/>
    <n v="9"/>
  </r>
  <r>
    <s v="ORD200109"/>
    <d v="2023-09-17T00:00:00"/>
    <s v="C51157"/>
    <x v="6"/>
    <n v="3"/>
    <n v="592.87"/>
    <s v="131 Main St"/>
    <x v="3"/>
    <x v="0"/>
    <s v="TRK18674578"/>
    <n v="3"/>
  </r>
  <r>
    <s v="ORD200110"/>
    <d v="2024-04-21T00:00:00"/>
    <s v="C74562"/>
    <x v="2"/>
    <n v="1"/>
    <n v="220.77"/>
    <s v="388 Main St"/>
    <x v="3"/>
    <x v="4"/>
    <s v="TRK32062079"/>
    <n v="5"/>
  </r>
  <r>
    <s v="ORD200111"/>
    <d v="2025-05-07T00:00:00"/>
    <s v="C95271"/>
    <x v="6"/>
    <n v="3"/>
    <n v="309.22000000000003"/>
    <s v="620 Main St"/>
    <x v="1"/>
    <x v="1"/>
    <s v="TRK74904969"/>
    <n v="7"/>
  </r>
  <r>
    <s v="ORD200112"/>
    <d v="2023-01-01T00:00:00"/>
    <s v="C81366"/>
    <x v="0"/>
    <n v="1"/>
    <n v="410.6"/>
    <s v="423 Main St"/>
    <x v="1"/>
    <x v="1"/>
    <s v="TRK17062206"/>
    <n v="2"/>
  </r>
  <r>
    <s v="ORD200113"/>
    <d v="2024-01-17T00:00:00"/>
    <s v="C65905"/>
    <x v="5"/>
    <n v="5"/>
    <n v="190.08"/>
    <s v="605 Main St"/>
    <x v="4"/>
    <x v="0"/>
    <s v="TRK73954365"/>
    <n v="9"/>
  </r>
  <r>
    <s v="ORD200114"/>
    <d v="2025-01-27T00:00:00"/>
    <s v="C77272"/>
    <x v="0"/>
    <n v="5"/>
    <n v="498.48"/>
    <s v="115 Main St"/>
    <x v="1"/>
    <x v="4"/>
    <s v="TRK29708128"/>
    <n v="8"/>
  </r>
  <r>
    <s v="ORD200115"/>
    <d v="2023-11-27T00:00:00"/>
    <s v="C32580"/>
    <x v="1"/>
    <n v="5"/>
    <n v="374.99"/>
    <s v="122 Main St"/>
    <x v="1"/>
    <x v="0"/>
    <s v="TRK23670394"/>
    <n v="9"/>
  </r>
  <r>
    <s v="ORD200116"/>
    <d v="2023-03-19T00:00:00"/>
    <s v="C47761"/>
    <x v="4"/>
    <n v="4"/>
    <n v="291.35000000000002"/>
    <s v="109 Main St"/>
    <x v="2"/>
    <x v="1"/>
    <s v="TRK66669207"/>
    <n v="6"/>
  </r>
  <r>
    <s v="ORD200117"/>
    <d v="2023-03-08T00:00:00"/>
    <s v="C49187"/>
    <x v="2"/>
    <n v="1"/>
    <n v="535.5"/>
    <s v="593 Main St"/>
    <x v="3"/>
    <x v="1"/>
    <s v="TRK81888598"/>
    <n v="5"/>
  </r>
  <r>
    <s v="ORD200118"/>
    <d v="2023-10-09T00:00:00"/>
    <s v="C27898"/>
    <x v="4"/>
    <n v="5"/>
    <n v="502.71"/>
    <s v="807 Main St"/>
    <x v="3"/>
    <x v="0"/>
    <s v="TRK61957665"/>
    <n v="7"/>
  </r>
  <r>
    <s v="ORD200119"/>
    <d v="2025-06-11T00:00:00"/>
    <s v="C14683"/>
    <x v="6"/>
    <n v="2"/>
    <n v="534.66999999999996"/>
    <s v="187 Main St"/>
    <x v="0"/>
    <x v="0"/>
    <s v="TRK47373682"/>
    <n v="7"/>
  </r>
  <r>
    <s v="ORD200120"/>
    <d v="2023-04-11T00:00:00"/>
    <s v="C58108"/>
    <x v="2"/>
    <n v="4"/>
    <n v="629.34"/>
    <s v="986 Main St"/>
    <x v="4"/>
    <x v="1"/>
    <s v="TRK66218053"/>
    <n v="4"/>
  </r>
  <r>
    <s v="ORD200121"/>
    <d v="2023-11-30T00:00:00"/>
    <s v="C89822"/>
    <x v="6"/>
    <n v="1"/>
    <n v="410.78"/>
    <s v="673 Main St"/>
    <x v="4"/>
    <x v="1"/>
    <s v="TRK24138598"/>
    <n v="1"/>
  </r>
  <r>
    <s v="ORD200122"/>
    <d v="2024-04-15T00:00:00"/>
    <s v="C96787"/>
    <x v="5"/>
    <n v="2"/>
    <n v="533.02"/>
    <s v="588 Main St"/>
    <x v="3"/>
    <x v="0"/>
    <s v="TRK30422853"/>
    <n v="2"/>
  </r>
  <r>
    <s v="ORD200123"/>
    <d v="2023-07-06T00:00:00"/>
    <s v="C86064"/>
    <x v="6"/>
    <n v="3"/>
    <n v="278.04000000000002"/>
    <s v="727 Main St"/>
    <x v="1"/>
    <x v="3"/>
    <s v="TRK62182901"/>
    <n v="5"/>
  </r>
  <r>
    <s v="ORD200124"/>
    <d v="2024-07-28T00:00:00"/>
    <s v="C97148"/>
    <x v="4"/>
    <n v="4"/>
    <n v="283.79000000000002"/>
    <s v="563 Main St"/>
    <x v="1"/>
    <x v="4"/>
    <s v="TRK85321126"/>
    <n v="8"/>
  </r>
  <r>
    <s v="ORD200125"/>
    <d v="2024-11-06T00:00:00"/>
    <s v="C91099"/>
    <x v="1"/>
    <n v="2"/>
    <n v="512.65"/>
    <s v="758 Main St"/>
    <x v="2"/>
    <x v="0"/>
    <s v="TRK81846174"/>
    <n v="5"/>
  </r>
  <r>
    <s v="ORD200126"/>
    <d v="2025-05-03T00:00:00"/>
    <s v="C55606"/>
    <x v="6"/>
    <n v="4"/>
    <n v="275.5"/>
    <s v="353 Main St"/>
    <x v="3"/>
    <x v="0"/>
    <s v="TRK68250319"/>
    <n v="8"/>
  </r>
  <r>
    <s v="ORD200127"/>
    <d v="2023-08-10T00:00:00"/>
    <s v="C71486"/>
    <x v="6"/>
    <n v="3"/>
    <n v="469.32"/>
    <s v="365 Main St"/>
    <x v="0"/>
    <x v="0"/>
    <s v="TRK73929833"/>
    <n v="3"/>
  </r>
  <r>
    <s v="ORD200128"/>
    <d v="2023-02-17T00:00:00"/>
    <s v="C86408"/>
    <x v="2"/>
    <n v="4"/>
    <n v="21.07"/>
    <s v="244 Main St"/>
    <x v="3"/>
    <x v="3"/>
    <s v="TRK41432648"/>
    <n v="4"/>
  </r>
  <r>
    <s v="ORD200129"/>
    <d v="2023-10-27T00:00:00"/>
    <s v="C52751"/>
    <x v="5"/>
    <n v="4"/>
    <n v="263.93"/>
    <s v="427 Main St"/>
    <x v="0"/>
    <x v="0"/>
    <s v="TRK72481234"/>
    <n v="4"/>
  </r>
  <r>
    <s v="ORD200130"/>
    <d v="2025-01-22T00:00:00"/>
    <s v="C29059"/>
    <x v="6"/>
    <n v="3"/>
    <n v="501.3"/>
    <s v="513 Main St"/>
    <x v="1"/>
    <x v="1"/>
    <s v="TRK88360704"/>
    <n v="3"/>
  </r>
  <r>
    <s v="ORD200131"/>
    <d v="2023-01-08T00:00:00"/>
    <s v="C72862"/>
    <x v="2"/>
    <n v="1"/>
    <n v="84.8"/>
    <s v="606 Main St"/>
    <x v="3"/>
    <x v="4"/>
    <s v="TRK51648833"/>
    <n v="5"/>
  </r>
  <r>
    <s v="ORD200132"/>
    <d v="2023-03-28T00:00:00"/>
    <s v="C96257"/>
    <x v="2"/>
    <n v="4"/>
    <n v="450.75"/>
    <s v="583 Main St"/>
    <x v="2"/>
    <x v="0"/>
    <s v="TRK13137948"/>
    <n v="6"/>
  </r>
  <r>
    <s v="ORD200133"/>
    <d v="2025-06-20T00:00:00"/>
    <s v="C87432"/>
    <x v="3"/>
    <n v="4"/>
    <n v="302.05"/>
    <s v="636 Main St"/>
    <x v="0"/>
    <x v="1"/>
    <s v="TRK68969625"/>
    <n v="6"/>
  </r>
  <r>
    <s v="ORD200134"/>
    <d v="2025-06-23T00:00:00"/>
    <s v="C16253"/>
    <x v="5"/>
    <n v="2"/>
    <n v="199.7"/>
    <s v="583 Main St"/>
    <x v="4"/>
    <x v="4"/>
    <s v="TRK17354894"/>
    <n v="4"/>
  </r>
  <r>
    <s v="ORD200135"/>
    <d v="2023-08-04T00:00:00"/>
    <s v="C79909"/>
    <x v="4"/>
    <n v="2"/>
    <n v="68.81"/>
    <s v="642 Main St"/>
    <x v="3"/>
    <x v="0"/>
    <s v="TRK86742257"/>
    <n v="5"/>
  </r>
  <r>
    <s v="ORD200136"/>
    <d v="2024-04-27T00:00:00"/>
    <s v="C73370"/>
    <x v="5"/>
    <n v="1"/>
    <n v="44.35"/>
    <s v="595 Main St"/>
    <x v="3"/>
    <x v="1"/>
    <s v="TRK67820278"/>
    <n v="1"/>
  </r>
  <r>
    <s v="ORD200137"/>
    <d v="2024-11-26T00:00:00"/>
    <s v="C50682"/>
    <x v="0"/>
    <n v="2"/>
    <n v="250.98"/>
    <s v="598 Main St"/>
    <x v="2"/>
    <x v="3"/>
    <s v="TRK12242337"/>
    <n v="5"/>
  </r>
  <r>
    <s v="ORD200138"/>
    <d v="2023-12-21T00:00:00"/>
    <s v="C21905"/>
    <x v="2"/>
    <n v="1"/>
    <n v="298.06"/>
    <s v="478 Main St"/>
    <x v="0"/>
    <x v="4"/>
    <s v="TRK31863841"/>
    <n v="3"/>
  </r>
  <r>
    <s v="ORD200139"/>
    <d v="2023-04-10T00:00:00"/>
    <s v="C61440"/>
    <x v="1"/>
    <n v="1"/>
    <n v="583.9"/>
    <s v="714 Main St"/>
    <x v="4"/>
    <x v="2"/>
    <s v="TRK33114521"/>
    <n v="1"/>
  </r>
  <r>
    <s v="ORD200140"/>
    <d v="2025-05-31T00:00:00"/>
    <s v="C33110"/>
    <x v="3"/>
    <n v="3"/>
    <n v="528.14"/>
    <s v="388 Main St"/>
    <x v="1"/>
    <x v="3"/>
    <s v="TRK38624225"/>
    <n v="3"/>
  </r>
  <r>
    <s v="ORD200141"/>
    <d v="2023-11-18T00:00:00"/>
    <s v="C80004"/>
    <x v="4"/>
    <n v="3"/>
    <n v="684.14"/>
    <s v="151 Main St"/>
    <x v="4"/>
    <x v="1"/>
    <s v="TRK66230753"/>
    <n v="3"/>
  </r>
  <r>
    <s v="ORD200142"/>
    <d v="2023-09-06T00:00:00"/>
    <s v="C86374"/>
    <x v="6"/>
    <n v="5"/>
    <n v="272.77"/>
    <s v="573 Main St"/>
    <x v="4"/>
    <x v="4"/>
    <s v="TRK79451491"/>
    <n v="7"/>
  </r>
  <r>
    <s v="ORD200143"/>
    <d v="2024-06-13T00:00:00"/>
    <s v="C66521"/>
    <x v="3"/>
    <n v="4"/>
    <n v="400.07"/>
    <s v="933 Main St"/>
    <x v="1"/>
    <x v="0"/>
    <s v="TRK34654244"/>
    <n v="5"/>
  </r>
  <r>
    <s v="ORD200144"/>
    <d v="2023-08-04T00:00:00"/>
    <s v="C63365"/>
    <x v="6"/>
    <n v="5"/>
    <n v="219.78"/>
    <s v="895 Main St"/>
    <x v="2"/>
    <x v="4"/>
    <s v="TRK80100887"/>
    <n v="8"/>
  </r>
  <r>
    <s v="ORD200145"/>
    <d v="2024-03-02T00:00:00"/>
    <s v="C85929"/>
    <x v="4"/>
    <n v="3"/>
    <n v="146.91"/>
    <s v="798 Main St"/>
    <x v="2"/>
    <x v="3"/>
    <s v="TRK29318610"/>
    <n v="6"/>
  </r>
  <r>
    <s v="ORD200146"/>
    <d v="2025-04-30T00:00:00"/>
    <s v="C84645"/>
    <x v="2"/>
    <n v="2"/>
    <n v="411.49"/>
    <s v="404 Main St"/>
    <x v="2"/>
    <x v="2"/>
    <s v="TRK68893369"/>
    <n v="4"/>
  </r>
  <r>
    <s v="ORD200147"/>
    <d v="2025-05-06T00:00:00"/>
    <s v="C46316"/>
    <x v="5"/>
    <n v="2"/>
    <n v="465.18"/>
    <s v="893 Main St"/>
    <x v="2"/>
    <x v="1"/>
    <s v="TRK16196000"/>
    <n v="2"/>
  </r>
  <r>
    <s v="ORD200148"/>
    <d v="2024-12-15T00:00:00"/>
    <s v="C35100"/>
    <x v="1"/>
    <n v="2"/>
    <n v="319.91000000000003"/>
    <s v="139 Main St"/>
    <x v="2"/>
    <x v="1"/>
    <s v="TRK56853491"/>
    <n v="3"/>
  </r>
  <r>
    <s v="ORD200149"/>
    <d v="2023-12-27T00:00:00"/>
    <s v="C39671"/>
    <x v="5"/>
    <n v="1"/>
    <n v="217.56"/>
    <s v="174 Main St"/>
    <x v="0"/>
    <x v="3"/>
    <s v="TRK47153818"/>
    <n v="3"/>
  </r>
  <r>
    <s v="ORD200150"/>
    <d v="2023-12-13T00:00:00"/>
    <s v="C25503"/>
    <x v="1"/>
    <n v="2"/>
    <n v="105.57"/>
    <s v="981 Main St"/>
    <x v="0"/>
    <x v="2"/>
    <s v="TRK29878837"/>
    <n v="5"/>
  </r>
  <r>
    <s v="ORD200151"/>
    <d v="2023-12-01T00:00:00"/>
    <s v="C32960"/>
    <x v="4"/>
    <n v="5"/>
    <n v="444.76"/>
    <s v="947 Main St"/>
    <x v="0"/>
    <x v="2"/>
    <s v="TRK91226500"/>
    <n v="7"/>
  </r>
  <r>
    <s v="ORD200152"/>
    <d v="2025-01-02T00:00:00"/>
    <s v="C77736"/>
    <x v="3"/>
    <n v="2"/>
    <n v="399.04"/>
    <s v="659 Main St"/>
    <x v="4"/>
    <x v="1"/>
    <s v="TRK90329250"/>
    <n v="3"/>
  </r>
  <r>
    <s v="ORD200153"/>
    <d v="2024-12-18T00:00:00"/>
    <s v="C71570"/>
    <x v="3"/>
    <n v="4"/>
    <n v="534.48"/>
    <s v="437 Main St"/>
    <x v="1"/>
    <x v="2"/>
    <s v="TRK95992269"/>
    <n v="9"/>
  </r>
  <r>
    <s v="ORD200154"/>
    <d v="2023-07-20T00:00:00"/>
    <s v="C73587"/>
    <x v="1"/>
    <n v="4"/>
    <n v="408.21"/>
    <s v="727 Main St"/>
    <x v="2"/>
    <x v="4"/>
    <s v="TRK13955543"/>
    <n v="9"/>
  </r>
  <r>
    <s v="ORD200155"/>
    <d v="2023-02-27T00:00:00"/>
    <s v="C62740"/>
    <x v="1"/>
    <n v="1"/>
    <n v="424.4"/>
    <s v="446 Main St"/>
    <x v="1"/>
    <x v="0"/>
    <s v="TRK20706408"/>
    <n v="6"/>
  </r>
  <r>
    <s v="ORD200156"/>
    <d v="2024-11-08T00:00:00"/>
    <s v="C58808"/>
    <x v="3"/>
    <n v="2"/>
    <n v="269.83"/>
    <s v="651 Main St"/>
    <x v="1"/>
    <x v="3"/>
    <s v="TRK24451893"/>
    <n v="4"/>
  </r>
  <r>
    <s v="ORD200157"/>
    <d v="2025-02-21T00:00:00"/>
    <s v="C50422"/>
    <x v="0"/>
    <n v="2"/>
    <n v="564.58000000000004"/>
    <s v="636 Main St"/>
    <x v="1"/>
    <x v="2"/>
    <s v="TRK71227815"/>
    <n v="4"/>
  </r>
  <r>
    <s v="ORD200158"/>
    <d v="2024-05-16T00:00:00"/>
    <s v="C23334"/>
    <x v="2"/>
    <n v="1"/>
    <n v="331.06"/>
    <s v="737 Main St"/>
    <x v="2"/>
    <x v="4"/>
    <s v="TRK46335144"/>
    <n v="5"/>
  </r>
  <r>
    <s v="ORD200159"/>
    <d v="2023-10-31T00:00:00"/>
    <s v="C48965"/>
    <x v="4"/>
    <n v="1"/>
    <n v="299.35000000000002"/>
    <s v="819 Main St"/>
    <x v="2"/>
    <x v="1"/>
    <s v="TRK50921780"/>
    <n v="5"/>
  </r>
  <r>
    <s v="ORD200160"/>
    <d v="2023-02-17T00:00:00"/>
    <s v="C38669"/>
    <x v="0"/>
    <n v="4"/>
    <n v="101.32"/>
    <s v="240 Main St"/>
    <x v="4"/>
    <x v="4"/>
    <s v="TRK81738254"/>
    <n v="7"/>
  </r>
  <r>
    <s v="ORD200161"/>
    <d v="2024-03-29T00:00:00"/>
    <s v="C35091"/>
    <x v="0"/>
    <n v="1"/>
    <n v="211.14"/>
    <s v="513 Main St"/>
    <x v="2"/>
    <x v="1"/>
    <s v="TRK53784452"/>
    <n v="1"/>
  </r>
  <r>
    <s v="ORD200162"/>
    <d v="2023-07-27T00:00:00"/>
    <s v="C82313"/>
    <x v="3"/>
    <n v="3"/>
    <n v="65.86"/>
    <s v="917 Main St"/>
    <x v="1"/>
    <x v="4"/>
    <s v="TRK79854624"/>
    <n v="8"/>
  </r>
  <r>
    <s v="ORD200163"/>
    <d v="2025-06-24T00:00:00"/>
    <s v="C99589"/>
    <x v="2"/>
    <n v="1"/>
    <n v="641.39"/>
    <s v="277 Main St"/>
    <x v="1"/>
    <x v="1"/>
    <s v="TRK16695001"/>
    <n v="1"/>
  </r>
  <r>
    <s v="ORD200164"/>
    <d v="2023-12-28T00:00:00"/>
    <s v="C70566"/>
    <x v="6"/>
    <n v="5"/>
    <n v="536.58000000000004"/>
    <s v="667 Main St"/>
    <x v="3"/>
    <x v="4"/>
    <s v="TRK49673411"/>
    <n v="5"/>
  </r>
  <r>
    <s v="ORD200165"/>
    <d v="2024-09-14T00:00:00"/>
    <s v="C60355"/>
    <x v="0"/>
    <n v="2"/>
    <n v="500.29"/>
    <s v="226 Main St"/>
    <x v="1"/>
    <x v="2"/>
    <s v="TRK30155194"/>
    <n v="7"/>
  </r>
  <r>
    <s v="ORD200166"/>
    <d v="2025-03-04T00:00:00"/>
    <s v="C28889"/>
    <x v="3"/>
    <n v="3"/>
    <n v="86.29"/>
    <s v="565 Main St"/>
    <x v="4"/>
    <x v="3"/>
    <s v="TRK23791726"/>
    <n v="6"/>
  </r>
  <r>
    <s v="ORD200167"/>
    <d v="2023-05-27T00:00:00"/>
    <s v="C88304"/>
    <x v="3"/>
    <n v="2"/>
    <n v="384.14"/>
    <s v="219 Main St"/>
    <x v="1"/>
    <x v="2"/>
    <s v="TRK44268941"/>
    <n v="2"/>
  </r>
  <r>
    <s v="ORD200168"/>
    <d v="2025-01-04T00:00:00"/>
    <s v="C49517"/>
    <x v="4"/>
    <n v="1"/>
    <n v="594.96"/>
    <s v="878 Main St"/>
    <x v="4"/>
    <x v="2"/>
    <s v="TRK78551375"/>
    <n v="6"/>
  </r>
  <r>
    <s v="ORD200169"/>
    <d v="2024-04-07T00:00:00"/>
    <s v="C35785"/>
    <x v="4"/>
    <n v="1"/>
    <n v="427.82"/>
    <s v="732 Main St"/>
    <x v="1"/>
    <x v="3"/>
    <s v="TRK78923089"/>
    <n v="2"/>
  </r>
  <r>
    <s v="ORD200170"/>
    <d v="2025-04-04T00:00:00"/>
    <s v="C80223"/>
    <x v="6"/>
    <n v="4"/>
    <n v="662.94"/>
    <s v="535 Main St"/>
    <x v="4"/>
    <x v="1"/>
    <s v="TRK68632951"/>
    <n v="8"/>
  </r>
  <r>
    <s v="ORD200171"/>
    <d v="2023-08-15T00:00:00"/>
    <s v="C20448"/>
    <x v="2"/>
    <n v="2"/>
    <n v="148.22"/>
    <s v="336 Main St"/>
    <x v="2"/>
    <x v="3"/>
    <s v="TRK67379895"/>
    <n v="7"/>
  </r>
  <r>
    <s v="ORD200172"/>
    <d v="2025-04-06T00:00:00"/>
    <s v="C34134"/>
    <x v="4"/>
    <n v="1"/>
    <n v="254.12"/>
    <s v="365 Main St"/>
    <x v="1"/>
    <x v="3"/>
    <s v="TRK43074303"/>
    <n v="1"/>
  </r>
  <r>
    <s v="ORD200173"/>
    <d v="2024-03-24T00:00:00"/>
    <s v="C95901"/>
    <x v="1"/>
    <n v="3"/>
    <n v="664.46"/>
    <s v="806 Main St"/>
    <x v="1"/>
    <x v="3"/>
    <s v="TRK56989066"/>
    <n v="4"/>
  </r>
  <r>
    <s v="ORD200174"/>
    <d v="2024-04-16T00:00:00"/>
    <s v="C51145"/>
    <x v="4"/>
    <n v="4"/>
    <n v="600.80999999999995"/>
    <s v="790 Main St"/>
    <x v="0"/>
    <x v="3"/>
    <s v="TRK59154274"/>
    <n v="9"/>
  </r>
  <r>
    <s v="ORD200175"/>
    <d v="2025-02-08T00:00:00"/>
    <s v="C78170"/>
    <x v="3"/>
    <n v="5"/>
    <n v="68.34"/>
    <s v="332 Main St"/>
    <x v="0"/>
    <x v="4"/>
    <s v="TRK71410605"/>
    <n v="6"/>
  </r>
  <r>
    <s v="ORD200176"/>
    <d v="2025-06-28T00:00:00"/>
    <s v="C80151"/>
    <x v="2"/>
    <n v="4"/>
    <n v="430.83"/>
    <s v="553 Main St"/>
    <x v="3"/>
    <x v="4"/>
    <s v="TRK88251529"/>
    <n v="8"/>
  </r>
  <r>
    <s v="ORD200177"/>
    <d v="2023-08-05T00:00:00"/>
    <s v="C55632"/>
    <x v="3"/>
    <n v="5"/>
    <n v="431.69"/>
    <s v="354 Main St"/>
    <x v="2"/>
    <x v="4"/>
    <s v="TRK13003066"/>
    <n v="10"/>
  </r>
  <r>
    <s v="ORD200178"/>
    <d v="2024-04-11T00:00:00"/>
    <s v="C53070"/>
    <x v="3"/>
    <n v="4"/>
    <n v="512.05999999999995"/>
    <s v="283 Main St"/>
    <x v="1"/>
    <x v="3"/>
    <s v="TRK49791755"/>
    <n v="5"/>
  </r>
  <r>
    <s v="ORD200179"/>
    <d v="2024-11-24T00:00:00"/>
    <s v="C27401"/>
    <x v="5"/>
    <n v="3"/>
    <n v="539.91"/>
    <s v="500 Main St"/>
    <x v="2"/>
    <x v="3"/>
    <s v="TRK14332053"/>
    <n v="8"/>
  </r>
  <r>
    <s v="ORD200180"/>
    <d v="2023-03-18T00:00:00"/>
    <s v="C87216"/>
    <x v="2"/>
    <n v="5"/>
    <n v="316.07"/>
    <s v="970 Main St"/>
    <x v="4"/>
    <x v="2"/>
    <s v="TRK18713727"/>
    <n v="10"/>
  </r>
  <r>
    <s v="ORD200181"/>
    <d v="2024-08-31T00:00:00"/>
    <s v="C38966"/>
    <x v="4"/>
    <n v="5"/>
    <n v="404.39"/>
    <s v="247 Main St"/>
    <x v="1"/>
    <x v="0"/>
    <s v="TRK17205146"/>
    <n v="10"/>
  </r>
  <r>
    <s v="ORD200182"/>
    <d v="2025-03-19T00:00:00"/>
    <s v="C16612"/>
    <x v="6"/>
    <n v="1"/>
    <n v="600.54"/>
    <s v="596 Main St"/>
    <x v="0"/>
    <x v="4"/>
    <s v="TRK96188223"/>
    <n v="4"/>
  </r>
  <r>
    <s v="ORD200183"/>
    <d v="2024-04-18T00:00:00"/>
    <s v="C39246"/>
    <x v="0"/>
    <n v="5"/>
    <n v="186.28"/>
    <s v="258 Main St"/>
    <x v="0"/>
    <x v="3"/>
    <s v="TRK16658182"/>
    <n v="8"/>
  </r>
  <r>
    <s v="ORD200184"/>
    <d v="2024-04-04T00:00:00"/>
    <s v="C65180"/>
    <x v="2"/>
    <n v="4"/>
    <n v="214.54"/>
    <s v="231 Main St"/>
    <x v="3"/>
    <x v="1"/>
    <s v="TRK39255469"/>
    <n v="7"/>
  </r>
  <r>
    <s v="ORD200185"/>
    <d v="2025-02-02T00:00:00"/>
    <s v="C46877"/>
    <x v="5"/>
    <n v="1"/>
    <n v="210.7"/>
    <s v="572 Main St"/>
    <x v="1"/>
    <x v="0"/>
    <s v="TRK96935978"/>
    <n v="2"/>
  </r>
  <r>
    <s v="ORD200186"/>
    <d v="2023-12-07T00:00:00"/>
    <s v="C30334"/>
    <x v="1"/>
    <n v="2"/>
    <n v="133.55000000000001"/>
    <s v="322 Main St"/>
    <x v="4"/>
    <x v="4"/>
    <s v="TRK66388885"/>
    <n v="7"/>
  </r>
  <r>
    <s v="ORD200187"/>
    <d v="2023-02-08T00:00:00"/>
    <s v="C21227"/>
    <x v="3"/>
    <n v="1"/>
    <n v="590.87"/>
    <s v="689 Main St"/>
    <x v="3"/>
    <x v="2"/>
    <s v="TRK79129657"/>
    <n v="6"/>
  </r>
  <r>
    <s v="ORD200188"/>
    <d v="2025-03-15T00:00:00"/>
    <s v="C97715"/>
    <x v="3"/>
    <n v="2"/>
    <n v="363.91"/>
    <s v="927 Main St"/>
    <x v="3"/>
    <x v="0"/>
    <s v="TRK19515949"/>
    <n v="2"/>
  </r>
  <r>
    <s v="ORD200189"/>
    <d v="2023-07-05T00:00:00"/>
    <s v="C48939"/>
    <x v="4"/>
    <n v="5"/>
    <n v="429.45"/>
    <s v="597 Main St"/>
    <x v="3"/>
    <x v="1"/>
    <s v="TRK62786764"/>
    <n v="5"/>
  </r>
  <r>
    <s v="ORD200190"/>
    <d v="2024-08-31T00:00:00"/>
    <s v="C35483"/>
    <x v="4"/>
    <n v="3"/>
    <n v="223.7"/>
    <s v="725 Main St"/>
    <x v="4"/>
    <x v="2"/>
    <s v="TRK79638203"/>
    <n v="3"/>
  </r>
  <r>
    <s v="ORD200191"/>
    <d v="2025-03-08T00:00:00"/>
    <s v="C51494"/>
    <x v="5"/>
    <n v="2"/>
    <n v="488.87"/>
    <s v="505 Main St"/>
    <x v="1"/>
    <x v="1"/>
    <s v="TRK58520306"/>
    <n v="4"/>
  </r>
  <r>
    <s v="ORD200192"/>
    <d v="2023-08-11T00:00:00"/>
    <s v="C58410"/>
    <x v="6"/>
    <n v="1"/>
    <n v="645.46"/>
    <s v="151 Main St"/>
    <x v="3"/>
    <x v="1"/>
    <s v="TRK19749672"/>
    <n v="5"/>
  </r>
  <r>
    <s v="ORD200193"/>
    <d v="2023-07-21T00:00:00"/>
    <s v="C11644"/>
    <x v="4"/>
    <n v="1"/>
    <n v="46.66"/>
    <s v="429 Main St"/>
    <x v="4"/>
    <x v="1"/>
    <s v="TRK81320339"/>
    <n v="6"/>
  </r>
  <r>
    <s v="ORD200194"/>
    <d v="2024-06-08T00:00:00"/>
    <s v="C53501"/>
    <x v="0"/>
    <n v="1"/>
    <n v="249.57"/>
    <s v="899 Main St"/>
    <x v="4"/>
    <x v="0"/>
    <s v="TRK90144892"/>
    <n v="3"/>
  </r>
  <r>
    <s v="ORD200195"/>
    <d v="2024-04-22T00:00:00"/>
    <s v="C63619"/>
    <x v="3"/>
    <n v="3"/>
    <n v="619.21"/>
    <s v="801 Main St"/>
    <x v="0"/>
    <x v="1"/>
    <s v="TRK65385674"/>
    <n v="6"/>
  </r>
  <r>
    <s v="ORD200196"/>
    <d v="2025-01-24T00:00:00"/>
    <s v="C40882"/>
    <x v="6"/>
    <n v="4"/>
    <n v="217.13"/>
    <s v="719 Main St"/>
    <x v="4"/>
    <x v="3"/>
    <s v="TRK64165503"/>
    <n v="8"/>
  </r>
  <r>
    <s v="ORD200197"/>
    <d v="2023-08-27T00:00:00"/>
    <s v="C80135"/>
    <x v="5"/>
    <n v="5"/>
    <n v="221.51"/>
    <s v="723 Main St"/>
    <x v="4"/>
    <x v="2"/>
    <s v="TRK95222269"/>
    <n v="5"/>
  </r>
  <r>
    <s v="ORD200198"/>
    <d v="2024-06-11T00:00:00"/>
    <s v="C37594"/>
    <x v="5"/>
    <n v="4"/>
    <n v="340.3"/>
    <s v="926 Main St"/>
    <x v="4"/>
    <x v="1"/>
    <s v="TRK94405162"/>
    <n v="8"/>
  </r>
  <r>
    <s v="ORD200199"/>
    <d v="2025-01-23T00:00:00"/>
    <s v="C87524"/>
    <x v="1"/>
    <n v="1"/>
    <n v="625"/>
    <s v="358 Main St"/>
    <x v="1"/>
    <x v="2"/>
    <s v="TRK21114341"/>
    <n v="5"/>
  </r>
  <r>
    <s v="ORD200200"/>
    <d v="2025-06-07T00:00:00"/>
    <s v="C97681"/>
    <x v="2"/>
    <n v="5"/>
    <n v="433.26"/>
    <s v="895 Main St"/>
    <x v="2"/>
    <x v="3"/>
    <s v="TRK37531040"/>
    <n v="9"/>
  </r>
  <r>
    <s v="ORD200201"/>
    <d v="2023-06-18T00:00:00"/>
    <s v="C10126"/>
    <x v="0"/>
    <n v="2"/>
    <n v="674.9"/>
    <s v="146 Main St"/>
    <x v="1"/>
    <x v="0"/>
    <s v="TRK75607531"/>
    <n v="4"/>
  </r>
  <r>
    <s v="ORD200202"/>
    <d v="2025-02-06T00:00:00"/>
    <s v="C36938"/>
    <x v="0"/>
    <n v="3"/>
    <n v="253.98"/>
    <s v="636 Main St"/>
    <x v="2"/>
    <x v="1"/>
    <s v="TRK52522904"/>
    <n v="3"/>
  </r>
  <r>
    <s v="ORD200203"/>
    <d v="2025-01-21T00:00:00"/>
    <s v="C99173"/>
    <x v="4"/>
    <n v="3"/>
    <n v="356.84"/>
    <s v="172 Main St"/>
    <x v="1"/>
    <x v="0"/>
    <s v="TRK89849342"/>
    <n v="5"/>
  </r>
  <r>
    <s v="ORD200204"/>
    <d v="2023-09-05T00:00:00"/>
    <s v="C99775"/>
    <x v="5"/>
    <n v="4"/>
    <n v="413.71"/>
    <s v="478 Main St"/>
    <x v="3"/>
    <x v="1"/>
    <s v="TRK21638425"/>
    <n v="9"/>
  </r>
  <r>
    <s v="ORD200205"/>
    <d v="2023-03-04T00:00:00"/>
    <s v="C19266"/>
    <x v="6"/>
    <n v="3"/>
    <n v="147.38999999999999"/>
    <s v="609 Main St"/>
    <x v="0"/>
    <x v="2"/>
    <s v="TRK58357269"/>
    <n v="3"/>
  </r>
  <r>
    <s v="ORD200206"/>
    <d v="2024-04-16T00:00:00"/>
    <s v="C31072"/>
    <x v="5"/>
    <n v="4"/>
    <n v="229.1"/>
    <s v="729 Main St"/>
    <x v="3"/>
    <x v="2"/>
    <s v="TRK77172975"/>
    <n v="8"/>
  </r>
  <r>
    <s v="ORD200207"/>
    <d v="2025-03-18T00:00:00"/>
    <s v="C54595"/>
    <x v="1"/>
    <n v="1"/>
    <n v="121.96"/>
    <s v="999 Main St"/>
    <x v="0"/>
    <x v="3"/>
    <s v="TRK44416659"/>
    <n v="3"/>
  </r>
  <r>
    <s v="ORD200208"/>
    <d v="2024-10-08T00:00:00"/>
    <s v="C87777"/>
    <x v="6"/>
    <n v="2"/>
    <n v="408.32"/>
    <s v="597 Main St"/>
    <x v="1"/>
    <x v="0"/>
    <s v="TRK29003608"/>
    <n v="3"/>
  </r>
  <r>
    <s v="ORD200209"/>
    <d v="2023-08-29T00:00:00"/>
    <s v="C35854"/>
    <x v="2"/>
    <n v="5"/>
    <n v="187.97"/>
    <s v="706 Main St"/>
    <x v="4"/>
    <x v="2"/>
    <s v="TRK30615168"/>
    <n v="9"/>
  </r>
  <r>
    <s v="ORD200210"/>
    <d v="2024-12-05T00:00:00"/>
    <s v="C93821"/>
    <x v="3"/>
    <n v="3"/>
    <n v="358.48"/>
    <s v="513 Main St"/>
    <x v="3"/>
    <x v="3"/>
    <s v="TRK10658539"/>
    <n v="7"/>
  </r>
  <r>
    <s v="ORD200211"/>
    <d v="2025-01-03T00:00:00"/>
    <s v="C54390"/>
    <x v="4"/>
    <n v="3"/>
    <n v="193.58"/>
    <s v="185 Main St"/>
    <x v="3"/>
    <x v="4"/>
    <s v="TRK83853742"/>
    <n v="7"/>
  </r>
  <r>
    <s v="ORD200212"/>
    <d v="2023-06-20T00:00:00"/>
    <s v="C53215"/>
    <x v="0"/>
    <n v="1"/>
    <n v="265.38"/>
    <s v="367 Main St"/>
    <x v="2"/>
    <x v="1"/>
    <s v="TRK34751835"/>
    <n v="6"/>
  </r>
  <r>
    <s v="ORD200213"/>
    <d v="2023-04-20T00:00:00"/>
    <s v="C71122"/>
    <x v="5"/>
    <n v="1"/>
    <n v="634.4"/>
    <s v="317 Main St"/>
    <x v="4"/>
    <x v="1"/>
    <s v="TRK54757882"/>
    <n v="6"/>
  </r>
  <r>
    <s v="ORD200214"/>
    <d v="2024-08-21T00:00:00"/>
    <s v="C29483"/>
    <x v="6"/>
    <n v="4"/>
    <n v="305.72000000000003"/>
    <s v="673 Main St"/>
    <x v="1"/>
    <x v="3"/>
    <s v="TRK89423603"/>
    <n v="5"/>
  </r>
  <r>
    <s v="ORD200215"/>
    <d v="2023-08-10T00:00:00"/>
    <s v="C26767"/>
    <x v="4"/>
    <n v="1"/>
    <n v="303.60000000000002"/>
    <s v="432 Main St"/>
    <x v="4"/>
    <x v="0"/>
    <s v="TRK24585307"/>
    <n v="5"/>
  </r>
  <r>
    <s v="ORD200216"/>
    <d v="2025-04-15T00:00:00"/>
    <s v="C70492"/>
    <x v="0"/>
    <n v="4"/>
    <n v="496"/>
    <s v="811 Main St"/>
    <x v="1"/>
    <x v="1"/>
    <s v="TRK84625405"/>
    <n v="8"/>
  </r>
  <r>
    <s v="ORD200217"/>
    <d v="2024-05-20T00:00:00"/>
    <s v="C61549"/>
    <x v="6"/>
    <n v="4"/>
    <n v="321.51"/>
    <s v="908 Main St"/>
    <x v="4"/>
    <x v="2"/>
    <s v="TRK65596914"/>
    <n v="9"/>
  </r>
  <r>
    <s v="ORD200218"/>
    <d v="2023-04-28T00:00:00"/>
    <s v="C11665"/>
    <x v="2"/>
    <n v="3"/>
    <n v="112.46"/>
    <s v="882 Main St"/>
    <x v="3"/>
    <x v="0"/>
    <s v="TRK10993930"/>
    <n v="6"/>
  </r>
  <r>
    <s v="ORD200219"/>
    <d v="2025-05-02T00:00:00"/>
    <s v="C48946"/>
    <x v="5"/>
    <n v="5"/>
    <n v="61.97"/>
    <s v="457 Main St"/>
    <x v="4"/>
    <x v="3"/>
    <s v="TRK99387220"/>
    <n v="6"/>
  </r>
  <r>
    <s v="ORD200220"/>
    <d v="2023-07-18T00:00:00"/>
    <s v="C79506"/>
    <x v="5"/>
    <n v="2"/>
    <n v="373.17"/>
    <s v="497 Main St"/>
    <x v="2"/>
    <x v="4"/>
    <s v="TRK95188748"/>
    <n v="6"/>
  </r>
  <r>
    <s v="ORD200221"/>
    <d v="2024-02-23T00:00:00"/>
    <s v="C93473"/>
    <x v="2"/>
    <n v="5"/>
    <n v="639.37"/>
    <s v="552 Main St"/>
    <x v="0"/>
    <x v="4"/>
    <s v="TRK50003989"/>
    <n v="6"/>
  </r>
  <r>
    <s v="ORD200222"/>
    <d v="2023-05-04T00:00:00"/>
    <s v="C43124"/>
    <x v="3"/>
    <n v="4"/>
    <n v="693.36"/>
    <s v="931 Main St"/>
    <x v="1"/>
    <x v="0"/>
    <s v="TRK17293348"/>
    <n v="8"/>
  </r>
  <r>
    <s v="ORD200223"/>
    <d v="2024-09-11T00:00:00"/>
    <s v="C22783"/>
    <x v="1"/>
    <n v="4"/>
    <n v="692.91"/>
    <s v="673 Main St"/>
    <x v="2"/>
    <x v="4"/>
    <s v="TRK55009149"/>
    <n v="9"/>
  </r>
  <r>
    <s v="ORD200224"/>
    <d v="2023-09-23T00:00:00"/>
    <s v="C18567"/>
    <x v="4"/>
    <n v="4"/>
    <n v="91.46"/>
    <s v="507 Main St"/>
    <x v="4"/>
    <x v="1"/>
    <s v="TRK17554673"/>
    <n v="9"/>
  </r>
  <r>
    <s v="ORD200225"/>
    <d v="2024-03-13T00:00:00"/>
    <s v="C99879"/>
    <x v="1"/>
    <n v="3"/>
    <n v="273.95999999999998"/>
    <s v="692 Main St"/>
    <x v="0"/>
    <x v="2"/>
    <s v="TRK50246700"/>
    <n v="8"/>
  </r>
  <r>
    <s v="ORD200226"/>
    <d v="2025-06-27T00:00:00"/>
    <s v="C31501"/>
    <x v="6"/>
    <n v="3"/>
    <n v="588.04999999999995"/>
    <s v="242 Main St"/>
    <x v="3"/>
    <x v="3"/>
    <s v="TRK93063929"/>
    <n v="8"/>
  </r>
  <r>
    <s v="ORD200227"/>
    <d v="2023-11-02T00:00:00"/>
    <s v="C93220"/>
    <x v="0"/>
    <n v="2"/>
    <n v="365.17"/>
    <s v="353 Main St"/>
    <x v="1"/>
    <x v="1"/>
    <s v="TRK89023251"/>
    <n v="4"/>
  </r>
  <r>
    <s v="ORD200228"/>
    <d v="2023-05-17T00:00:00"/>
    <s v="C57867"/>
    <x v="3"/>
    <n v="4"/>
    <n v="385.92"/>
    <s v="579 Main St"/>
    <x v="2"/>
    <x v="1"/>
    <s v="TRK92055007"/>
    <n v="8"/>
  </r>
  <r>
    <s v="ORD200229"/>
    <d v="2025-03-28T00:00:00"/>
    <s v="C62622"/>
    <x v="2"/>
    <n v="1"/>
    <n v="562.61"/>
    <s v="762 Main St"/>
    <x v="2"/>
    <x v="3"/>
    <s v="TRK70997648"/>
    <n v="3"/>
  </r>
  <r>
    <s v="ORD200230"/>
    <d v="2023-12-16T00:00:00"/>
    <s v="C94595"/>
    <x v="6"/>
    <n v="4"/>
    <n v="61.91"/>
    <s v="948 Main St"/>
    <x v="3"/>
    <x v="3"/>
    <s v="TRK24497305"/>
    <n v="6"/>
  </r>
  <r>
    <s v="ORD200231"/>
    <d v="2023-11-05T00:00:00"/>
    <s v="C30955"/>
    <x v="1"/>
    <n v="4"/>
    <n v="41.9"/>
    <s v="327 Main St"/>
    <x v="3"/>
    <x v="4"/>
    <s v="TRK46898848"/>
    <n v="9"/>
  </r>
  <r>
    <s v="ORD200232"/>
    <d v="2023-05-19T00:00:00"/>
    <s v="C20731"/>
    <x v="4"/>
    <n v="4"/>
    <n v="444.44"/>
    <s v="610 Main St"/>
    <x v="0"/>
    <x v="1"/>
    <s v="TRK75568437"/>
    <n v="8"/>
  </r>
  <r>
    <s v="ORD200233"/>
    <d v="2024-08-24T00:00:00"/>
    <s v="C30168"/>
    <x v="1"/>
    <n v="3"/>
    <n v="311.33"/>
    <s v="146 Main St"/>
    <x v="4"/>
    <x v="1"/>
    <s v="TRK73699939"/>
    <n v="3"/>
  </r>
  <r>
    <s v="ORD200234"/>
    <d v="2024-11-26T00:00:00"/>
    <s v="C79842"/>
    <x v="4"/>
    <n v="4"/>
    <n v="236.41"/>
    <s v="337 Main St"/>
    <x v="0"/>
    <x v="4"/>
    <s v="TRK26957950"/>
    <n v="7"/>
  </r>
  <r>
    <s v="ORD200235"/>
    <d v="2023-02-20T00:00:00"/>
    <s v="C32854"/>
    <x v="6"/>
    <n v="1"/>
    <n v="65.45"/>
    <s v="815 Main St"/>
    <x v="4"/>
    <x v="4"/>
    <s v="TRK30009218"/>
    <n v="2"/>
  </r>
  <r>
    <s v="ORD200236"/>
    <d v="2023-01-01T00:00:00"/>
    <s v="C14847"/>
    <x v="0"/>
    <n v="1"/>
    <n v="318.81"/>
    <s v="562 Main St"/>
    <x v="0"/>
    <x v="4"/>
    <s v="TRK39663243"/>
    <n v="3"/>
  </r>
  <r>
    <s v="ORD200237"/>
    <d v="2024-03-14T00:00:00"/>
    <s v="C88645"/>
    <x v="0"/>
    <n v="3"/>
    <n v="583.72"/>
    <s v="783 Main St"/>
    <x v="2"/>
    <x v="0"/>
    <s v="TRK74097570"/>
    <n v="5"/>
  </r>
  <r>
    <s v="ORD200238"/>
    <d v="2024-12-13T00:00:00"/>
    <s v="C66149"/>
    <x v="6"/>
    <n v="4"/>
    <n v="384.32"/>
    <s v="770 Main St"/>
    <x v="2"/>
    <x v="4"/>
    <s v="TRK76307307"/>
    <n v="6"/>
  </r>
  <r>
    <s v="ORD200239"/>
    <d v="2024-12-11T00:00:00"/>
    <s v="C20256"/>
    <x v="2"/>
    <n v="3"/>
    <n v="538.74"/>
    <s v="456 Main St"/>
    <x v="1"/>
    <x v="0"/>
    <s v="TRK71127943"/>
    <n v="6"/>
  </r>
  <r>
    <s v="ORD200240"/>
    <d v="2023-07-12T00:00:00"/>
    <s v="C14983"/>
    <x v="2"/>
    <n v="1"/>
    <n v="17.239999999999998"/>
    <s v="255 Main St"/>
    <x v="1"/>
    <x v="4"/>
    <s v="TRK93444157"/>
    <n v="2"/>
  </r>
  <r>
    <s v="ORD200241"/>
    <d v="2023-05-16T00:00:00"/>
    <s v="C20817"/>
    <x v="3"/>
    <n v="5"/>
    <n v="615.66999999999996"/>
    <s v="407 Main St"/>
    <x v="1"/>
    <x v="4"/>
    <s v="TRK44164590"/>
    <n v="6"/>
  </r>
  <r>
    <s v="ORD200242"/>
    <d v="2023-05-09T00:00:00"/>
    <s v="C94921"/>
    <x v="4"/>
    <n v="2"/>
    <n v="219.1"/>
    <s v="134 Main St"/>
    <x v="1"/>
    <x v="4"/>
    <s v="TRK97794327"/>
    <n v="4"/>
  </r>
  <r>
    <s v="ORD200243"/>
    <d v="2025-05-09T00:00:00"/>
    <s v="C54725"/>
    <x v="3"/>
    <n v="2"/>
    <n v="144.66"/>
    <s v="506 Main St"/>
    <x v="1"/>
    <x v="1"/>
    <s v="TRK30601940"/>
    <n v="7"/>
  </r>
  <r>
    <s v="ORD200244"/>
    <d v="2023-02-16T00:00:00"/>
    <s v="C98096"/>
    <x v="6"/>
    <n v="2"/>
    <n v="317.77"/>
    <s v="838 Main St"/>
    <x v="0"/>
    <x v="1"/>
    <s v="TRK51518631"/>
    <n v="4"/>
  </r>
  <r>
    <s v="ORD200245"/>
    <d v="2025-04-20T00:00:00"/>
    <s v="C12667"/>
    <x v="5"/>
    <n v="1"/>
    <n v="223.3"/>
    <s v="306 Main St"/>
    <x v="1"/>
    <x v="2"/>
    <s v="TRK25390491"/>
    <n v="1"/>
  </r>
  <r>
    <s v="ORD200246"/>
    <d v="2024-08-30T00:00:00"/>
    <s v="C55354"/>
    <x v="6"/>
    <n v="2"/>
    <n v="342.11"/>
    <s v="164 Main St"/>
    <x v="3"/>
    <x v="0"/>
    <s v="TRK15439493"/>
    <n v="2"/>
  </r>
  <r>
    <s v="ORD200247"/>
    <d v="2023-07-20T00:00:00"/>
    <s v="C14600"/>
    <x v="4"/>
    <n v="2"/>
    <n v="220.9"/>
    <s v="785 Main St"/>
    <x v="3"/>
    <x v="0"/>
    <s v="TRK84984764"/>
    <n v="4"/>
  </r>
  <r>
    <s v="ORD200248"/>
    <d v="2023-07-02T00:00:00"/>
    <s v="C97187"/>
    <x v="5"/>
    <n v="1"/>
    <n v="670.54"/>
    <s v="471 Main St"/>
    <x v="4"/>
    <x v="0"/>
    <s v="TRK62283713"/>
    <n v="6"/>
  </r>
  <r>
    <s v="ORD200249"/>
    <d v="2024-02-07T00:00:00"/>
    <s v="C39106"/>
    <x v="4"/>
    <n v="1"/>
    <n v="546.19000000000005"/>
    <s v="245 Main St"/>
    <x v="4"/>
    <x v="4"/>
    <s v="TRK35464433"/>
    <n v="5"/>
  </r>
  <r>
    <s v="ORD200250"/>
    <d v="2023-04-05T00:00:00"/>
    <s v="C93379"/>
    <x v="6"/>
    <n v="3"/>
    <n v="42.95"/>
    <s v="318 Main St"/>
    <x v="3"/>
    <x v="2"/>
    <s v="TRK67954150"/>
    <n v="8"/>
  </r>
  <r>
    <s v="ORD200251"/>
    <d v="2025-05-15T00:00:00"/>
    <s v="C93175"/>
    <x v="0"/>
    <n v="4"/>
    <n v="14.69"/>
    <s v="814 Main St"/>
    <x v="4"/>
    <x v="1"/>
    <s v="TRK32995144"/>
    <n v="9"/>
  </r>
  <r>
    <s v="ORD200252"/>
    <d v="2024-09-20T00:00:00"/>
    <s v="C19648"/>
    <x v="1"/>
    <n v="4"/>
    <n v="668.36"/>
    <s v="821 Main St"/>
    <x v="3"/>
    <x v="1"/>
    <s v="TRK51297879"/>
    <n v="5"/>
  </r>
  <r>
    <s v="ORD200253"/>
    <d v="2024-03-23T00:00:00"/>
    <s v="C14891"/>
    <x v="3"/>
    <n v="4"/>
    <n v="413.74"/>
    <s v="743 Main St"/>
    <x v="3"/>
    <x v="2"/>
    <s v="TRK79471534"/>
    <n v="7"/>
  </r>
  <r>
    <s v="ORD200254"/>
    <d v="2023-12-26T00:00:00"/>
    <s v="C10866"/>
    <x v="0"/>
    <n v="3"/>
    <n v="263.19"/>
    <s v="770 Main St"/>
    <x v="1"/>
    <x v="3"/>
    <s v="TRK34809583"/>
    <n v="5"/>
  </r>
  <r>
    <s v="ORD200255"/>
    <d v="2024-05-13T00:00:00"/>
    <s v="C47283"/>
    <x v="0"/>
    <n v="1"/>
    <n v="263.95999999999998"/>
    <s v="806 Main St"/>
    <x v="3"/>
    <x v="2"/>
    <s v="TRK56235117"/>
    <n v="2"/>
  </r>
  <r>
    <s v="ORD200256"/>
    <d v="2025-06-30T00:00:00"/>
    <s v="C94323"/>
    <x v="3"/>
    <n v="5"/>
    <n v="75.81"/>
    <s v="463 Main St"/>
    <x v="3"/>
    <x v="2"/>
    <s v="TRK22663277"/>
    <n v="10"/>
  </r>
  <r>
    <s v="ORD200257"/>
    <d v="2024-04-23T00:00:00"/>
    <s v="C89732"/>
    <x v="1"/>
    <n v="1"/>
    <n v="406.22"/>
    <s v="712 Main St"/>
    <x v="2"/>
    <x v="1"/>
    <s v="TRK41059233"/>
    <n v="5"/>
  </r>
  <r>
    <s v="ORD200258"/>
    <d v="2024-02-26T00:00:00"/>
    <s v="C87764"/>
    <x v="2"/>
    <n v="2"/>
    <n v="103.41"/>
    <s v="294 Main St"/>
    <x v="1"/>
    <x v="0"/>
    <s v="TRK94082469"/>
    <n v="2"/>
  </r>
  <r>
    <s v="ORD200259"/>
    <d v="2023-06-11T00:00:00"/>
    <s v="C20977"/>
    <x v="3"/>
    <n v="4"/>
    <n v="435.12"/>
    <s v="636 Main St"/>
    <x v="2"/>
    <x v="3"/>
    <s v="TRK54991561"/>
    <n v="9"/>
  </r>
  <r>
    <s v="ORD200260"/>
    <d v="2023-05-17T00:00:00"/>
    <s v="C12245"/>
    <x v="0"/>
    <n v="2"/>
    <n v="407.79"/>
    <s v="153 Main St"/>
    <x v="0"/>
    <x v="0"/>
    <s v="TRK22000463"/>
    <n v="3"/>
  </r>
  <r>
    <s v="ORD200261"/>
    <d v="2025-05-28T00:00:00"/>
    <s v="C68976"/>
    <x v="1"/>
    <n v="5"/>
    <n v="173.65"/>
    <s v="460 Main St"/>
    <x v="3"/>
    <x v="3"/>
    <s v="TRK25491356"/>
    <n v="9"/>
  </r>
  <r>
    <s v="ORD200262"/>
    <d v="2023-01-10T00:00:00"/>
    <s v="C69476"/>
    <x v="1"/>
    <n v="4"/>
    <n v="249.07"/>
    <s v="642 Main St"/>
    <x v="2"/>
    <x v="2"/>
    <s v="TRK65869386"/>
    <n v="5"/>
  </r>
  <r>
    <s v="ORD200263"/>
    <d v="2023-03-25T00:00:00"/>
    <s v="C71040"/>
    <x v="1"/>
    <n v="4"/>
    <n v="434.85"/>
    <s v="250 Main St"/>
    <x v="2"/>
    <x v="4"/>
    <s v="TRK41397604"/>
    <n v="4"/>
  </r>
  <r>
    <s v="ORD200264"/>
    <d v="2024-08-03T00:00:00"/>
    <s v="C71035"/>
    <x v="2"/>
    <n v="1"/>
    <n v="436.77"/>
    <s v="977 Main St"/>
    <x v="4"/>
    <x v="2"/>
    <s v="TRK19599578"/>
    <n v="5"/>
  </r>
  <r>
    <s v="ORD200265"/>
    <d v="2023-12-22T00:00:00"/>
    <s v="C20752"/>
    <x v="4"/>
    <n v="1"/>
    <n v="572.13"/>
    <s v="150 Main St"/>
    <x v="0"/>
    <x v="1"/>
    <s v="TRK22298450"/>
    <n v="4"/>
  </r>
  <r>
    <s v="ORD200266"/>
    <d v="2024-06-08T00:00:00"/>
    <s v="C38840"/>
    <x v="3"/>
    <n v="4"/>
    <n v="583.07000000000005"/>
    <s v="589 Main St"/>
    <x v="2"/>
    <x v="1"/>
    <s v="TRK48484633"/>
    <n v="6"/>
  </r>
  <r>
    <s v="ORD200267"/>
    <d v="2025-04-17T00:00:00"/>
    <s v="C84480"/>
    <x v="3"/>
    <n v="5"/>
    <n v="468.51"/>
    <s v="803 Main St"/>
    <x v="0"/>
    <x v="3"/>
    <s v="TRK62361867"/>
    <n v="9"/>
  </r>
  <r>
    <s v="ORD200268"/>
    <d v="2023-08-11T00:00:00"/>
    <s v="C37032"/>
    <x v="1"/>
    <n v="2"/>
    <n v="423.88"/>
    <s v="655 Main St"/>
    <x v="0"/>
    <x v="3"/>
    <s v="TRK48639226"/>
    <n v="7"/>
  </r>
  <r>
    <s v="ORD200269"/>
    <d v="2023-11-25T00:00:00"/>
    <s v="C48942"/>
    <x v="2"/>
    <n v="4"/>
    <n v="663.67"/>
    <s v="129 Main St"/>
    <x v="2"/>
    <x v="4"/>
    <s v="TRK29355120"/>
    <n v="7"/>
  </r>
  <r>
    <s v="ORD200270"/>
    <d v="2023-06-04T00:00:00"/>
    <s v="C13540"/>
    <x v="4"/>
    <n v="4"/>
    <n v="309.91000000000003"/>
    <s v="127 Main St"/>
    <x v="0"/>
    <x v="0"/>
    <s v="TRK81087373"/>
    <n v="5"/>
  </r>
  <r>
    <s v="ORD200271"/>
    <d v="2023-03-28T00:00:00"/>
    <s v="C59572"/>
    <x v="0"/>
    <n v="1"/>
    <n v="542.07000000000005"/>
    <s v="791 Main St"/>
    <x v="4"/>
    <x v="0"/>
    <s v="TRK16792991"/>
    <n v="6"/>
  </r>
  <r>
    <s v="ORD200272"/>
    <d v="2023-09-19T00:00:00"/>
    <s v="C29758"/>
    <x v="3"/>
    <n v="2"/>
    <n v="399.32"/>
    <s v="119 Main St"/>
    <x v="1"/>
    <x v="4"/>
    <s v="TRK12990043"/>
    <n v="6"/>
  </r>
  <r>
    <s v="ORD200273"/>
    <d v="2024-10-27T00:00:00"/>
    <s v="C11849"/>
    <x v="2"/>
    <n v="2"/>
    <n v="238.25"/>
    <s v="974 Main St"/>
    <x v="1"/>
    <x v="1"/>
    <s v="TRK91195261"/>
    <n v="7"/>
  </r>
  <r>
    <s v="ORD200274"/>
    <d v="2023-02-04T00:00:00"/>
    <s v="C50967"/>
    <x v="1"/>
    <n v="2"/>
    <n v="182.4"/>
    <s v="884 Main St"/>
    <x v="3"/>
    <x v="1"/>
    <s v="TRK65300814"/>
    <n v="5"/>
  </r>
  <r>
    <s v="ORD200275"/>
    <d v="2023-11-04T00:00:00"/>
    <s v="C80735"/>
    <x v="3"/>
    <n v="2"/>
    <n v="65.069999999999993"/>
    <s v="360 Main St"/>
    <x v="2"/>
    <x v="1"/>
    <s v="TRK99880231"/>
    <n v="4"/>
  </r>
  <r>
    <s v="ORD200276"/>
    <d v="2025-03-29T00:00:00"/>
    <s v="C99050"/>
    <x v="4"/>
    <n v="2"/>
    <n v="600.57000000000005"/>
    <s v="654 Main St"/>
    <x v="0"/>
    <x v="2"/>
    <s v="TRK56927089"/>
    <n v="3"/>
  </r>
  <r>
    <s v="ORD200277"/>
    <d v="2024-09-09T00:00:00"/>
    <s v="C11210"/>
    <x v="3"/>
    <n v="5"/>
    <n v="90.92"/>
    <s v="910 Main St"/>
    <x v="2"/>
    <x v="3"/>
    <s v="TRK44929965"/>
    <n v="9"/>
  </r>
  <r>
    <s v="ORD200278"/>
    <d v="2024-11-18T00:00:00"/>
    <s v="C46015"/>
    <x v="5"/>
    <n v="5"/>
    <n v="362.46"/>
    <s v="299 Main St"/>
    <x v="4"/>
    <x v="3"/>
    <s v="TRK46598430"/>
    <n v="6"/>
  </r>
  <r>
    <s v="ORD200279"/>
    <d v="2023-10-20T00:00:00"/>
    <s v="C69167"/>
    <x v="3"/>
    <n v="3"/>
    <n v="55.01"/>
    <s v="263 Main St"/>
    <x v="1"/>
    <x v="4"/>
    <s v="TRK12425655"/>
    <n v="7"/>
  </r>
  <r>
    <s v="ORD200280"/>
    <d v="2023-03-27T00:00:00"/>
    <s v="C55388"/>
    <x v="2"/>
    <n v="3"/>
    <n v="404.62"/>
    <s v="740 Main St"/>
    <x v="3"/>
    <x v="3"/>
    <s v="TRK75741001"/>
    <n v="6"/>
  </r>
  <r>
    <s v="ORD200281"/>
    <d v="2023-07-27T00:00:00"/>
    <s v="C87181"/>
    <x v="6"/>
    <n v="4"/>
    <n v="654.79"/>
    <s v="195 Main St"/>
    <x v="4"/>
    <x v="4"/>
    <s v="TRK60093390"/>
    <n v="9"/>
  </r>
  <r>
    <s v="ORD200282"/>
    <d v="2025-04-22T00:00:00"/>
    <s v="C30411"/>
    <x v="4"/>
    <n v="4"/>
    <n v="637.79"/>
    <s v="375 Main St"/>
    <x v="3"/>
    <x v="1"/>
    <s v="TRK71810536"/>
    <n v="9"/>
  </r>
  <r>
    <s v="ORD200283"/>
    <d v="2025-02-28T00:00:00"/>
    <s v="C39638"/>
    <x v="5"/>
    <n v="4"/>
    <n v="540.33000000000004"/>
    <s v="990 Main St"/>
    <x v="4"/>
    <x v="0"/>
    <s v="TRK69745608"/>
    <n v="6"/>
  </r>
  <r>
    <s v="ORD200284"/>
    <d v="2023-02-16T00:00:00"/>
    <s v="C27203"/>
    <x v="5"/>
    <n v="5"/>
    <n v="208.17"/>
    <s v="516 Main St"/>
    <x v="2"/>
    <x v="2"/>
    <s v="TRK22023906"/>
    <n v="6"/>
  </r>
  <r>
    <s v="ORD200285"/>
    <d v="2025-06-10T00:00:00"/>
    <s v="C67583"/>
    <x v="1"/>
    <n v="1"/>
    <n v="338.31"/>
    <s v="974 Main St"/>
    <x v="1"/>
    <x v="3"/>
    <s v="TRK93281700"/>
    <n v="3"/>
  </r>
  <r>
    <s v="ORD200286"/>
    <d v="2025-04-07T00:00:00"/>
    <s v="C70554"/>
    <x v="0"/>
    <n v="3"/>
    <n v="139.44999999999999"/>
    <s v="187 Main St"/>
    <x v="3"/>
    <x v="2"/>
    <s v="TRK61086952"/>
    <n v="8"/>
  </r>
  <r>
    <s v="ORD200287"/>
    <d v="2023-11-24T00:00:00"/>
    <s v="C70437"/>
    <x v="3"/>
    <n v="4"/>
    <n v="655.17999999999995"/>
    <s v="630 Main St"/>
    <x v="1"/>
    <x v="0"/>
    <s v="TRK26628830"/>
    <n v="5"/>
  </r>
  <r>
    <s v="ORD200288"/>
    <d v="2023-03-12T00:00:00"/>
    <s v="C97643"/>
    <x v="5"/>
    <n v="4"/>
    <n v="512.75"/>
    <s v="537 Main St"/>
    <x v="0"/>
    <x v="2"/>
    <s v="TRK60831391"/>
    <n v="8"/>
  </r>
  <r>
    <s v="ORD200289"/>
    <d v="2023-07-26T00:00:00"/>
    <s v="C17136"/>
    <x v="3"/>
    <n v="4"/>
    <n v="160.49"/>
    <s v="333 Main St"/>
    <x v="2"/>
    <x v="0"/>
    <s v="TRK55362541"/>
    <n v="8"/>
  </r>
  <r>
    <s v="ORD200290"/>
    <d v="2023-05-05T00:00:00"/>
    <s v="C24901"/>
    <x v="3"/>
    <n v="3"/>
    <n v="99.9"/>
    <s v="258 Main St"/>
    <x v="4"/>
    <x v="3"/>
    <s v="TRK14029489"/>
    <n v="8"/>
  </r>
  <r>
    <s v="ORD200291"/>
    <d v="2024-05-12T00:00:00"/>
    <s v="C61521"/>
    <x v="1"/>
    <n v="2"/>
    <n v="345.01"/>
    <s v="670 Main St"/>
    <x v="2"/>
    <x v="3"/>
    <s v="TRK93676567"/>
    <n v="6"/>
  </r>
  <r>
    <s v="ORD200292"/>
    <d v="2025-01-15T00:00:00"/>
    <s v="C39639"/>
    <x v="0"/>
    <n v="1"/>
    <n v="65.95"/>
    <s v="185 Main St"/>
    <x v="2"/>
    <x v="3"/>
    <s v="TRK31042152"/>
    <n v="5"/>
  </r>
  <r>
    <s v="ORD200293"/>
    <d v="2023-02-16T00:00:00"/>
    <s v="C33220"/>
    <x v="2"/>
    <n v="4"/>
    <n v="463.04"/>
    <s v="564 Main St"/>
    <x v="3"/>
    <x v="2"/>
    <s v="TRK40450219"/>
    <n v="9"/>
  </r>
  <r>
    <s v="ORD200294"/>
    <d v="2025-04-01T00:00:00"/>
    <s v="C65414"/>
    <x v="1"/>
    <n v="2"/>
    <n v="297.70999999999998"/>
    <s v="208 Main St"/>
    <x v="1"/>
    <x v="0"/>
    <s v="TRK67562517"/>
    <n v="7"/>
  </r>
  <r>
    <s v="ORD200295"/>
    <d v="2023-01-25T00:00:00"/>
    <s v="C49009"/>
    <x v="4"/>
    <n v="5"/>
    <n v="107.48"/>
    <s v="278 Main St"/>
    <x v="0"/>
    <x v="1"/>
    <s v="TRK46285799"/>
    <n v="9"/>
  </r>
  <r>
    <s v="ORD200296"/>
    <d v="2024-06-19T00:00:00"/>
    <s v="C48453"/>
    <x v="6"/>
    <n v="5"/>
    <n v="638.79999999999995"/>
    <s v="434 Main St"/>
    <x v="0"/>
    <x v="1"/>
    <s v="TRK52110494"/>
    <n v="10"/>
  </r>
  <r>
    <s v="ORD200297"/>
    <d v="2023-02-22T00:00:00"/>
    <s v="C68078"/>
    <x v="6"/>
    <n v="2"/>
    <n v="493.88"/>
    <s v="252 Main St"/>
    <x v="2"/>
    <x v="2"/>
    <s v="TRK64862812"/>
    <n v="7"/>
  </r>
  <r>
    <s v="ORD200298"/>
    <d v="2023-12-19T00:00:00"/>
    <s v="C19402"/>
    <x v="4"/>
    <n v="4"/>
    <n v="301.17"/>
    <s v="267 Main St"/>
    <x v="1"/>
    <x v="1"/>
    <s v="TRK97825212"/>
    <n v="6"/>
  </r>
  <r>
    <s v="ORD200299"/>
    <d v="2024-01-20T00:00:00"/>
    <s v="C30711"/>
    <x v="0"/>
    <n v="1"/>
    <n v="278.66000000000003"/>
    <s v="856 Main St"/>
    <x v="3"/>
    <x v="1"/>
    <s v="TRK42696593"/>
    <n v="2"/>
  </r>
  <r>
    <s v="ORD200300"/>
    <d v="2024-09-02T00:00:00"/>
    <s v="C39000"/>
    <x v="1"/>
    <n v="1"/>
    <n v="287.45999999999998"/>
    <s v="894 Main St"/>
    <x v="0"/>
    <x v="2"/>
    <s v="TRK33753945"/>
    <n v="3"/>
  </r>
  <r>
    <s v="ORD200301"/>
    <d v="2023-05-11T00:00:00"/>
    <s v="C31105"/>
    <x v="3"/>
    <n v="1"/>
    <n v="583.99"/>
    <s v="726 Main St"/>
    <x v="4"/>
    <x v="1"/>
    <s v="TRK40149095"/>
    <n v="2"/>
  </r>
  <r>
    <s v="ORD200302"/>
    <d v="2023-05-16T00:00:00"/>
    <s v="C29432"/>
    <x v="3"/>
    <n v="3"/>
    <n v="468.74"/>
    <s v="121 Main St"/>
    <x v="4"/>
    <x v="4"/>
    <s v="TRK44142517"/>
    <n v="4"/>
  </r>
  <r>
    <s v="ORD200303"/>
    <d v="2024-12-07T00:00:00"/>
    <s v="C48531"/>
    <x v="2"/>
    <n v="1"/>
    <n v="30.54"/>
    <s v="368 Main St"/>
    <x v="0"/>
    <x v="2"/>
    <s v="TRK95462192"/>
    <n v="1"/>
  </r>
  <r>
    <s v="ORD200304"/>
    <d v="2024-10-18T00:00:00"/>
    <s v="C86762"/>
    <x v="0"/>
    <n v="5"/>
    <n v="408.73"/>
    <s v="326 Main St"/>
    <x v="3"/>
    <x v="3"/>
    <s v="TRK75686292"/>
    <n v="10"/>
  </r>
  <r>
    <s v="ORD200305"/>
    <d v="2023-11-25T00:00:00"/>
    <s v="C63822"/>
    <x v="5"/>
    <n v="4"/>
    <n v="126.89"/>
    <s v="235 Main St"/>
    <x v="4"/>
    <x v="4"/>
    <s v="TRK59353216"/>
    <n v="9"/>
  </r>
  <r>
    <s v="ORD200306"/>
    <d v="2024-06-07T00:00:00"/>
    <s v="C70495"/>
    <x v="4"/>
    <n v="2"/>
    <n v="57.07"/>
    <s v="238 Main St"/>
    <x v="0"/>
    <x v="2"/>
    <s v="TRK65511225"/>
    <n v="3"/>
  </r>
  <r>
    <s v="ORD200307"/>
    <d v="2023-07-01T00:00:00"/>
    <s v="C92407"/>
    <x v="5"/>
    <n v="3"/>
    <n v="557.41"/>
    <s v="135 Main St"/>
    <x v="1"/>
    <x v="3"/>
    <s v="TRK11755610"/>
    <n v="4"/>
  </r>
  <r>
    <s v="ORD200308"/>
    <d v="2023-12-11T00:00:00"/>
    <s v="C75888"/>
    <x v="4"/>
    <n v="3"/>
    <n v="448.9"/>
    <s v="790 Main St"/>
    <x v="0"/>
    <x v="2"/>
    <s v="TRK98467398"/>
    <n v="7"/>
  </r>
  <r>
    <s v="ORD200309"/>
    <d v="2023-10-03T00:00:00"/>
    <s v="C63153"/>
    <x v="3"/>
    <n v="4"/>
    <n v="549.76"/>
    <s v="625 Main St"/>
    <x v="0"/>
    <x v="3"/>
    <s v="TRK38033305"/>
    <n v="4"/>
  </r>
  <r>
    <s v="ORD200310"/>
    <d v="2024-02-24T00:00:00"/>
    <s v="C85863"/>
    <x v="4"/>
    <n v="3"/>
    <n v="132.47999999999999"/>
    <s v="968 Main St"/>
    <x v="1"/>
    <x v="0"/>
    <s v="TRK16094218"/>
    <n v="4"/>
  </r>
  <r>
    <s v="ORD200311"/>
    <d v="2025-05-17T00:00:00"/>
    <s v="C71698"/>
    <x v="6"/>
    <n v="5"/>
    <n v="489.37"/>
    <s v="274 Main St"/>
    <x v="1"/>
    <x v="2"/>
    <s v="TRK34786818"/>
    <n v="8"/>
  </r>
  <r>
    <s v="ORD200312"/>
    <d v="2025-05-24T00:00:00"/>
    <s v="C35397"/>
    <x v="4"/>
    <n v="5"/>
    <n v="66.31"/>
    <s v="579 Main St"/>
    <x v="3"/>
    <x v="4"/>
    <s v="TRK64742535"/>
    <n v="7"/>
  </r>
  <r>
    <s v="ORD200313"/>
    <d v="2023-07-09T00:00:00"/>
    <s v="C67687"/>
    <x v="3"/>
    <n v="2"/>
    <n v="434.3"/>
    <s v="978 Main St"/>
    <x v="4"/>
    <x v="3"/>
    <s v="TRK22838735"/>
    <n v="7"/>
  </r>
  <r>
    <s v="ORD200314"/>
    <d v="2023-10-04T00:00:00"/>
    <s v="C29931"/>
    <x v="6"/>
    <n v="4"/>
    <n v="153.09"/>
    <s v="540 Main St"/>
    <x v="1"/>
    <x v="3"/>
    <s v="TRK48712417"/>
    <n v="4"/>
  </r>
  <r>
    <s v="ORD200315"/>
    <d v="2025-05-12T00:00:00"/>
    <s v="C59139"/>
    <x v="2"/>
    <n v="5"/>
    <n v="91.67"/>
    <s v="301 Main St"/>
    <x v="1"/>
    <x v="1"/>
    <s v="TRK45507090"/>
    <n v="9"/>
  </r>
  <r>
    <s v="ORD200316"/>
    <d v="2023-10-02T00:00:00"/>
    <s v="C66078"/>
    <x v="6"/>
    <n v="4"/>
    <n v="275.27999999999997"/>
    <s v="101 Main St"/>
    <x v="3"/>
    <x v="0"/>
    <s v="TRK86474559"/>
    <n v="9"/>
  </r>
  <r>
    <s v="ORD200317"/>
    <d v="2023-04-10T00:00:00"/>
    <s v="C88370"/>
    <x v="0"/>
    <n v="2"/>
    <n v="139.94999999999999"/>
    <s v="339 Main St"/>
    <x v="1"/>
    <x v="2"/>
    <s v="TRK22575151"/>
    <n v="5"/>
  </r>
  <r>
    <s v="ORD200318"/>
    <d v="2024-07-27T00:00:00"/>
    <s v="C93375"/>
    <x v="3"/>
    <n v="3"/>
    <n v="148.72"/>
    <s v="317 Main St"/>
    <x v="0"/>
    <x v="1"/>
    <s v="TRK95706967"/>
    <n v="7"/>
  </r>
  <r>
    <s v="ORD200319"/>
    <d v="2023-12-02T00:00:00"/>
    <s v="C53049"/>
    <x v="5"/>
    <n v="2"/>
    <n v="563.05999999999995"/>
    <s v="413 Main St"/>
    <x v="4"/>
    <x v="2"/>
    <s v="TRK48974907"/>
    <n v="6"/>
  </r>
  <r>
    <s v="ORD200320"/>
    <d v="2024-12-19T00:00:00"/>
    <s v="C55590"/>
    <x v="4"/>
    <n v="1"/>
    <n v="625.51"/>
    <s v="772 Main St"/>
    <x v="2"/>
    <x v="0"/>
    <s v="TRK48792951"/>
    <n v="1"/>
  </r>
  <r>
    <s v="ORD200321"/>
    <d v="2023-08-09T00:00:00"/>
    <s v="C47086"/>
    <x v="1"/>
    <n v="4"/>
    <n v="152.29"/>
    <s v="135 Main St"/>
    <x v="0"/>
    <x v="1"/>
    <s v="TRK44194358"/>
    <n v="6"/>
  </r>
  <r>
    <s v="ORD200322"/>
    <d v="2024-06-14T00:00:00"/>
    <s v="C48646"/>
    <x v="1"/>
    <n v="5"/>
    <n v="231.82"/>
    <s v="339 Main St"/>
    <x v="0"/>
    <x v="3"/>
    <s v="TRK18233748"/>
    <n v="6"/>
  </r>
  <r>
    <s v="ORD200323"/>
    <d v="2025-01-26T00:00:00"/>
    <s v="C29416"/>
    <x v="5"/>
    <n v="1"/>
    <n v="150.16999999999999"/>
    <s v="414 Main St"/>
    <x v="0"/>
    <x v="2"/>
    <s v="TRK63820842"/>
    <n v="1"/>
  </r>
  <r>
    <s v="ORD200324"/>
    <d v="2024-06-13T00:00:00"/>
    <s v="C13525"/>
    <x v="2"/>
    <n v="3"/>
    <n v="70.930000000000007"/>
    <s v="847 Main St"/>
    <x v="0"/>
    <x v="2"/>
    <s v="TRK70193221"/>
    <n v="5"/>
  </r>
  <r>
    <s v="ORD200325"/>
    <d v="2023-06-29T00:00:00"/>
    <s v="C53545"/>
    <x v="6"/>
    <n v="3"/>
    <n v="361.39"/>
    <s v="665 Main St"/>
    <x v="2"/>
    <x v="0"/>
    <s v="TRK61123177"/>
    <n v="8"/>
  </r>
  <r>
    <s v="ORD200326"/>
    <d v="2024-07-01T00:00:00"/>
    <s v="C65986"/>
    <x v="5"/>
    <n v="5"/>
    <n v="670.48"/>
    <s v="273 Main St"/>
    <x v="3"/>
    <x v="2"/>
    <s v="TRK98353867"/>
    <n v="5"/>
  </r>
  <r>
    <s v="ORD200327"/>
    <d v="2023-07-25T00:00:00"/>
    <s v="C17302"/>
    <x v="1"/>
    <n v="1"/>
    <n v="359.99"/>
    <s v="385 Main St"/>
    <x v="3"/>
    <x v="1"/>
    <s v="TRK43940016"/>
    <n v="5"/>
  </r>
  <r>
    <s v="ORD200328"/>
    <d v="2023-02-28T00:00:00"/>
    <s v="C18404"/>
    <x v="2"/>
    <n v="5"/>
    <n v="674.04"/>
    <s v="546 Main St"/>
    <x v="1"/>
    <x v="1"/>
    <s v="TRK89401624"/>
    <n v="7"/>
  </r>
  <r>
    <s v="ORD200329"/>
    <d v="2024-12-25T00:00:00"/>
    <s v="C88371"/>
    <x v="3"/>
    <n v="4"/>
    <n v="283.16000000000003"/>
    <s v="306 Main St"/>
    <x v="2"/>
    <x v="0"/>
    <s v="TRK63224811"/>
    <n v="6"/>
  </r>
  <r>
    <s v="ORD200330"/>
    <d v="2024-06-02T00:00:00"/>
    <s v="C38068"/>
    <x v="6"/>
    <n v="5"/>
    <n v="260.52999999999997"/>
    <s v="532 Main St"/>
    <x v="3"/>
    <x v="4"/>
    <s v="TRK54059198"/>
    <n v="5"/>
  </r>
  <r>
    <s v="ORD200331"/>
    <d v="2023-04-15T00:00:00"/>
    <s v="C78724"/>
    <x v="4"/>
    <n v="3"/>
    <n v="422.13"/>
    <s v="187 Main St"/>
    <x v="1"/>
    <x v="3"/>
    <s v="TRK25703134"/>
    <n v="7"/>
  </r>
  <r>
    <s v="ORD200332"/>
    <d v="2024-07-03T00:00:00"/>
    <s v="C26163"/>
    <x v="6"/>
    <n v="5"/>
    <n v="125.02"/>
    <s v="607 Main St"/>
    <x v="0"/>
    <x v="4"/>
    <s v="TRK67499316"/>
    <n v="9"/>
  </r>
  <r>
    <s v="ORD200333"/>
    <d v="2024-04-16T00:00:00"/>
    <s v="C87124"/>
    <x v="1"/>
    <n v="1"/>
    <n v="198.51"/>
    <s v="818 Main St"/>
    <x v="2"/>
    <x v="2"/>
    <s v="TRK52086740"/>
    <n v="5"/>
  </r>
  <r>
    <s v="ORD200334"/>
    <d v="2024-03-26T00:00:00"/>
    <s v="C90348"/>
    <x v="3"/>
    <n v="4"/>
    <n v="224.75"/>
    <s v="728 Main St"/>
    <x v="1"/>
    <x v="3"/>
    <s v="TRK20635777"/>
    <n v="7"/>
  </r>
  <r>
    <s v="ORD200335"/>
    <d v="2025-03-03T00:00:00"/>
    <s v="C58721"/>
    <x v="2"/>
    <n v="3"/>
    <n v="205.86"/>
    <s v="978 Main St"/>
    <x v="3"/>
    <x v="0"/>
    <s v="TRK34801199"/>
    <n v="4"/>
  </r>
  <r>
    <s v="ORD200336"/>
    <d v="2023-12-29T00:00:00"/>
    <s v="C88174"/>
    <x v="5"/>
    <n v="1"/>
    <n v="18.2"/>
    <s v="441 Main St"/>
    <x v="0"/>
    <x v="4"/>
    <s v="TRK10143345"/>
    <n v="4"/>
  </r>
  <r>
    <s v="ORD200337"/>
    <d v="2023-05-29T00:00:00"/>
    <s v="C77763"/>
    <x v="2"/>
    <n v="3"/>
    <n v="502.77"/>
    <s v="599 Main St"/>
    <x v="0"/>
    <x v="2"/>
    <s v="TRK66980447"/>
    <n v="8"/>
  </r>
  <r>
    <s v="ORD200338"/>
    <d v="2023-11-08T00:00:00"/>
    <s v="C53627"/>
    <x v="1"/>
    <n v="5"/>
    <n v="305.49"/>
    <s v="704 Main St"/>
    <x v="0"/>
    <x v="0"/>
    <s v="TRK64112352"/>
    <n v="10"/>
  </r>
  <r>
    <s v="ORD200339"/>
    <d v="2024-04-10T00:00:00"/>
    <s v="C84563"/>
    <x v="4"/>
    <n v="2"/>
    <n v="236.33"/>
    <s v="398 Main St"/>
    <x v="1"/>
    <x v="4"/>
    <s v="TRK62422797"/>
    <n v="3"/>
  </r>
  <r>
    <s v="ORD200340"/>
    <d v="2023-04-23T00:00:00"/>
    <s v="C76207"/>
    <x v="5"/>
    <n v="5"/>
    <n v="521.25"/>
    <s v="826 Main St"/>
    <x v="4"/>
    <x v="1"/>
    <s v="TRK25569378"/>
    <n v="8"/>
  </r>
  <r>
    <s v="ORD200341"/>
    <d v="2024-09-23T00:00:00"/>
    <s v="C94671"/>
    <x v="2"/>
    <n v="1"/>
    <n v="167.15"/>
    <s v="293 Main St"/>
    <x v="3"/>
    <x v="0"/>
    <s v="TRK61357272"/>
    <n v="5"/>
  </r>
  <r>
    <s v="ORD200342"/>
    <d v="2025-06-24T00:00:00"/>
    <s v="C69994"/>
    <x v="0"/>
    <n v="5"/>
    <n v="466.42"/>
    <s v="619 Main St"/>
    <x v="3"/>
    <x v="2"/>
    <s v="TRK95935805"/>
    <n v="5"/>
  </r>
  <r>
    <s v="ORD200343"/>
    <d v="2023-02-26T00:00:00"/>
    <s v="C64638"/>
    <x v="4"/>
    <n v="1"/>
    <n v="527.57000000000005"/>
    <s v="919 Main St"/>
    <x v="0"/>
    <x v="4"/>
    <s v="TRK64087938"/>
    <n v="3"/>
  </r>
  <r>
    <s v="ORD200344"/>
    <d v="2025-03-06T00:00:00"/>
    <s v="C95623"/>
    <x v="2"/>
    <n v="3"/>
    <n v="623.34"/>
    <s v="248 Main St"/>
    <x v="1"/>
    <x v="1"/>
    <s v="TRK67558189"/>
    <n v="3"/>
  </r>
  <r>
    <s v="ORD200345"/>
    <d v="2023-12-07T00:00:00"/>
    <s v="C24751"/>
    <x v="2"/>
    <n v="5"/>
    <n v="501.26"/>
    <s v="259 Main St"/>
    <x v="3"/>
    <x v="0"/>
    <s v="TRK37285406"/>
    <n v="10"/>
  </r>
  <r>
    <s v="ORD200346"/>
    <d v="2024-12-06T00:00:00"/>
    <s v="C31764"/>
    <x v="2"/>
    <n v="1"/>
    <n v="655.09"/>
    <s v="876 Main St"/>
    <x v="4"/>
    <x v="4"/>
    <s v="TRK44680433"/>
    <n v="6"/>
  </r>
  <r>
    <s v="ORD200347"/>
    <d v="2024-02-03T00:00:00"/>
    <s v="C83556"/>
    <x v="4"/>
    <n v="4"/>
    <n v="264.79000000000002"/>
    <s v="380 Main St"/>
    <x v="2"/>
    <x v="4"/>
    <s v="TRK21109187"/>
    <n v="5"/>
  </r>
  <r>
    <s v="ORD200348"/>
    <d v="2024-03-13T00:00:00"/>
    <s v="C24369"/>
    <x v="5"/>
    <n v="3"/>
    <n v="359.73"/>
    <s v="885 Main St"/>
    <x v="0"/>
    <x v="2"/>
    <s v="TRK72633998"/>
    <n v="7"/>
  </r>
  <r>
    <s v="ORD200349"/>
    <d v="2023-11-30T00:00:00"/>
    <s v="C39648"/>
    <x v="3"/>
    <n v="1"/>
    <n v="465.33"/>
    <s v="824 Main St"/>
    <x v="3"/>
    <x v="3"/>
    <s v="TRK56016905"/>
    <n v="2"/>
  </r>
  <r>
    <s v="ORD200350"/>
    <d v="2023-06-03T00:00:00"/>
    <s v="C13296"/>
    <x v="3"/>
    <n v="2"/>
    <n v="54.41"/>
    <s v="495 Main St"/>
    <x v="1"/>
    <x v="0"/>
    <s v="TRK60127216"/>
    <n v="6"/>
  </r>
  <r>
    <s v="ORD200351"/>
    <d v="2025-02-15T00:00:00"/>
    <s v="C94248"/>
    <x v="5"/>
    <n v="1"/>
    <n v="64.66"/>
    <s v="494 Main St"/>
    <x v="0"/>
    <x v="3"/>
    <s v="TRK89406816"/>
    <n v="4"/>
  </r>
  <r>
    <s v="ORD200352"/>
    <d v="2023-08-31T00:00:00"/>
    <s v="C26637"/>
    <x v="3"/>
    <n v="5"/>
    <n v="173.96"/>
    <s v="995 Main St"/>
    <x v="0"/>
    <x v="4"/>
    <s v="TRK59546992"/>
    <n v="8"/>
  </r>
  <r>
    <s v="ORD200353"/>
    <d v="2025-03-28T00:00:00"/>
    <s v="C16012"/>
    <x v="2"/>
    <n v="1"/>
    <n v="630.82000000000005"/>
    <s v="171 Main St"/>
    <x v="1"/>
    <x v="3"/>
    <s v="TRK15195225"/>
    <n v="5"/>
  </r>
  <r>
    <s v="ORD200354"/>
    <d v="2023-07-11T00:00:00"/>
    <s v="C31772"/>
    <x v="1"/>
    <n v="1"/>
    <n v="693.41"/>
    <s v="992 Main St"/>
    <x v="0"/>
    <x v="0"/>
    <s v="TRK11970357"/>
    <n v="4"/>
  </r>
  <r>
    <s v="ORD200355"/>
    <d v="2025-06-03T00:00:00"/>
    <s v="C18353"/>
    <x v="2"/>
    <n v="3"/>
    <n v="433.33"/>
    <s v="677 Main St"/>
    <x v="2"/>
    <x v="1"/>
    <s v="TRK78766533"/>
    <n v="4"/>
  </r>
  <r>
    <s v="ORD200356"/>
    <d v="2023-05-06T00:00:00"/>
    <s v="C26966"/>
    <x v="4"/>
    <n v="5"/>
    <n v="374.58"/>
    <s v="907 Main St"/>
    <x v="3"/>
    <x v="1"/>
    <s v="TRK83889574"/>
    <n v="10"/>
  </r>
  <r>
    <s v="ORD200357"/>
    <d v="2023-07-08T00:00:00"/>
    <s v="C74982"/>
    <x v="5"/>
    <n v="5"/>
    <n v="408.56"/>
    <s v="398 Main St"/>
    <x v="0"/>
    <x v="3"/>
    <s v="TRK98700702"/>
    <n v="8"/>
  </r>
  <r>
    <s v="ORD200358"/>
    <d v="2024-04-07T00:00:00"/>
    <s v="C70633"/>
    <x v="2"/>
    <n v="2"/>
    <n v="183.67"/>
    <s v="747 Main St"/>
    <x v="1"/>
    <x v="1"/>
    <s v="TRK82540521"/>
    <n v="3"/>
  </r>
  <r>
    <s v="ORD200359"/>
    <d v="2023-06-09T00:00:00"/>
    <s v="C95643"/>
    <x v="6"/>
    <n v="4"/>
    <n v="606.57000000000005"/>
    <s v="303 Main St"/>
    <x v="0"/>
    <x v="3"/>
    <s v="TRK23286689"/>
    <n v="5"/>
  </r>
  <r>
    <s v="ORD200360"/>
    <d v="2024-06-06T00:00:00"/>
    <s v="C53810"/>
    <x v="1"/>
    <n v="4"/>
    <n v="589.57000000000005"/>
    <s v="779 Main St"/>
    <x v="4"/>
    <x v="4"/>
    <s v="TRK34630612"/>
    <n v="8"/>
  </r>
  <r>
    <s v="ORD200361"/>
    <d v="2024-06-29T00:00:00"/>
    <s v="C53464"/>
    <x v="4"/>
    <n v="5"/>
    <n v="659.85"/>
    <s v="197 Main St"/>
    <x v="2"/>
    <x v="3"/>
    <s v="TRK32743531"/>
    <n v="9"/>
  </r>
  <r>
    <s v="ORD200362"/>
    <d v="2023-06-27T00:00:00"/>
    <s v="C53697"/>
    <x v="0"/>
    <n v="4"/>
    <n v="206.84"/>
    <s v="312 Main St"/>
    <x v="4"/>
    <x v="1"/>
    <s v="TRK60476656"/>
    <n v="5"/>
  </r>
  <r>
    <s v="ORD200363"/>
    <d v="2024-05-24T00:00:00"/>
    <s v="C31668"/>
    <x v="5"/>
    <n v="5"/>
    <n v="113.87"/>
    <s v="871 Main St"/>
    <x v="2"/>
    <x v="4"/>
    <s v="TRK42584392"/>
    <n v="6"/>
  </r>
  <r>
    <s v="ORD200364"/>
    <d v="2023-11-24T00:00:00"/>
    <s v="C85282"/>
    <x v="1"/>
    <n v="5"/>
    <n v="628.74"/>
    <s v="740 Main St"/>
    <x v="4"/>
    <x v="1"/>
    <s v="TRK86767206"/>
    <n v="9"/>
  </r>
  <r>
    <s v="ORD200365"/>
    <d v="2025-02-14T00:00:00"/>
    <s v="C56796"/>
    <x v="1"/>
    <n v="1"/>
    <n v="678.38"/>
    <s v="607 Main St"/>
    <x v="2"/>
    <x v="1"/>
    <s v="TRK74263180"/>
    <n v="4"/>
  </r>
  <r>
    <s v="ORD200366"/>
    <d v="2023-02-10T00:00:00"/>
    <s v="C95213"/>
    <x v="4"/>
    <n v="3"/>
    <n v="602.24"/>
    <s v="603 Main St"/>
    <x v="0"/>
    <x v="4"/>
    <s v="TRK40630538"/>
    <n v="8"/>
  </r>
  <r>
    <s v="ORD200367"/>
    <d v="2024-04-25T00:00:00"/>
    <s v="C13108"/>
    <x v="5"/>
    <n v="5"/>
    <n v="658.77"/>
    <s v="712 Main St"/>
    <x v="3"/>
    <x v="4"/>
    <s v="TRK82284400"/>
    <n v="10"/>
  </r>
  <r>
    <s v="ORD200368"/>
    <d v="2023-05-01T00:00:00"/>
    <s v="C85322"/>
    <x v="0"/>
    <n v="3"/>
    <n v="271.02"/>
    <s v="403 Main St"/>
    <x v="2"/>
    <x v="1"/>
    <s v="TRK89728869"/>
    <n v="6"/>
  </r>
  <r>
    <s v="ORD200369"/>
    <d v="2024-12-22T00:00:00"/>
    <s v="C43545"/>
    <x v="0"/>
    <n v="5"/>
    <n v="375.25"/>
    <s v="216 Main St"/>
    <x v="3"/>
    <x v="4"/>
    <s v="TRK73937402"/>
    <n v="9"/>
  </r>
  <r>
    <s v="ORD200370"/>
    <d v="2025-05-03T00:00:00"/>
    <s v="C80649"/>
    <x v="1"/>
    <n v="1"/>
    <n v="312.11"/>
    <s v="870 Main St"/>
    <x v="1"/>
    <x v="1"/>
    <s v="TRK41143313"/>
    <n v="4"/>
  </r>
  <r>
    <s v="ORD200371"/>
    <d v="2023-01-05T00:00:00"/>
    <s v="C59752"/>
    <x v="1"/>
    <n v="5"/>
    <n v="307.76"/>
    <s v="179 Main St"/>
    <x v="3"/>
    <x v="4"/>
    <s v="TRK82229639"/>
    <n v="9"/>
  </r>
  <r>
    <s v="ORD200372"/>
    <d v="2025-02-14T00:00:00"/>
    <s v="C53645"/>
    <x v="3"/>
    <n v="3"/>
    <n v="483.53"/>
    <s v="166 Main St"/>
    <x v="4"/>
    <x v="2"/>
    <s v="TRK12123939"/>
    <n v="4"/>
  </r>
  <r>
    <s v="ORD200373"/>
    <d v="2023-01-02T00:00:00"/>
    <s v="C60178"/>
    <x v="5"/>
    <n v="3"/>
    <n v="341.15"/>
    <s v="969 Main St"/>
    <x v="4"/>
    <x v="4"/>
    <s v="TRK84505143"/>
    <n v="4"/>
  </r>
  <r>
    <s v="ORD200374"/>
    <d v="2024-09-16T00:00:00"/>
    <s v="C20286"/>
    <x v="0"/>
    <n v="1"/>
    <n v="571.9"/>
    <s v="129 Main St"/>
    <x v="3"/>
    <x v="4"/>
    <s v="TRK67648338"/>
    <n v="1"/>
  </r>
  <r>
    <s v="ORD200375"/>
    <d v="2025-01-16T00:00:00"/>
    <s v="C87547"/>
    <x v="0"/>
    <n v="4"/>
    <n v="95.03"/>
    <s v="400 Main St"/>
    <x v="1"/>
    <x v="0"/>
    <s v="TRK71027262"/>
    <n v="8"/>
  </r>
  <r>
    <s v="ORD200376"/>
    <d v="2023-08-24T00:00:00"/>
    <s v="C64549"/>
    <x v="0"/>
    <n v="5"/>
    <n v="201.22"/>
    <s v="341 Main St"/>
    <x v="0"/>
    <x v="4"/>
    <s v="TRK20788231"/>
    <n v="6"/>
  </r>
  <r>
    <s v="ORD200377"/>
    <d v="2024-07-22T00:00:00"/>
    <s v="C24884"/>
    <x v="0"/>
    <n v="1"/>
    <n v="260.26"/>
    <s v="625 Main St"/>
    <x v="1"/>
    <x v="4"/>
    <s v="TRK44538419"/>
    <n v="5"/>
  </r>
  <r>
    <s v="ORD200378"/>
    <d v="2024-02-01T00:00:00"/>
    <s v="C62666"/>
    <x v="3"/>
    <n v="5"/>
    <n v="64.5"/>
    <s v="148 Main St"/>
    <x v="2"/>
    <x v="4"/>
    <s v="TRK91029390"/>
    <n v="8"/>
  </r>
  <r>
    <s v="ORD200379"/>
    <d v="2024-09-21T00:00:00"/>
    <s v="C47284"/>
    <x v="1"/>
    <n v="3"/>
    <n v="297.67"/>
    <s v="500 Main St"/>
    <x v="1"/>
    <x v="0"/>
    <s v="TRK85756094"/>
    <n v="6"/>
  </r>
  <r>
    <s v="ORD200380"/>
    <d v="2024-04-20T00:00:00"/>
    <s v="C35355"/>
    <x v="4"/>
    <n v="4"/>
    <n v="331.9"/>
    <s v="127 Main St"/>
    <x v="4"/>
    <x v="4"/>
    <s v="TRK52935059"/>
    <n v="5"/>
  </r>
  <r>
    <s v="ORD200381"/>
    <d v="2023-06-07T00:00:00"/>
    <s v="C29467"/>
    <x v="3"/>
    <n v="1"/>
    <n v="191.76"/>
    <s v="223 Main St"/>
    <x v="2"/>
    <x v="2"/>
    <s v="TRK98103385"/>
    <n v="1"/>
  </r>
  <r>
    <s v="ORD200382"/>
    <d v="2025-01-30T00:00:00"/>
    <s v="C26718"/>
    <x v="4"/>
    <n v="4"/>
    <n v="263.08999999999997"/>
    <s v="272 Main St"/>
    <x v="0"/>
    <x v="0"/>
    <s v="TRK91702525"/>
    <n v="8"/>
  </r>
  <r>
    <s v="ORD200383"/>
    <d v="2023-01-20T00:00:00"/>
    <s v="C18944"/>
    <x v="3"/>
    <n v="4"/>
    <n v="393.8"/>
    <s v="837 Main St"/>
    <x v="2"/>
    <x v="4"/>
    <s v="TRK45275439"/>
    <n v="7"/>
  </r>
  <r>
    <s v="ORD200384"/>
    <d v="2024-11-24T00:00:00"/>
    <s v="C35628"/>
    <x v="3"/>
    <n v="3"/>
    <n v="553.57000000000005"/>
    <s v="147 Main St"/>
    <x v="2"/>
    <x v="2"/>
    <s v="TRK45688220"/>
    <n v="4"/>
  </r>
  <r>
    <s v="ORD200385"/>
    <d v="2023-10-31T00:00:00"/>
    <s v="C56851"/>
    <x v="3"/>
    <n v="5"/>
    <n v="191.63"/>
    <s v="752 Main St"/>
    <x v="3"/>
    <x v="3"/>
    <s v="TRK65290904"/>
    <n v="6"/>
  </r>
  <r>
    <s v="ORD200386"/>
    <d v="2023-04-28T00:00:00"/>
    <s v="C12421"/>
    <x v="2"/>
    <n v="1"/>
    <n v="93.02"/>
    <s v="373 Main St"/>
    <x v="1"/>
    <x v="2"/>
    <s v="TRK32588504"/>
    <n v="4"/>
  </r>
  <r>
    <s v="ORD200387"/>
    <d v="2024-06-27T00:00:00"/>
    <s v="C25316"/>
    <x v="4"/>
    <n v="2"/>
    <n v="39.53"/>
    <s v="904 Main St"/>
    <x v="2"/>
    <x v="0"/>
    <s v="TRK55423551"/>
    <n v="3"/>
  </r>
  <r>
    <s v="ORD200388"/>
    <d v="2023-12-28T00:00:00"/>
    <s v="C22657"/>
    <x v="4"/>
    <n v="3"/>
    <n v="633.97"/>
    <s v="152 Main St"/>
    <x v="4"/>
    <x v="4"/>
    <s v="TRK49157047"/>
    <n v="7"/>
  </r>
  <r>
    <s v="ORD200389"/>
    <d v="2023-12-17T00:00:00"/>
    <s v="C29703"/>
    <x v="6"/>
    <n v="4"/>
    <n v="697.5"/>
    <s v="558 Main St"/>
    <x v="4"/>
    <x v="0"/>
    <s v="TRK40543461"/>
    <n v="7"/>
  </r>
  <r>
    <s v="ORD200390"/>
    <d v="2023-07-14T00:00:00"/>
    <s v="C55996"/>
    <x v="4"/>
    <n v="5"/>
    <n v="508.69"/>
    <s v="885 Main St"/>
    <x v="4"/>
    <x v="3"/>
    <s v="TRK30547638"/>
    <n v="10"/>
  </r>
  <r>
    <s v="ORD200391"/>
    <d v="2025-01-16T00:00:00"/>
    <s v="C60037"/>
    <x v="5"/>
    <n v="2"/>
    <n v="527.46"/>
    <s v="516 Main St"/>
    <x v="0"/>
    <x v="1"/>
    <s v="TRK82009557"/>
    <n v="3"/>
  </r>
  <r>
    <s v="ORD200392"/>
    <d v="2024-02-28T00:00:00"/>
    <s v="C95100"/>
    <x v="1"/>
    <n v="1"/>
    <n v="627.20000000000005"/>
    <s v="197 Main St"/>
    <x v="1"/>
    <x v="3"/>
    <s v="TRK47366265"/>
    <n v="1"/>
  </r>
  <r>
    <s v="ORD200393"/>
    <d v="2024-07-14T00:00:00"/>
    <s v="C39906"/>
    <x v="4"/>
    <n v="1"/>
    <n v="75.010000000000005"/>
    <s v="921 Main St"/>
    <x v="2"/>
    <x v="2"/>
    <s v="TRK24632134"/>
    <n v="3"/>
  </r>
  <r>
    <s v="ORD200394"/>
    <d v="2023-07-05T00:00:00"/>
    <s v="C70148"/>
    <x v="6"/>
    <n v="5"/>
    <n v="529.54999999999995"/>
    <s v="359 Main St"/>
    <x v="3"/>
    <x v="0"/>
    <s v="TRK34848650"/>
    <n v="10"/>
  </r>
  <r>
    <s v="ORD200395"/>
    <d v="2025-04-25T00:00:00"/>
    <s v="C30010"/>
    <x v="1"/>
    <n v="3"/>
    <n v="127.41"/>
    <s v="830 Main St"/>
    <x v="3"/>
    <x v="3"/>
    <s v="TRK35386084"/>
    <n v="7"/>
  </r>
  <r>
    <s v="ORD200396"/>
    <d v="2023-12-01T00:00:00"/>
    <s v="C99217"/>
    <x v="2"/>
    <n v="5"/>
    <n v="287.13"/>
    <s v="778 Main St"/>
    <x v="1"/>
    <x v="0"/>
    <s v="TRK82004594"/>
    <n v="10"/>
  </r>
  <r>
    <s v="ORD200397"/>
    <d v="2023-09-28T00:00:00"/>
    <s v="C30184"/>
    <x v="0"/>
    <n v="1"/>
    <n v="427.06"/>
    <s v="987 Main St"/>
    <x v="1"/>
    <x v="1"/>
    <s v="TRK86674704"/>
    <n v="1"/>
  </r>
  <r>
    <s v="ORD200398"/>
    <d v="2024-09-04T00:00:00"/>
    <s v="C50275"/>
    <x v="1"/>
    <n v="5"/>
    <n v="53.93"/>
    <s v="729 Main St"/>
    <x v="3"/>
    <x v="0"/>
    <s v="TRK98925264"/>
    <n v="7"/>
  </r>
  <r>
    <s v="ORD200399"/>
    <d v="2024-01-07T00:00:00"/>
    <s v="C64641"/>
    <x v="2"/>
    <n v="5"/>
    <n v="423.93"/>
    <s v="319 Main St"/>
    <x v="0"/>
    <x v="2"/>
    <s v="TRK32012588"/>
    <n v="5"/>
  </r>
  <r>
    <s v="ORD200400"/>
    <d v="2024-09-28T00:00:00"/>
    <s v="C56266"/>
    <x v="6"/>
    <n v="4"/>
    <n v="160.22"/>
    <s v="304 Main St"/>
    <x v="0"/>
    <x v="2"/>
    <s v="TRK60088901"/>
    <n v="9"/>
  </r>
  <r>
    <s v="ORD200401"/>
    <d v="2025-04-09T00:00:00"/>
    <s v="C98635"/>
    <x v="4"/>
    <n v="1"/>
    <n v="538.67999999999995"/>
    <s v="197 Main St"/>
    <x v="0"/>
    <x v="2"/>
    <s v="TRK14225465"/>
    <n v="6"/>
  </r>
  <r>
    <s v="ORD200402"/>
    <d v="2023-04-09T00:00:00"/>
    <s v="C83026"/>
    <x v="4"/>
    <n v="5"/>
    <n v="337.38"/>
    <s v="858 Main St"/>
    <x v="3"/>
    <x v="0"/>
    <s v="TRK79746259"/>
    <n v="5"/>
  </r>
  <r>
    <s v="ORD200403"/>
    <d v="2024-11-10T00:00:00"/>
    <s v="C28893"/>
    <x v="2"/>
    <n v="1"/>
    <n v="620.21"/>
    <s v="740 Main St"/>
    <x v="1"/>
    <x v="2"/>
    <s v="TRK98333066"/>
    <n v="1"/>
  </r>
  <r>
    <s v="ORD200404"/>
    <d v="2023-03-09T00:00:00"/>
    <s v="C45482"/>
    <x v="0"/>
    <n v="2"/>
    <n v="99.1"/>
    <s v="440 Main St"/>
    <x v="4"/>
    <x v="3"/>
    <s v="TRK54571699"/>
    <n v="6"/>
  </r>
  <r>
    <s v="ORD200405"/>
    <d v="2025-01-26T00:00:00"/>
    <s v="C97774"/>
    <x v="0"/>
    <n v="4"/>
    <n v="451.97"/>
    <s v="603 Main St"/>
    <x v="1"/>
    <x v="1"/>
    <s v="TRK64664424"/>
    <n v="7"/>
  </r>
  <r>
    <s v="ORD200406"/>
    <d v="2023-12-10T00:00:00"/>
    <s v="C11657"/>
    <x v="2"/>
    <n v="4"/>
    <n v="66.099999999999994"/>
    <s v="572 Main St"/>
    <x v="4"/>
    <x v="2"/>
    <s v="TRK50284486"/>
    <n v="9"/>
  </r>
  <r>
    <s v="ORD200407"/>
    <d v="2023-08-13T00:00:00"/>
    <s v="C85993"/>
    <x v="2"/>
    <n v="4"/>
    <n v="547.32000000000005"/>
    <s v="250 Main St"/>
    <x v="4"/>
    <x v="2"/>
    <s v="TRK72547640"/>
    <n v="8"/>
  </r>
  <r>
    <s v="ORD200408"/>
    <d v="2025-01-01T00:00:00"/>
    <s v="C11906"/>
    <x v="4"/>
    <n v="3"/>
    <n v="412.53"/>
    <s v="536 Main St"/>
    <x v="1"/>
    <x v="4"/>
    <s v="TRK31140158"/>
    <n v="6"/>
  </r>
  <r>
    <s v="ORD200409"/>
    <d v="2023-06-28T00:00:00"/>
    <s v="C45187"/>
    <x v="6"/>
    <n v="5"/>
    <n v="84.13"/>
    <s v="767 Main St"/>
    <x v="1"/>
    <x v="3"/>
    <s v="TRK12320793"/>
    <n v="9"/>
  </r>
  <r>
    <s v="ORD200410"/>
    <d v="2024-01-18T00:00:00"/>
    <s v="C37375"/>
    <x v="2"/>
    <n v="2"/>
    <n v="518.23"/>
    <s v="184 Main St"/>
    <x v="0"/>
    <x v="0"/>
    <s v="TRK52470162"/>
    <n v="5"/>
  </r>
  <r>
    <s v="ORD200411"/>
    <d v="2024-06-19T00:00:00"/>
    <s v="C66567"/>
    <x v="6"/>
    <n v="2"/>
    <n v="39.51"/>
    <s v="981 Main St"/>
    <x v="1"/>
    <x v="0"/>
    <s v="TRK21174822"/>
    <n v="5"/>
  </r>
  <r>
    <s v="ORD200412"/>
    <d v="2025-04-11T00:00:00"/>
    <s v="C42451"/>
    <x v="2"/>
    <n v="5"/>
    <n v="133.01"/>
    <s v="246 Main St"/>
    <x v="2"/>
    <x v="2"/>
    <s v="TRK31313343"/>
    <n v="10"/>
  </r>
  <r>
    <s v="ORD200413"/>
    <d v="2023-10-08T00:00:00"/>
    <s v="C13923"/>
    <x v="2"/>
    <n v="1"/>
    <n v="118.8"/>
    <s v="123 Main St"/>
    <x v="1"/>
    <x v="3"/>
    <s v="TRK87598790"/>
    <n v="6"/>
  </r>
  <r>
    <s v="ORD200414"/>
    <d v="2025-05-04T00:00:00"/>
    <s v="C11829"/>
    <x v="6"/>
    <n v="2"/>
    <n v="139.57"/>
    <s v="797 Main St"/>
    <x v="4"/>
    <x v="3"/>
    <s v="TRK84229257"/>
    <n v="4"/>
  </r>
  <r>
    <s v="ORD200415"/>
    <d v="2025-04-06T00:00:00"/>
    <s v="C62169"/>
    <x v="3"/>
    <n v="1"/>
    <n v="184.15"/>
    <s v="655 Main St"/>
    <x v="3"/>
    <x v="0"/>
    <s v="TRK64558985"/>
    <n v="5"/>
  </r>
  <r>
    <s v="ORD200416"/>
    <d v="2023-07-18T00:00:00"/>
    <s v="C20881"/>
    <x v="5"/>
    <n v="2"/>
    <n v="644.04999999999995"/>
    <s v="652 Main St"/>
    <x v="3"/>
    <x v="1"/>
    <s v="TRK26263902"/>
    <n v="5"/>
  </r>
  <r>
    <s v="ORD200417"/>
    <d v="2023-10-24T00:00:00"/>
    <s v="C44492"/>
    <x v="5"/>
    <n v="5"/>
    <n v="55.41"/>
    <s v="954 Main St"/>
    <x v="1"/>
    <x v="1"/>
    <s v="TRK51429869"/>
    <n v="5"/>
  </r>
  <r>
    <s v="ORD200418"/>
    <d v="2023-01-11T00:00:00"/>
    <s v="C74169"/>
    <x v="4"/>
    <n v="1"/>
    <n v="310.93"/>
    <s v="862 Main St"/>
    <x v="1"/>
    <x v="1"/>
    <s v="TRK66144809"/>
    <n v="3"/>
  </r>
  <r>
    <s v="ORD200419"/>
    <d v="2024-04-17T00:00:00"/>
    <s v="C70999"/>
    <x v="2"/>
    <n v="2"/>
    <n v="216.66"/>
    <s v="885 Main St"/>
    <x v="0"/>
    <x v="4"/>
    <s v="TRK75644156"/>
    <n v="6"/>
  </r>
  <r>
    <s v="ORD200420"/>
    <d v="2024-11-29T00:00:00"/>
    <s v="C11921"/>
    <x v="1"/>
    <n v="1"/>
    <n v="452.7"/>
    <s v="439 Main St"/>
    <x v="0"/>
    <x v="0"/>
    <s v="TRK91362635"/>
    <n v="5"/>
  </r>
  <r>
    <s v="ORD200421"/>
    <d v="2023-10-15T00:00:00"/>
    <s v="C50683"/>
    <x v="3"/>
    <n v="2"/>
    <n v="288.20999999999998"/>
    <s v="769 Main St"/>
    <x v="0"/>
    <x v="1"/>
    <s v="TRK53032122"/>
    <n v="5"/>
  </r>
  <r>
    <s v="ORD200422"/>
    <d v="2023-06-05T00:00:00"/>
    <s v="C76140"/>
    <x v="1"/>
    <n v="4"/>
    <n v="206.6"/>
    <s v="914 Main St"/>
    <x v="3"/>
    <x v="2"/>
    <s v="TRK25861469"/>
    <n v="6"/>
  </r>
  <r>
    <s v="ORD200423"/>
    <d v="2024-07-20T00:00:00"/>
    <s v="C94311"/>
    <x v="4"/>
    <n v="4"/>
    <n v="685.2"/>
    <s v="195 Main St"/>
    <x v="3"/>
    <x v="1"/>
    <s v="TRK97308771"/>
    <n v="6"/>
  </r>
  <r>
    <s v="ORD200424"/>
    <d v="2023-04-12T00:00:00"/>
    <s v="C49491"/>
    <x v="3"/>
    <n v="5"/>
    <n v="22.94"/>
    <s v="339 Main St"/>
    <x v="4"/>
    <x v="4"/>
    <s v="TRK64012257"/>
    <n v="10"/>
  </r>
  <r>
    <s v="ORD200425"/>
    <d v="2023-03-09T00:00:00"/>
    <s v="C40648"/>
    <x v="5"/>
    <n v="2"/>
    <n v="301.88"/>
    <s v="488 Main St"/>
    <x v="3"/>
    <x v="2"/>
    <s v="TRK25325993"/>
    <n v="5"/>
  </r>
  <r>
    <s v="ORD200426"/>
    <d v="2025-03-16T00:00:00"/>
    <s v="C40967"/>
    <x v="0"/>
    <n v="5"/>
    <n v="57.45"/>
    <s v="315 Main St"/>
    <x v="4"/>
    <x v="1"/>
    <s v="TRK24839296"/>
    <n v="10"/>
  </r>
  <r>
    <s v="ORD200427"/>
    <d v="2024-12-18T00:00:00"/>
    <s v="C25406"/>
    <x v="6"/>
    <n v="1"/>
    <n v="161.24"/>
    <s v="379 Main St"/>
    <x v="2"/>
    <x v="4"/>
    <s v="TRK70952564"/>
    <n v="3"/>
  </r>
  <r>
    <s v="ORD200428"/>
    <d v="2024-11-26T00:00:00"/>
    <s v="C77085"/>
    <x v="3"/>
    <n v="4"/>
    <n v="262.58"/>
    <s v="895 Main St"/>
    <x v="1"/>
    <x v="1"/>
    <s v="TRK57227640"/>
    <n v="8"/>
  </r>
  <r>
    <s v="ORD200429"/>
    <d v="2024-12-19T00:00:00"/>
    <s v="C38126"/>
    <x v="4"/>
    <n v="4"/>
    <n v="515.19000000000005"/>
    <s v="522 Main St"/>
    <x v="2"/>
    <x v="4"/>
    <s v="TRK90838498"/>
    <n v="9"/>
  </r>
  <r>
    <s v="ORD200430"/>
    <d v="2023-06-07T00:00:00"/>
    <s v="C87448"/>
    <x v="1"/>
    <n v="1"/>
    <n v="450.07"/>
    <s v="433 Main St"/>
    <x v="3"/>
    <x v="0"/>
    <s v="TRK44134016"/>
    <n v="6"/>
  </r>
  <r>
    <s v="ORD200431"/>
    <d v="2024-10-06T00:00:00"/>
    <s v="C62312"/>
    <x v="4"/>
    <n v="1"/>
    <n v="52.54"/>
    <s v="651 Main St"/>
    <x v="0"/>
    <x v="1"/>
    <s v="TRK59623037"/>
    <n v="6"/>
  </r>
  <r>
    <s v="ORD200432"/>
    <d v="2023-09-04T00:00:00"/>
    <s v="C58443"/>
    <x v="2"/>
    <n v="2"/>
    <n v="424.32"/>
    <s v="662 Main St"/>
    <x v="2"/>
    <x v="2"/>
    <s v="TRK77163738"/>
    <n v="6"/>
  </r>
  <r>
    <s v="ORD200433"/>
    <d v="2023-08-26T00:00:00"/>
    <s v="C36613"/>
    <x v="0"/>
    <n v="3"/>
    <n v="631.64"/>
    <s v="785 Main St"/>
    <x v="2"/>
    <x v="2"/>
    <s v="TRK13282106"/>
    <n v="3"/>
  </r>
  <r>
    <s v="ORD200434"/>
    <d v="2023-10-22T00:00:00"/>
    <s v="C73893"/>
    <x v="4"/>
    <n v="5"/>
    <n v="327.68"/>
    <s v="384 Main St"/>
    <x v="2"/>
    <x v="2"/>
    <s v="TRK85939879"/>
    <n v="6"/>
  </r>
  <r>
    <s v="ORD200435"/>
    <d v="2023-05-27T00:00:00"/>
    <s v="C48601"/>
    <x v="4"/>
    <n v="1"/>
    <n v="414.47"/>
    <s v="101 Main St"/>
    <x v="0"/>
    <x v="2"/>
    <s v="TRK97868309"/>
    <n v="3"/>
  </r>
  <r>
    <s v="ORD200436"/>
    <d v="2023-02-11T00:00:00"/>
    <s v="C14568"/>
    <x v="5"/>
    <n v="4"/>
    <n v="221.33"/>
    <s v="651 Main St"/>
    <x v="1"/>
    <x v="4"/>
    <s v="TRK73545796"/>
    <n v="5"/>
  </r>
  <r>
    <s v="ORD200437"/>
    <d v="2024-04-18T00:00:00"/>
    <s v="C63378"/>
    <x v="1"/>
    <n v="1"/>
    <n v="512.39"/>
    <s v="955 Main St"/>
    <x v="1"/>
    <x v="3"/>
    <s v="TRK20863705"/>
    <n v="2"/>
  </r>
  <r>
    <s v="ORD200438"/>
    <d v="2025-01-03T00:00:00"/>
    <s v="C77800"/>
    <x v="2"/>
    <n v="3"/>
    <n v="459.34"/>
    <s v="436 Main St"/>
    <x v="3"/>
    <x v="4"/>
    <s v="TRK27439574"/>
    <n v="3"/>
  </r>
  <r>
    <s v="ORD200439"/>
    <d v="2024-09-08T00:00:00"/>
    <s v="C91155"/>
    <x v="2"/>
    <n v="1"/>
    <n v="146.32"/>
    <s v="321 Main St"/>
    <x v="1"/>
    <x v="0"/>
    <s v="TRK36260319"/>
    <n v="4"/>
  </r>
  <r>
    <s v="ORD200440"/>
    <d v="2024-11-05T00:00:00"/>
    <s v="C60215"/>
    <x v="6"/>
    <n v="4"/>
    <n v="83.6"/>
    <s v="978 Main St"/>
    <x v="0"/>
    <x v="4"/>
    <s v="TRK31727767"/>
    <n v="4"/>
  </r>
  <r>
    <s v="ORD200441"/>
    <d v="2023-12-13T00:00:00"/>
    <s v="C52915"/>
    <x v="4"/>
    <n v="2"/>
    <n v="328.54"/>
    <s v="475 Main St"/>
    <x v="3"/>
    <x v="2"/>
    <s v="TRK79466982"/>
    <n v="6"/>
  </r>
  <r>
    <s v="ORD200442"/>
    <d v="2024-05-06T00:00:00"/>
    <s v="C72588"/>
    <x v="3"/>
    <n v="5"/>
    <n v="314.94"/>
    <s v="661 Main St"/>
    <x v="4"/>
    <x v="4"/>
    <s v="TRK43410829"/>
    <n v="8"/>
  </r>
  <r>
    <s v="ORD200443"/>
    <d v="2024-05-14T00:00:00"/>
    <s v="C61668"/>
    <x v="3"/>
    <n v="2"/>
    <n v="69.64"/>
    <s v="813 Main St"/>
    <x v="4"/>
    <x v="2"/>
    <s v="TRK58970302"/>
    <n v="6"/>
  </r>
  <r>
    <s v="ORD200444"/>
    <d v="2024-06-08T00:00:00"/>
    <s v="C79508"/>
    <x v="4"/>
    <n v="1"/>
    <n v="135.16999999999999"/>
    <s v="585 Main St"/>
    <x v="1"/>
    <x v="0"/>
    <s v="TRK61882353"/>
    <n v="6"/>
  </r>
  <r>
    <s v="ORD200445"/>
    <d v="2024-03-23T00:00:00"/>
    <s v="C94569"/>
    <x v="1"/>
    <n v="1"/>
    <n v="487.21"/>
    <s v="227 Main St"/>
    <x v="4"/>
    <x v="3"/>
    <s v="TRK31351770"/>
    <n v="3"/>
  </r>
  <r>
    <s v="ORD200446"/>
    <d v="2023-10-18T00:00:00"/>
    <s v="C89592"/>
    <x v="5"/>
    <n v="5"/>
    <n v="509.58"/>
    <s v="262 Main St"/>
    <x v="1"/>
    <x v="3"/>
    <s v="TRK49442402"/>
    <n v="6"/>
  </r>
  <r>
    <s v="ORD200447"/>
    <d v="2024-04-07T00:00:00"/>
    <s v="C48207"/>
    <x v="4"/>
    <n v="2"/>
    <n v="416.81"/>
    <s v="356 Main St"/>
    <x v="4"/>
    <x v="2"/>
    <s v="TRK45355655"/>
    <n v="2"/>
  </r>
  <r>
    <s v="ORD200448"/>
    <d v="2023-09-04T00:00:00"/>
    <s v="C16776"/>
    <x v="5"/>
    <n v="2"/>
    <n v="160"/>
    <s v="854 Main St"/>
    <x v="4"/>
    <x v="4"/>
    <s v="TRK12860600"/>
    <n v="4"/>
  </r>
  <r>
    <s v="ORD200449"/>
    <d v="2024-08-26T00:00:00"/>
    <s v="C91518"/>
    <x v="2"/>
    <n v="3"/>
    <n v="253.05"/>
    <s v="286 Main St"/>
    <x v="1"/>
    <x v="4"/>
    <s v="TRK48688724"/>
    <n v="3"/>
  </r>
  <r>
    <s v="ORD200450"/>
    <d v="2024-01-15T00:00:00"/>
    <s v="C36408"/>
    <x v="0"/>
    <n v="5"/>
    <n v="615.1"/>
    <s v="160 Main St"/>
    <x v="3"/>
    <x v="2"/>
    <s v="TRK94023253"/>
    <n v="10"/>
  </r>
  <r>
    <s v="ORD200451"/>
    <d v="2023-04-01T00:00:00"/>
    <s v="C14837"/>
    <x v="0"/>
    <n v="1"/>
    <n v="183.18"/>
    <s v="647 Main St"/>
    <x v="0"/>
    <x v="1"/>
    <s v="TRK17501136"/>
    <n v="6"/>
  </r>
  <r>
    <s v="ORD200452"/>
    <d v="2023-07-23T00:00:00"/>
    <s v="C36467"/>
    <x v="4"/>
    <n v="1"/>
    <n v="75.78"/>
    <s v="581 Main St"/>
    <x v="4"/>
    <x v="4"/>
    <s v="TRK20863987"/>
    <n v="5"/>
  </r>
  <r>
    <s v="ORD200453"/>
    <d v="2025-05-02T00:00:00"/>
    <s v="C15017"/>
    <x v="2"/>
    <n v="1"/>
    <n v="675.57"/>
    <s v="492 Main St"/>
    <x v="4"/>
    <x v="0"/>
    <s v="TRK51241924"/>
    <n v="1"/>
  </r>
  <r>
    <s v="ORD200454"/>
    <d v="2024-11-27T00:00:00"/>
    <s v="C54759"/>
    <x v="5"/>
    <n v="1"/>
    <n v="109.29"/>
    <s v="686 Main St"/>
    <x v="0"/>
    <x v="1"/>
    <s v="TRK75583042"/>
    <n v="5"/>
  </r>
  <r>
    <s v="ORD200455"/>
    <d v="2024-03-26T00:00:00"/>
    <s v="C58341"/>
    <x v="1"/>
    <n v="1"/>
    <n v="639.83000000000004"/>
    <s v="874 Main St"/>
    <x v="0"/>
    <x v="4"/>
    <s v="TRK32856728"/>
    <n v="2"/>
  </r>
  <r>
    <s v="ORD200456"/>
    <d v="2023-06-26T00:00:00"/>
    <s v="C94479"/>
    <x v="6"/>
    <n v="5"/>
    <n v="62.81"/>
    <s v="259 Main St"/>
    <x v="2"/>
    <x v="0"/>
    <s v="TRK69089975"/>
    <n v="9"/>
  </r>
  <r>
    <s v="ORD200457"/>
    <d v="2025-05-25T00:00:00"/>
    <s v="C50236"/>
    <x v="6"/>
    <n v="4"/>
    <n v="615.83000000000004"/>
    <s v="545 Main St"/>
    <x v="1"/>
    <x v="2"/>
    <s v="TRK67692578"/>
    <n v="4"/>
  </r>
  <r>
    <s v="ORD200458"/>
    <d v="2024-07-02T00:00:00"/>
    <s v="C31412"/>
    <x v="0"/>
    <n v="4"/>
    <n v="510.58"/>
    <s v="196 Main St"/>
    <x v="2"/>
    <x v="2"/>
    <s v="TRK61946127"/>
    <n v="7"/>
  </r>
  <r>
    <s v="ORD200459"/>
    <d v="2024-07-24T00:00:00"/>
    <s v="C90142"/>
    <x v="6"/>
    <n v="1"/>
    <n v="334.39"/>
    <s v="433 Main St"/>
    <x v="2"/>
    <x v="2"/>
    <s v="TRK39717191"/>
    <n v="2"/>
  </r>
  <r>
    <s v="ORD200460"/>
    <d v="2024-10-06T00:00:00"/>
    <s v="C83548"/>
    <x v="5"/>
    <n v="1"/>
    <n v="144.25"/>
    <s v="474 Main St"/>
    <x v="4"/>
    <x v="2"/>
    <s v="TRK93822942"/>
    <n v="2"/>
  </r>
  <r>
    <s v="ORD200461"/>
    <d v="2024-06-08T00:00:00"/>
    <s v="C29697"/>
    <x v="2"/>
    <n v="1"/>
    <n v="401.82"/>
    <s v="407 Main St"/>
    <x v="2"/>
    <x v="0"/>
    <s v="TRK47776482"/>
    <n v="5"/>
  </r>
  <r>
    <s v="ORD200462"/>
    <d v="2025-03-31T00:00:00"/>
    <s v="C22991"/>
    <x v="1"/>
    <n v="1"/>
    <n v="252.68"/>
    <s v="731 Main St"/>
    <x v="1"/>
    <x v="1"/>
    <s v="TRK32796086"/>
    <n v="1"/>
  </r>
  <r>
    <s v="ORD200463"/>
    <d v="2023-05-26T00:00:00"/>
    <s v="C25276"/>
    <x v="5"/>
    <n v="5"/>
    <n v="662.78"/>
    <s v="214 Main St"/>
    <x v="0"/>
    <x v="0"/>
    <s v="TRK14011732"/>
    <n v="9"/>
  </r>
  <r>
    <s v="ORD200464"/>
    <d v="2023-03-14T00:00:00"/>
    <s v="C39176"/>
    <x v="2"/>
    <n v="4"/>
    <n v="434.42"/>
    <s v="739 Main St"/>
    <x v="1"/>
    <x v="1"/>
    <s v="TRK71418686"/>
    <n v="6"/>
  </r>
  <r>
    <s v="ORD200465"/>
    <d v="2024-02-26T00:00:00"/>
    <s v="C58773"/>
    <x v="4"/>
    <n v="5"/>
    <n v="513.49"/>
    <s v="391 Main St"/>
    <x v="3"/>
    <x v="1"/>
    <s v="TRK65438300"/>
    <n v="8"/>
  </r>
  <r>
    <s v="ORD200466"/>
    <d v="2023-07-18T00:00:00"/>
    <s v="C37412"/>
    <x v="1"/>
    <n v="1"/>
    <n v="432.47"/>
    <s v="895 Main St"/>
    <x v="4"/>
    <x v="3"/>
    <s v="TRK97829604"/>
    <n v="4"/>
  </r>
  <r>
    <s v="ORD200467"/>
    <d v="2024-08-30T00:00:00"/>
    <s v="C36492"/>
    <x v="6"/>
    <n v="1"/>
    <n v="45.94"/>
    <s v="572 Main St"/>
    <x v="4"/>
    <x v="1"/>
    <s v="TRK44350440"/>
    <n v="2"/>
  </r>
  <r>
    <s v="ORD200468"/>
    <d v="2025-06-21T00:00:00"/>
    <s v="C90110"/>
    <x v="1"/>
    <n v="1"/>
    <n v="418.36"/>
    <s v="998 Main St"/>
    <x v="2"/>
    <x v="3"/>
    <s v="TRK60203957"/>
    <n v="5"/>
  </r>
  <r>
    <s v="ORD200469"/>
    <d v="2023-11-26T00:00:00"/>
    <s v="C13877"/>
    <x v="3"/>
    <n v="5"/>
    <n v="676.98"/>
    <s v="893 Main St"/>
    <x v="4"/>
    <x v="1"/>
    <s v="TRK17254691"/>
    <n v="5"/>
  </r>
  <r>
    <s v="ORD200470"/>
    <d v="2023-09-29T00:00:00"/>
    <s v="C25149"/>
    <x v="2"/>
    <n v="4"/>
    <n v="263.62"/>
    <s v="672 Main St"/>
    <x v="4"/>
    <x v="0"/>
    <s v="TRK33538608"/>
    <n v="5"/>
  </r>
  <r>
    <s v="ORD200471"/>
    <d v="2025-04-19T00:00:00"/>
    <s v="C52717"/>
    <x v="6"/>
    <n v="5"/>
    <n v="551.27"/>
    <s v="395 Main St"/>
    <x v="1"/>
    <x v="1"/>
    <s v="TRK27625571"/>
    <n v="7"/>
  </r>
  <r>
    <s v="ORD200472"/>
    <d v="2023-01-06T00:00:00"/>
    <s v="C60029"/>
    <x v="3"/>
    <n v="3"/>
    <n v="508.12"/>
    <s v="796 Main St"/>
    <x v="2"/>
    <x v="1"/>
    <s v="TRK86461316"/>
    <n v="8"/>
  </r>
  <r>
    <s v="ORD200473"/>
    <d v="2025-02-25T00:00:00"/>
    <s v="C28552"/>
    <x v="3"/>
    <n v="2"/>
    <n v="14.93"/>
    <s v="449 Main St"/>
    <x v="1"/>
    <x v="0"/>
    <s v="TRK71597160"/>
    <n v="4"/>
  </r>
  <r>
    <s v="ORD200474"/>
    <d v="2023-11-15T00:00:00"/>
    <s v="C72293"/>
    <x v="4"/>
    <n v="3"/>
    <n v="229.34"/>
    <s v="398 Main St"/>
    <x v="2"/>
    <x v="0"/>
    <s v="TRK84378003"/>
    <n v="6"/>
  </r>
  <r>
    <s v="ORD200475"/>
    <d v="2025-04-19T00:00:00"/>
    <s v="C29844"/>
    <x v="2"/>
    <n v="2"/>
    <n v="438.62"/>
    <s v="363 Main St"/>
    <x v="4"/>
    <x v="1"/>
    <s v="TRK91642337"/>
    <n v="3"/>
  </r>
  <r>
    <s v="ORD200476"/>
    <d v="2024-01-15T00:00:00"/>
    <s v="C77872"/>
    <x v="1"/>
    <n v="2"/>
    <n v="513.59"/>
    <s v="867 Main St"/>
    <x v="1"/>
    <x v="2"/>
    <s v="TRK19292184"/>
    <n v="4"/>
  </r>
  <r>
    <s v="ORD200477"/>
    <d v="2025-03-05T00:00:00"/>
    <s v="C56564"/>
    <x v="1"/>
    <n v="2"/>
    <n v="253.74"/>
    <s v="481 Main St"/>
    <x v="1"/>
    <x v="0"/>
    <s v="TRK13166044"/>
    <n v="5"/>
  </r>
  <r>
    <s v="ORD200478"/>
    <d v="2024-11-01T00:00:00"/>
    <s v="C16758"/>
    <x v="2"/>
    <n v="3"/>
    <n v="62.77"/>
    <s v="914 Main St"/>
    <x v="3"/>
    <x v="0"/>
    <s v="TRK88544431"/>
    <n v="6"/>
  </r>
  <r>
    <s v="ORD200479"/>
    <d v="2023-02-18T00:00:00"/>
    <s v="C87011"/>
    <x v="0"/>
    <n v="4"/>
    <n v="25.29"/>
    <s v="943 Main St"/>
    <x v="2"/>
    <x v="4"/>
    <s v="TRK21429162"/>
    <n v="8"/>
  </r>
  <r>
    <s v="ORD200480"/>
    <d v="2023-06-16T00:00:00"/>
    <s v="C21147"/>
    <x v="3"/>
    <n v="1"/>
    <n v="335.1"/>
    <s v="126 Main St"/>
    <x v="0"/>
    <x v="4"/>
    <s v="TRK93171043"/>
    <n v="6"/>
  </r>
  <r>
    <s v="ORD200481"/>
    <d v="2023-04-23T00:00:00"/>
    <s v="C94568"/>
    <x v="5"/>
    <n v="4"/>
    <n v="484.85"/>
    <s v="317 Main St"/>
    <x v="0"/>
    <x v="3"/>
    <s v="TRK58653915"/>
    <n v="5"/>
  </r>
  <r>
    <s v="ORD200482"/>
    <d v="2025-03-02T00:00:00"/>
    <s v="C35852"/>
    <x v="0"/>
    <n v="3"/>
    <n v="381.41"/>
    <s v="989 Main St"/>
    <x v="1"/>
    <x v="4"/>
    <s v="TRK22302049"/>
    <n v="6"/>
  </r>
  <r>
    <s v="ORD200483"/>
    <d v="2023-01-18T00:00:00"/>
    <s v="C66462"/>
    <x v="1"/>
    <n v="5"/>
    <n v="347.92"/>
    <s v="982 Main St"/>
    <x v="4"/>
    <x v="4"/>
    <s v="TRK52743700"/>
    <n v="6"/>
  </r>
  <r>
    <s v="ORD200484"/>
    <d v="2024-05-29T00:00:00"/>
    <s v="C29092"/>
    <x v="3"/>
    <n v="4"/>
    <n v="15.01"/>
    <s v="767 Main St"/>
    <x v="4"/>
    <x v="1"/>
    <s v="TRK90455340"/>
    <n v="6"/>
  </r>
  <r>
    <s v="ORD200485"/>
    <d v="2023-08-01T00:00:00"/>
    <s v="C46651"/>
    <x v="3"/>
    <n v="3"/>
    <n v="404.79"/>
    <s v="764 Main St"/>
    <x v="4"/>
    <x v="0"/>
    <s v="TRK67679195"/>
    <n v="6"/>
  </r>
  <r>
    <s v="ORD200486"/>
    <d v="2023-02-03T00:00:00"/>
    <s v="C88981"/>
    <x v="4"/>
    <n v="4"/>
    <n v="611.26"/>
    <s v="558 Main St"/>
    <x v="4"/>
    <x v="0"/>
    <s v="TRK75267873"/>
    <n v="5"/>
  </r>
  <r>
    <s v="ORD200487"/>
    <d v="2023-03-09T00:00:00"/>
    <s v="C40136"/>
    <x v="4"/>
    <n v="3"/>
    <n v="346.52"/>
    <s v="211 Main St"/>
    <x v="2"/>
    <x v="4"/>
    <s v="TRK92924852"/>
    <n v="3"/>
  </r>
  <r>
    <s v="ORD200488"/>
    <d v="2024-12-05T00:00:00"/>
    <s v="C81573"/>
    <x v="3"/>
    <n v="1"/>
    <n v="36.65"/>
    <s v="556 Main St"/>
    <x v="1"/>
    <x v="1"/>
    <s v="TRK96522994"/>
    <n v="1"/>
  </r>
  <r>
    <s v="ORD200489"/>
    <d v="2023-09-05T00:00:00"/>
    <s v="C11940"/>
    <x v="2"/>
    <n v="3"/>
    <n v="149.34"/>
    <s v="589 Main St"/>
    <x v="3"/>
    <x v="1"/>
    <s v="TRK85466461"/>
    <n v="7"/>
  </r>
  <r>
    <s v="ORD200490"/>
    <d v="2024-07-22T00:00:00"/>
    <s v="C50097"/>
    <x v="3"/>
    <n v="5"/>
    <n v="467.81"/>
    <s v="539 Main St"/>
    <x v="1"/>
    <x v="1"/>
    <s v="TRK62785150"/>
    <n v="10"/>
  </r>
  <r>
    <s v="ORD200491"/>
    <d v="2023-01-05T00:00:00"/>
    <s v="C98168"/>
    <x v="1"/>
    <n v="5"/>
    <n v="420.7"/>
    <s v="481 Main St"/>
    <x v="4"/>
    <x v="4"/>
    <s v="TRK56423359"/>
    <n v="5"/>
  </r>
  <r>
    <s v="ORD200492"/>
    <d v="2023-10-25T00:00:00"/>
    <s v="C39074"/>
    <x v="5"/>
    <n v="5"/>
    <n v="606.52"/>
    <s v="103 Main St"/>
    <x v="0"/>
    <x v="0"/>
    <s v="TRK13027036"/>
    <n v="6"/>
  </r>
  <r>
    <s v="ORD200493"/>
    <d v="2025-01-28T00:00:00"/>
    <s v="C84908"/>
    <x v="1"/>
    <n v="1"/>
    <n v="420.26"/>
    <s v="372 Main St"/>
    <x v="2"/>
    <x v="4"/>
    <s v="TRK64135970"/>
    <n v="4"/>
  </r>
  <r>
    <s v="ORD200494"/>
    <d v="2023-07-19T00:00:00"/>
    <s v="C64516"/>
    <x v="5"/>
    <n v="3"/>
    <n v="505.79"/>
    <s v="459 Main St"/>
    <x v="0"/>
    <x v="4"/>
    <s v="TRK63920573"/>
    <n v="3"/>
  </r>
  <r>
    <s v="ORD200495"/>
    <d v="2025-06-05T00:00:00"/>
    <s v="C63827"/>
    <x v="1"/>
    <n v="4"/>
    <n v="493.73"/>
    <s v="947 Main St"/>
    <x v="0"/>
    <x v="4"/>
    <s v="TRK35730581"/>
    <n v="6"/>
  </r>
  <r>
    <s v="ORD200496"/>
    <d v="2025-03-14T00:00:00"/>
    <s v="C93618"/>
    <x v="4"/>
    <n v="3"/>
    <n v="201.21"/>
    <s v="249 Main St"/>
    <x v="1"/>
    <x v="1"/>
    <s v="TRK66129326"/>
    <n v="3"/>
  </r>
  <r>
    <s v="ORD200497"/>
    <d v="2024-10-24T00:00:00"/>
    <s v="C93948"/>
    <x v="4"/>
    <n v="3"/>
    <n v="112.29"/>
    <s v="454 Main St"/>
    <x v="3"/>
    <x v="0"/>
    <s v="TRK77358113"/>
    <n v="6"/>
  </r>
  <r>
    <s v="ORD200498"/>
    <d v="2023-07-12T00:00:00"/>
    <s v="C73961"/>
    <x v="2"/>
    <n v="4"/>
    <n v="132.56"/>
    <s v="306 Main St"/>
    <x v="4"/>
    <x v="2"/>
    <s v="TRK32607173"/>
    <n v="8"/>
  </r>
  <r>
    <s v="ORD200499"/>
    <d v="2023-04-06T00:00:00"/>
    <s v="C18138"/>
    <x v="4"/>
    <n v="3"/>
    <n v="539.46"/>
    <s v="520 Main St"/>
    <x v="2"/>
    <x v="0"/>
    <s v="TRK20289483"/>
    <n v="4"/>
  </r>
  <r>
    <s v="ORD200500"/>
    <d v="2024-04-07T00:00:00"/>
    <s v="C79475"/>
    <x v="5"/>
    <n v="5"/>
    <n v="508.59"/>
    <s v="169 Main St"/>
    <x v="4"/>
    <x v="2"/>
    <s v="TRK42168516"/>
    <n v="8"/>
  </r>
  <r>
    <s v="ORD200501"/>
    <d v="2024-02-04T00:00:00"/>
    <s v="C88546"/>
    <x v="6"/>
    <n v="4"/>
    <n v="203.46"/>
    <s v="226 Main St"/>
    <x v="2"/>
    <x v="4"/>
    <s v="TRK19867754"/>
    <n v="7"/>
  </r>
  <r>
    <s v="ORD200502"/>
    <d v="2023-05-20T00:00:00"/>
    <s v="C69332"/>
    <x v="0"/>
    <n v="3"/>
    <n v="565.25"/>
    <s v="745 Main St"/>
    <x v="0"/>
    <x v="2"/>
    <s v="TRK65718848"/>
    <n v="7"/>
  </r>
  <r>
    <s v="ORD200503"/>
    <d v="2023-08-31T00:00:00"/>
    <s v="C64554"/>
    <x v="2"/>
    <n v="3"/>
    <n v="136.84"/>
    <s v="498 Main St"/>
    <x v="1"/>
    <x v="4"/>
    <s v="TRK95384568"/>
    <n v="4"/>
  </r>
  <r>
    <s v="ORD200504"/>
    <d v="2025-06-11T00:00:00"/>
    <s v="C11676"/>
    <x v="0"/>
    <n v="2"/>
    <n v="464.5"/>
    <s v="805 Main St"/>
    <x v="1"/>
    <x v="1"/>
    <s v="TRK35726395"/>
    <n v="2"/>
  </r>
  <r>
    <s v="ORD200505"/>
    <d v="2023-06-11T00:00:00"/>
    <s v="C36014"/>
    <x v="4"/>
    <n v="2"/>
    <n v="434.97"/>
    <s v="558 Main St"/>
    <x v="1"/>
    <x v="0"/>
    <s v="TRK97246526"/>
    <n v="7"/>
  </r>
  <r>
    <s v="ORD200506"/>
    <d v="2023-07-25T00:00:00"/>
    <s v="C23279"/>
    <x v="0"/>
    <n v="2"/>
    <n v="43.67"/>
    <s v="696 Main St"/>
    <x v="4"/>
    <x v="2"/>
    <s v="TRK58039693"/>
    <n v="4"/>
  </r>
  <r>
    <s v="ORD200507"/>
    <d v="2023-07-05T00:00:00"/>
    <s v="C86481"/>
    <x v="1"/>
    <n v="1"/>
    <n v="171.59"/>
    <s v="546 Main St"/>
    <x v="2"/>
    <x v="4"/>
    <s v="TRK87513944"/>
    <n v="5"/>
  </r>
  <r>
    <s v="ORD200508"/>
    <d v="2025-05-14T00:00:00"/>
    <s v="C39550"/>
    <x v="1"/>
    <n v="1"/>
    <n v="558.27"/>
    <s v="976 Main St"/>
    <x v="1"/>
    <x v="3"/>
    <s v="TRK24120267"/>
    <n v="1"/>
  </r>
  <r>
    <s v="ORD200509"/>
    <d v="2023-02-15T00:00:00"/>
    <s v="C68937"/>
    <x v="5"/>
    <n v="2"/>
    <n v="425.03"/>
    <s v="560 Main St"/>
    <x v="4"/>
    <x v="2"/>
    <s v="TRK31908657"/>
    <n v="2"/>
  </r>
  <r>
    <s v="ORD200510"/>
    <d v="2024-12-16T00:00:00"/>
    <s v="C72533"/>
    <x v="4"/>
    <n v="1"/>
    <n v="376.76"/>
    <s v="389 Main St"/>
    <x v="0"/>
    <x v="3"/>
    <s v="TRK51288986"/>
    <n v="5"/>
  </r>
  <r>
    <s v="ORD200511"/>
    <d v="2024-03-15T00:00:00"/>
    <s v="C11415"/>
    <x v="0"/>
    <n v="5"/>
    <n v="575.24"/>
    <s v="267 Main St"/>
    <x v="4"/>
    <x v="3"/>
    <s v="TRK65061457"/>
    <n v="7"/>
  </r>
  <r>
    <s v="ORD200512"/>
    <d v="2024-09-27T00:00:00"/>
    <s v="C14114"/>
    <x v="6"/>
    <n v="3"/>
    <n v="568.02"/>
    <s v="856 Main St"/>
    <x v="1"/>
    <x v="4"/>
    <s v="TRK63290700"/>
    <n v="3"/>
  </r>
  <r>
    <s v="ORD200513"/>
    <d v="2025-02-09T00:00:00"/>
    <s v="C64128"/>
    <x v="2"/>
    <n v="3"/>
    <n v="94.88"/>
    <s v="533 Main St"/>
    <x v="3"/>
    <x v="0"/>
    <s v="TRK37053575"/>
    <n v="8"/>
  </r>
  <r>
    <s v="ORD200514"/>
    <d v="2023-04-16T00:00:00"/>
    <s v="C15629"/>
    <x v="4"/>
    <n v="3"/>
    <n v="304.14999999999998"/>
    <s v="492 Main St"/>
    <x v="3"/>
    <x v="0"/>
    <s v="TRK64926044"/>
    <n v="3"/>
  </r>
  <r>
    <s v="ORD200515"/>
    <d v="2023-03-14T00:00:00"/>
    <s v="C67561"/>
    <x v="1"/>
    <n v="3"/>
    <n v="553.52"/>
    <s v="160 Main St"/>
    <x v="3"/>
    <x v="0"/>
    <s v="TRK75900717"/>
    <n v="4"/>
  </r>
  <r>
    <s v="ORD200516"/>
    <d v="2024-04-07T00:00:00"/>
    <s v="C47022"/>
    <x v="0"/>
    <n v="3"/>
    <n v="166.99"/>
    <s v="208 Main St"/>
    <x v="4"/>
    <x v="2"/>
    <s v="TRK28855040"/>
    <n v="8"/>
  </r>
  <r>
    <s v="ORD200517"/>
    <d v="2024-04-09T00:00:00"/>
    <s v="C55205"/>
    <x v="2"/>
    <n v="4"/>
    <n v="198.35"/>
    <s v="943 Main St"/>
    <x v="4"/>
    <x v="1"/>
    <s v="TRK88141634"/>
    <n v="7"/>
  </r>
  <r>
    <s v="ORD200518"/>
    <d v="2025-06-13T00:00:00"/>
    <s v="C30686"/>
    <x v="4"/>
    <n v="4"/>
    <n v="403.58"/>
    <s v="319 Main St"/>
    <x v="1"/>
    <x v="4"/>
    <s v="TRK59807273"/>
    <n v="9"/>
  </r>
  <r>
    <s v="ORD200519"/>
    <d v="2025-05-10T00:00:00"/>
    <s v="C71797"/>
    <x v="5"/>
    <n v="4"/>
    <n v="464.29"/>
    <s v="941 Main St"/>
    <x v="0"/>
    <x v="2"/>
    <s v="TRK66010667"/>
    <n v="5"/>
  </r>
  <r>
    <s v="ORD200520"/>
    <d v="2023-03-10T00:00:00"/>
    <s v="C66332"/>
    <x v="0"/>
    <n v="3"/>
    <n v="635.98"/>
    <s v="959 Main St"/>
    <x v="4"/>
    <x v="2"/>
    <s v="TRK27063398"/>
    <n v="5"/>
  </r>
  <r>
    <s v="ORD200521"/>
    <d v="2024-02-25T00:00:00"/>
    <s v="C82318"/>
    <x v="1"/>
    <n v="1"/>
    <n v="528.05999999999995"/>
    <s v="991 Main St"/>
    <x v="2"/>
    <x v="0"/>
    <s v="TRK37534165"/>
    <n v="2"/>
  </r>
  <r>
    <s v="ORD200522"/>
    <d v="2024-04-20T00:00:00"/>
    <s v="C66254"/>
    <x v="3"/>
    <n v="1"/>
    <n v="515.32000000000005"/>
    <s v="740 Main St"/>
    <x v="3"/>
    <x v="1"/>
    <s v="TRK82843861"/>
    <n v="1"/>
  </r>
  <r>
    <s v="ORD200523"/>
    <d v="2025-02-18T00:00:00"/>
    <s v="C65083"/>
    <x v="6"/>
    <n v="4"/>
    <n v="657.79"/>
    <s v="652 Main St"/>
    <x v="2"/>
    <x v="2"/>
    <s v="TRK60937148"/>
    <n v="6"/>
  </r>
  <r>
    <s v="ORD200524"/>
    <d v="2023-10-25T00:00:00"/>
    <s v="C44778"/>
    <x v="1"/>
    <n v="1"/>
    <n v="153"/>
    <s v="103 Main St"/>
    <x v="2"/>
    <x v="2"/>
    <s v="TRK92617366"/>
    <n v="4"/>
  </r>
  <r>
    <s v="ORD200525"/>
    <d v="2023-12-03T00:00:00"/>
    <s v="C54499"/>
    <x v="0"/>
    <n v="1"/>
    <n v="668.48"/>
    <s v="160 Main St"/>
    <x v="0"/>
    <x v="0"/>
    <s v="TRK18061555"/>
    <n v="1"/>
  </r>
  <r>
    <s v="ORD200526"/>
    <d v="2024-02-29T00:00:00"/>
    <s v="C91201"/>
    <x v="6"/>
    <n v="2"/>
    <n v="46.5"/>
    <s v="837 Main St"/>
    <x v="4"/>
    <x v="2"/>
    <s v="TRK63526023"/>
    <n v="7"/>
  </r>
  <r>
    <s v="ORD200527"/>
    <d v="2024-08-19T00:00:00"/>
    <s v="C27202"/>
    <x v="3"/>
    <n v="5"/>
    <n v="653.47"/>
    <s v="967 Main St"/>
    <x v="2"/>
    <x v="1"/>
    <s v="TRK75406128"/>
    <n v="10"/>
  </r>
  <r>
    <s v="ORD200528"/>
    <d v="2025-02-26T00:00:00"/>
    <s v="C32011"/>
    <x v="3"/>
    <n v="1"/>
    <n v="628.89"/>
    <s v="686 Main St"/>
    <x v="2"/>
    <x v="2"/>
    <s v="TRK70997744"/>
    <n v="2"/>
  </r>
  <r>
    <s v="ORD200529"/>
    <d v="2024-04-07T00:00:00"/>
    <s v="C21181"/>
    <x v="2"/>
    <n v="2"/>
    <n v="675.1"/>
    <s v="938 Main St"/>
    <x v="4"/>
    <x v="4"/>
    <s v="TRK50363421"/>
    <n v="4"/>
  </r>
  <r>
    <s v="ORD200530"/>
    <d v="2024-07-18T00:00:00"/>
    <s v="C98450"/>
    <x v="3"/>
    <n v="4"/>
    <n v="89.41"/>
    <s v="613 Main St"/>
    <x v="1"/>
    <x v="4"/>
    <s v="TRK14809530"/>
    <n v="9"/>
  </r>
  <r>
    <s v="ORD200531"/>
    <d v="2024-07-02T00:00:00"/>
    <s v="C64502"/>
    <x v="6"/>
    <n v="5"/>
    <n v="320.01"/>
    <s v="722 Main St"/>
    <x v="3"/>
    <x v="3"/>
    <s v="TRK14914388"/>
    <n v="6"/>
  </r>
  <r>
    <s v="ORD200532"/>
    <d v="2025-05-03T00:00:00"/>
    <s v="C47365"/>
    <x v="5"/>
    <n v="2"/>
    <n v="41"/>
    <s v="369 Main St"/>
    <x v="1"/>
    <x v="3"/>
    <s v="TRK42207882"/>
    <n v="7"/>
  </r>
  <r>
    <s v="ORD200533"/>
    <d v="2023-03-05T00:00:00"/>
    <s v="C66349"/>
    <x v="6"/>
    <n v="1"/>
    <n v="565.85"/>
    <s v="715 Main St"/>
    <x v="3"/>
    <x v="2"/>
    <s v="TRK63550793"/>
    <n v="1"/>
  </r>
  <r>
    <s v="ORD200534"/>
    <d v="2024-06-06T00:00:00"/>
    <s v="C73289"/>
    <x v="3"/>
    <n v="3"/>
    <n v="648.59"/>
    <s v="906 Main St"/>
    <x v="0"/>
    <x v="1"/>
    <s v="TRK70872738"/>
    <n v="4"/>
  </r>
  <r>
    <s v="ORD200535"/>
    <d v="2024-07-24T00:00:00"/>
    <s v="C48649"/>
    <x v="0"/>
    <n v="3"/>
    <n v="68.12"/>
    <s v="332 Main St"/>
    <x v="1"/>
    <x v="1"/>
    <s v="TRK45821445"/>
    <n v="3"/>
  </r>
  <r>
    <s v="ORD200536"/>
    <d v="2024-06-09T00:00:00"/>
    <s v="C18724"/>
    <x v="3"/>
    <n v="1"/>
    <n v="616.1"/>
    <s v="124 Main St"/>
    <x v="4"/>
    <x v="2"/>
    <s v="TRK52508861"/>
    <n v="6"/>
  </r>
  <r>
    <s v="ORD200537"/>
    <d v="2025-03-23T00:00:00"/>
    <s v="C68553"/>
    <x v="2"/>
    <n v="3"/>
    <n v="247.47"/>
    <s v="385 Main St"/>
    <x v="1"/>
    <x v="3"/>
    <s v="TRK58218971"/>
    <n v="4"/>
  </r>
  <r>
    <s v="ORD200538"/>
    <d v="2024-05-24T00:00:00"/>
    <s v="C61280"/>
    <x v="1"/>
    <n v="3"/>
    <n v="490.74"/>
    <s v="100 Main St"/>
    <x v="4"/>
    <x v="0"/>
    <s v="TRK95487711"/>
    <n v="3"/>
  </r>
  <r>
    <s v="ORD200539"/>
    <d v="2025-02-18T00:00:00"/>
    <s v="C53277"/>
    <x v="6"/>
    <n v="3"/>
    <n v="531.72"/>
    <s v="473 Main St"/>
    <x v="3"/>
    <x v="3"/>
    <s v="TRK17653832"/>
    <n v="7"/>
  </r>
  <r>
    <s v="ORD200540"/>
    <d v="2024-01-29T00:00:00"/>
    <s v="C87281"/>
    <x v="5"/>
    <n v="5"/>
    <n v="648.65"/>
    <s v="852 Main St"/>
    <x v="1"/>
    <x v="4"/>
    <s v="TRK81765057"/>
    <n v="7"/>
  </r>
  <r>
    <s v="ORD200541"/>
    <d v="2023-08-07T00:00:00"/>
    <s v="C69009"/>
    <x v="4"/>
    <n v="5"/>
    <n v="456.06"/>
    <s v="879 Main St"/>
    <x v="4"/>
    <x v="4"/>
    <s v="TRK61295842"/>
    <n v="10"/>
  </r>
  <r>
    <s v="ORD200542"/>
    <d v="2023-11-14T00:00:00"/>
    <s v="C49726"/>
    <x v="2"/>
    <n v="1"/>
    <n v="17.98"/>
    <s v="934 Main St"/>
    <x v="4"/>
    <x v="1"/>
    <s v="TRK20739460"/>
    <n v="6"/>
  </r>
  <r>
    <s v="ORD200543"/>
    <d v="2024-03-09T00:00:00"/>
    <s v="C37531"/>
    <x v="6"/>
    <n v="5"/>
    <n v="269.86"/>
    <s v="354 Main St"/>
    <x v="4"/>
    <x v="0"/>
    <s v="TRK93877673"/>
    <n v="6"/>
  </r>
  <r>
    <s v="ORD200544"/>
    <d v="2024-03-10T00:00:00"/>
    <s v="C48713"/>
    <x v="4"/>
    <n v="5"/>
    <n v="31.96"/>
    <s v="373 Main St"/>
    <x v="2"/>
    <x v="2"/>
    <s v="TRK96334419"/>
    <n v="5"/>
  </r>
  <r>
    <s v="ORD200545"/>
    <d v="2023-12-19T00:00:00"/>
    <s v="C74138"/>
    <x v="0"/>
    <n v="2"/>
    <n v="98.47"/>
    <s v="964 Main St"/>
    <x v="4"/>
    <x v="2"/>
    <s v="TRK74091695"/>
    <n v="3"/>
  </r>
  <r>
    <s v="ORD200546"/>
    <d v="2024-03-01T00:00:00"/>
    <s v="C82399"/>
    <x v="0"/>
    <n v="1"/>
    <n v="158.68"/>
    <s v="928 Main St"/>
    <x v="2"/>
    <x v="2"/>
    <s v="TRK77177284"/>
    <n v="6"/>
  </r>
  <r>
    <s v="ORD200547"/>
    <d v="2023-08-20T00:00:00"/>
    <s v="C40427"/>
    <x v="1"/>
    <n v="1"/>
    <n v="613.98"/>
    <s v="411 Main St"/>
    <x v="1"/>
    <x v="3"/>
    <s v="TRK25392280"/>
    <n v="4"/>
  </r>
  <r>
    <s v="ORD200548"/>
    <d v="2024-01-05T00:00:00"/>
    <s v="C17103"/>
    <x v="4"/>
    <n v="3"/>
    <n v="426.12"/>
    <s v="922 Main St"/>
    <x v="1"/>
    <x v="3"/>
    <s v="TRK64398650"/>
    <n v="5"/>
  </r>
  <r>
    <s v="ORD200549"/>
    <d v="2025-02-25T00:00:00"/>
    <s v="C34266"/>
    <x v="0"/>
    <n v="4"/>
    <n v="629.88"/>
    <s v="550 Main St"/>
    <x v="0"/>
    <x v="1"/>
    <s v="TRK56378197"/>
    <n v="8"/>
  </r>
  <r>
    <s v="ORD200550"/>
    <d v="2023-10-29T00:00:00"/>
    <s v="C97485"/>
    <x v="5"/>
    <n v="4"/>
    <n v="228.91"/>
    <s v="573 Main St"/>
    <x v="4"/>
    <x v="0"/>
    <s v="TRK81794737"/>
    <n v="4"/>
  </r>
  <r>
    <s v="ORD200551"/>
    <d v="2023-05-18T00:00:00"/>
    <s v="C23947"/>
    <x v="5"/>
    <n v="1"/>
    <n v="120.98"/>
    <s v="353 Main St"/>
    <x v="0"/>
    <x v="3"/>
    <s v="TRK74812710"/>
    <n v="6"/>
  </r>
  <r>
    <s v="ORD200552"/>
    <d v="2023-09-30T00:00:00"/>
    <s v="C21665"/>
    <x v="3"/>
    <n v="4"/>
    <n v="425.18"/>
    <s v="560 Main St"/>
    <x v="1"/>
    <x v="2"/>
    <s v="TRK29890761"/>
    <n v="8"/>
  </r>
  <r>
    <s v="ORD200553"/>
    <d v="2023-08-23T00:00:00"/>
    <s v="C82550"/>
    <x v="1"/>
    <n v="2"/>
    <n v="333.83"/>
    <s v="828 Main St"/>
    <x v="3"/>
    <x v="1"/>
    <s v="TRK74103758"/>
    <n v="4"/>
  </r>
  <r>
    <s v="ORD200554"/>
    <d v="2025-05-30T00:00:00"/>
    <s v="C61943"/>
    <x v="5"/>
    <n v="2"/>
    <n v="492.9"/>
    <s v="610 Main St"/>
    <x v="4"/>
    <x v="2"/>
    <s v="TRK66126496"/>
    <n v="5"/>
  </r>
  <r>
    <s v="ORD200555"/>
    <d v="2023-01-07T00:00:00"/>
    <s v="C88933"/>
    <x v="2"/>
    <n v="1"/>
    <n v="92.04"/>
    <s v="333 Main St"/>
    <x v="4"/>
    <x v="0"/>
    <s v="TRK89306964"/>
    <n v="2"/>
  </r>
  <r>
    <s v="ORD200556"/>
    <d v="2023-01-28T00:00:00"/>
    <s v="C30923"/>
    <x v="5"/>
    <n v="1"/>
    <n v="654.27"/>
    <s v="932 Main St"/>
    <x v="3"/>
    <x v="4"/>
    <s v="TRK82609328"/>
    <n v="2"/>
  </r>
  <r>
    <s v="ORD200557"/>
    <d v="2023-06-29T00:00:00"/>
    <s v="C56969"/>
    <x v="2"/>
    <n v="1"/>
    <n v="56.2"/>
    <s v="130 Main St"/>
    <x v="0"/>
    <x v="4"/>
    <s v="TRK40719215"/>
    <n v="1"/>
  </r>
  <r>
    <s v="ORD200558"/>
    <d v="2024-07-16T00:00:00"/>
    <s v="C76766"/>
    <x v="1"/>
    <n v="4"/>
    <n v="628.12"/>
    <s v="485 Main St"/>
    <x v="1"/>
    <x v="3"/>
    <s v="TRK32052962"/>
    <n v="6"/>
  </r>
  <r>
    <s v="ORD200559"/>
    <d v="2024-04-15T00:00:00"/>
    <s v="C22981"/>
    <x v="6"/>
    <n v="3"/>
    <n v="157.4"/>
    <s v="454 Main St"/>
    <x v="0"/>
    <x v="1"/>
    <s v="TRK10115285"/>
    <n v="7"/>
  </r>
  <r>
    <s v="ORD200560"/>
    <d v="2023-01-31T00:00:00"/>
    <s v="C33634"/>
    <x v="0"/>
    <n v="4"/>
    <n v="588.85"/>
    <s v="524 Main St"/>
    <x v="3"/>
    <x v="4"/>
    <s v="TRK93168008"/>
    <n v="7"/>
  </r>
  <r>
    <s v="ORD200561"/>
    <d v="2023-01-31T00:00:00"/>
    <s v="C96822"/>
    <x v="4"/>
    <n v="2"/>
    <n v="494.78"/>
    <s v="198 Main St"/>
    <x v="1"/>
    <x v="0"/>
    <s v="TRK89180077"/>
    <n v="2"/>
  </r>
  <r>
    <s v="ORD200562"/>
    <d v="2023-10-06T00:00:00"/>
    <s v="C76675"/>
    <x v="5"/>
    <n v="3"/>
    <n v="663.93"/>
    <s v="922 Main St"/>
    <x v="3"/>
    <x v="2"/>
    <s v="TRK28043915"/>
    <n v="6"/>
  </r>
  <r>
    <s v="ORD200563"/>
    <d v="2023-12-12T00:00:00"/>
    <s v="C12039"/>
    <x v="5"/>
    <n v="1"/>
    <n v="132.68"/>
    <s v="844 Main St"/>
    <x v="0"/>
    <x v="2"/>
    <s v="TRK68645763"/>
    <n v="1"/>
  </r>
  <r>
    <s v="ORD200564"/>
    <d v="2025-04-08T00:00:00"/>
    <s v="C93309"/>
    <x v="6"/>
    <n v="5"/>
    <n v="364.28"/>
    <s v="734 Main St"/>
    <x v="2"/>
    <x v="1"/>
    <s v="TRK99446987"/>
    <n v="5"/>
  </r>
  <r>
    <s v="ORD200565"/>
    <d v="2023-05-14T00:00:00"/>
    <s v="C62042"/>
    <x v="2"/>
    <n v="5"/>
    <n v="307.98"/>
    <s v="214 Main St"/>
    <x v="1"/>
    <x v="4"/>
    <s v="TRK42605492"/>
    <n v="10"/>
  </r>
  <r>
    <s v="ORD200566"/>
    <d v="2024-04-18T00:00:00"/>
    <s v="C83223"/>
    <x v="1"/>
    <n v="4"/>
    <n v="162.71"/>
    <s v="167 Main St"/>
    <x v="4"/>
    <x v="1"/>
    <s v="TRK54339083"/>
    <n v="7"/>
  </r>
  <r>
    <s v="ORD200567"/>
    <d v="2024-09-30T00:00:00"/>
    <s v="C92575"/>
    <x v="3"/>
    <n v="5"/>
    <n v="492.94"/>
    <s v="153 Main St"/>
    <x v="4"/>
    <x v="0"/>
    <s v="TRK53579227"/>
    <n v="10"/>
  </r>
  <r>
    <s v="ORD200568"/>
    <d v="2023-03-10T00:00:00"/>
    <s v="C29072"/>
    <x v="5"/>
    <n v="2"/>
    <n v="343.99"/>
    <s v="312 Main St"/>
    <x v="1"/>
    <x v="3"/>
    <s v="TRK72334047"/>
    <n v="4"/>
  </r>
  <r>
    <s v="ORD200569"/>
    <d v="2025-03-22T00:00:00"/>
    <s v="C25783"/>
    <x v="6"/>
    <n v="5"/>
    <n v="250.68"/>
    <s v="672 Main St"/>
    <x v="4"/>
    <x v="0"/>
    <s v="TRK13289741"/>
    <n v="8"/>
  </r>
  <r>
    <s v="ORD200570"/>
    <d v="2024-12-27T00:00:00"/>
    <s v="C63727"/>
    <x v="6"/>
    <n v="2"/>
    <n v="362.14"/>
    <s v="122 Main St"/>
    <x v="0"/>
    <x v="4"/>
    <s v="TRK13611021"/>
    <n v="2"/>
  </r>
  <r>
    <s v="ORD200571"/>
    <d v="2024-11-23T00:00:00"/>
    <s v="C42365"/>
    <x v="2"/>
    <n v="1"/>
    <n v="214.08"/>
    <s v="867 Main St"/>
    <x v="3"/>
    <x v="2"/>
    <s v="TRK39563288"/>
    <n v="2"/>
  </r>
  <r>
    <s v="ORD200572"/>
    <d v="2023-11-11T00:00:00"/>
    <s v="C27438"/>
    <x v="4"/>
    <n v="1"/>
    <n v="70.319999999999993"/>
    <s v="341 Main St"/>
    <x v="4"/>
    <x v="2"/>
    <s v="TRK69125497"/>
    <n v="4"/>
  </r>
  <r>
    <s v="ORD200573"/>
    <d v="2023-01-25T00:00:00"/>
    <s v="C13205"/>
    <x v="3"/>
    <n v="5"/>
    <n v="421.42"/>
    <s v="522 Main St"/>
    <x v="0"/>
    <x v="1"/>
    <s v="TRK30686578"/>
    <n v="7"/>
  </r>
  <r>
    <s v="ORD200574"/>
    <d v="2024-01-24T00:00:00"/>
    <s v="C29685"/>
    <x v="3"/>
    <n v="5"/>
    <n v="384.69"/>
    <s v="275 Main St"/>
    <x v="2"/>
    <x v="4"/>
    <s v="TRK97733212"/>
    <n v="6"/>
  </r>
  <r>
    <s v="ORD200575"/>
    <d v="2023-06-07T00:00:00"/>
    <s v="C74005"/>
    <x v="3"/>
    <n v="5"/>
    <n v="448.15"/>
    <s v="528 Main St"/>
    <x v="3"/>
    <x v="2"/>
    <s v="TRK61640534"/>
    <n v="7"/>
  </r>
  <r>
    <s v="ORD200576"/>
    <d v="2024-05-29T00:00:00"/>
    <s v="C14457"/>
    <x v="5"/>
    <n v="5"/>
    <n v="79.08"/>
    <s v="747 Main St"/>
    <x v="4"/>
    <x v="4"/>
    <s v="TRK42517811"/>
    <n v="8"/>
  </r>
  <r>
    <s v="ORD200577"/>
    <d v="2023-01-22T00:00:00"/>
    <s v="C77046"/>
    <x v="2"/>
    <n v="4"/>
    <n v="185.41"/>
    <s v="967 Main St"/>
    <x v="1"/>
    <x v="2"/>
    <s v="TRK44401497"/>
    <n v="9"/>
  </r>
  <r>
    <s v="ORD200578"/>
    <d v="2024-10-10T00:00:00"/>
    <s v="C50415"/>
    <x v="0"/>
    <n v="5"/>
    <n v="566.07000000000005"/>
    <s v="587 Main St"/>
    <x v="2"/>
    <x v="3"/>
    <s v="TRK41345634"/>
    <n v="6"/>
  </r>
  <r>
    <s v="ORD200579"/>
    <d v="2023-06-04T00:00:00"/>
    <s v="C73999"/>
    <x v="2"/>
    <n v="2"/>
    <n v="187.88"/>
    <s v="413 Main St"/>
    <x v="1"/>
    <x v="0"/>
    <s v="TRK67919507"/>
    <n v="4"/>
  </r>
  <r>
    <s v="ORD200580"/>
    <d v="2023-11-14T00:00:00"/>
    <s v="C71076"/>
    <x v="0"/>
    <n v="2"/>
    <n v="255.99"/>
    <s v="340 Main St"/>
    <x v="2"/>
    <x v="3"/>
    <s v="TRK65148292"/>
    <n v="4"/>
  </r>
  <r>
    <s v="ORD200581"/>
    <d v="2024-11-11T00:00:00"/>
    <s v="C44674"/>
    <x v="5"/>
    <n v="1"/>
    <n v="627.34"/>
    <s v="942 Main St"/>
    <x v="1"/>
    <x v="3"/>
    <s v="TRK87158684"/>
    <n v="1"/>
  </r>
  <r>
    <s v="ORD200582"/>
    <d v="2024-02-19T00:00:00"/>
    <s v="C15228"/>
    <x v="2"/>
    <n v="3"/>
    <n v="474.14"/>
    <s v="558 Main St"/>
    <x v="3"/>
    <x v="0"/>
    <s v="TRK33860620"/>
    <n v="8"/>
  </r>
  <r>
    <s v="ORD200583"/>
    <d v="2025-06-15T00:00:00"/>
    <s v="C27072"/>
    <x v="3"/>
    <n v="3"/>
    <n v="154.37"/>
    <s v="996 Main St"/>
    <x v="3"/>
    <x v="3"/>
    <s v="TRK29750379"/>
    <n v="4"/>
  </r>
  <r>
    <s v="ORD200584"/>
    <d v="2025-03-21T00:00:00"/>
    <s v="C15257"/>
    <x v="3"/>
    <n v="4"/>
    <n v="145.05000000000001"/>
    <s v="626 Main St"/>
    <x v="1"/>
    <x v="3"/>
    <s v="TRK28779938"/>
    <n v="6"/>
  </r>
  <r>
    <s v="ORD200585"/>
    <d v="2023-08-20T00:00:00"/>
    <s v="C91486"/>
    <x v="2"/>
    <n v="4"/>
    <n v="67.08"/>
    <s v="907 Main St"/>
    <x v="4"/>
    <x v="2"/>
    <s v="TRK79617136"/>
    <n v="8"/>
  </r>
  <r>
    <s v="ORD200586"/>
    <d v="2024-11-10T00:00:00"/>
    <s v="C17389"/>
    <x v="0"/>
    <n v="1"/>
    <n v="522.08000000000004"/>
    <s v="905 Main St"/>
    <x v="3"/>
    <x v="2"/>
    <s v="TRK98857880"/>
    <n v="5"/>
  </r>
  <r>
    <s v="ORD200587"/>
    <d v="2023-06-12T00:00:00"/>
    <s v="C18820"/>
    <x v="0"/>
    <n v="5"/>
    <n v="514.6"/>
    <s v="347 Main St"/>
    <x v="3"/>
    <x v="3"/>
    <s v="TRK91547425"/>
    <n v="10"/>
  </r>
  <r>
    <s v="ORD200588"/>
    <d v="2024-12-10T00:00:00"/>
    <s v="C61849"/>
    <x v="0"/>
    <n v="4"/>
    <n v="577.82000000000005"/>
    <s v="811 Main St"/>
    <x v="2"/>
    <x v="3"/>
    <s v="TRK47613918"/>
    <n v="9"/>
  </r>
  <r>
    <s v="ORD200589"/>
    <d v="2025-02-10T00:00:00"/>
    <s v="C84041"/>
    <x v="5"/>
    <n v="2"/>
    <n v="500.8"/>
    <s v="900 Main St"/>
    <x v="4"/>
    <x v="3"/>
    <s v="TRK84920444"/>
    <n v="3"/>
  </r>
  <r>
    <s v="ORD200590"/>
    <d v="2023-09-10T00:00:00"/>
    <s v="C55757"/>
    <x v="4"/>
    <n v="2"/>
    <n v="461.13"/>
    <s v="175 Main St"/>
    <x v="3"/>
    <x v="2"/>
    <s v="TRK27356242"/>
    <n v="4"/>
  </r>
  <r>
    <s v="ORD200591"/>
    <d v="2024-11-18T00:00:00"/>
    <s v="C18187"/>
    <x v="5"/>
    <n v="1"/>
    <n v="605.28"/>
    <s v="470 Main St"/>
    <x v="3"/>
    <x v="0"/>
    <s v="TRK50528185"/>
    <n v="3"/>
  </r>
  <r>
    <s v="ORD200592"/>
    <d v="2024-04-23T00:00:00"/>
    <s v="C42306"/>
    <x v="1"/>
    <n v="3"/>
    <n v="204.27"/>
    <s v="938 Main St"/>
    <x v="1"/>
    <x v="2"/>
    <s v="TRK15499648"/>
    <n v="4"/>
  </r>
  <r>
    <s v="ORD200593"/>
    <d v="2023-08-02T00:00:00"/>
    <s v="C51024"/>
    <x v="0"/>
    <n v="1"/>
    <n v="489.8"/>
    <s v="636 Main St"/>
    <x v="3"/>
    <x v="0"/>
    <s v="TRK31375086"/>
    <n v="4"/>
  </r>
  <r>
    <s v="ORD200594"/>
    <d v="2024-02-21T00:00:00"/>
    <s v="C40140"/>
    <x v="1"/>
    <n v="5"/>
    <n v="72.64"/>
    <s v="598 Main St"/>
    <x v="2"/>
    <x v="1"/>
    <s v="TRK12671989"/>
    <n v="7"/>
  </r>
  <r>
    <s v="ORD200595"/>
    <d v="2025-01-10T00:00:00"/>
    <s v="C72596"/>
    <x v="4"/>
    <n v="2"/>
    <n v="385.16"/>
    <s v="491 Main St"/>
    <x v="1"/>
    <x v="4"/>
    <s v="TRK83870446"/>
    <n v="7"/>
  </r>
  <r>
    <s v="ORD200596"/>
    <d v="2023-06-12T00:00:00"/>
    <s v="C91805"/>
    <x v="6"/>
    <n v="3"/>
    <n v="606.41"/>
    <s v="653 Main St"/>
    <x v="0"/>
    <x v="2"/>
    <s v="TRK34504030"/>
    <n v="7"/>
  </r>
  <r>
    <s v="ORD200597"/>
    <d v="2024-11-25T00:00:00"/>
    <s v="C40538"/>
    <x v="6"/>
    <n v="2"/>
    <n v="211.82"/>
    <s v="700 Main St"/>
    <x v="3"/>
    <x v="1"/>
    <s v="TRK29821356"/>
    <n v="4"/>
  </r>
  <r>
    <s v="ORD200598"/>
    <d v="2024-04-26T00:00:00"/>
    <s v="C60329"/>
    <x v="6"/>
    <n v="5"/>
    <n v="495.35"/>
    <s v="826 Main St"/>
    <x v="2"/>
    <x v="4"/>
    <s v="TRK59069987"/>
    <n v="5"/>
  </r>
  <r>
    <s v="ORD200599"/>
    <d v="2023-06-30T00:00:00"/>
    <s v="C28740"/>
    <x v="3"/>
    <n v="3"/>
    <n v="556.99"/>
    <s v="123 Main St"/>
    <x v="1"/>
    <x v="1"/>
    <s v="TRK33642221"/>
    <n v="4"/>
  </r>
  <r>
    <s v="ORD200600"/>
    <d v="2023-05-26T00:00:00"/>
    <s v="C87051"/>
    <x v="4"/>
    <n v="1"/>
    <n v="72.31"/>
    <s v="460 Main St"/>
    <x v="3"/>
    <x v="1"/>
    <s v="TRK82056333"/>
    <n v="1"/>
  </r>
  <r>
    <s v="ORD200601"/>
    <d v="2023-10-02T00:00:00"/>
    <s v="C12479"/>
    <x v="0"/>
    <n v="5"/>
    <n v="24.82"/>
    <s v="529 Main St"/>
    <x v="2"/>
    <x v="0"/>
    <s v="TRK73935314"/>
    <n v="10"/>
  </r>
  <r>
    <s v="ORD200602"/>
    <d v="2024-03-05T00:00:00"/>
    <s v="C35852"/>
    <x v="2"/>
    <n v="4"/>
    <n v="26.04"/>
    <s v="982 Main St"/>
    <x v="1"/>
    <x v="4"/>
    <s v="TRK64660134"/>
    <n v="5"/>
  </r>
  <r>
    <s v="ORD200603"/>
    <d v="2024-10-04T00:00:00"/>
    <s v="C26223"/>
    <x v="2"/>
    <n v="1"/>
    <n v="657.07"/>
    <s v="800 Main St"/>
    <x v="4"/>
    <x v="4"/>
    <s v="TRK50900547"/>
    <n v="4"/>
  </r>
  <r>
    <s v="ORD200604"/>
    <d v="2025-06-22T00:00:00"/>
    <s v="C99214"/>
    <x v="3"/>
    <n v="3"/>
    <n v="32.619999999999997"/>
    <s v="252 Main St"/>
    <x v="0"/>
    <x v="3"/>
    <s v="TRK81368481"/>
    <n v="6"/>
  </r>
  <r>
    <s v="ORD200605"/>
    <d v="2024-05-10T00:00:00"/>
    <s v="C49605"/>
    <x v="0"/>
    <n v="2"/>
    <n v="228.91"/>
    <s v="892 Main St"/>
    <x v="0"/>
    <x v="0"/>
    <s v="TRK95620066"/>
    <n v="4"/>
  </r>
  <r>
    <s v="ORD200606"/>
    <d v="2024-11-06T00:00:00"/>
    <s v="C85018"/>
    <x v="5"/>
    <n v="3"/>
    <n v="274.75"/>
    <s v="783 Main St"/>
    <x v="4"/>
    <x v="1"/>
    <s v="TRK54128886"/>
    <n v="3"/>
  </r>
  <r>
    <s v="ORD200607"/>
    <d v="2025-05-31T00:00:00"/>
    <s v="C96434"/>
    <x v="4"/>
    <n v="4"/>
    <n v="634.04999999999995"/>
    <s v="282 Main St"/>
    <x v="4"/>
    <x v="0"/>
    <s v="TRK56730647"/>
    <n v="6"/>
  </r>
  <r>
    <s v="ORD200608"/>
    <d v="2024-07-24T00:00:00"/>
    <s v="C32956"/>
    <x v="5"/>
    <n v="5"/>
    <n v="543.16"/>
    <s v="788 Main St"/>
    <x v="1"/>
    <x v="1"/>
    <s v="TRK73140103"/>
    <n v="6"/>
  </r>
  <r>
    <s v="ORD200609"/>
    <d v="2025-01-27T00:00:00"/>
    <s v="C41137"/>
    <x v="3"/>
    <n v="3"/>
    <n v="449.13"/>
    <s v="809 Main St"/>
    <x v="4"/>
    <x v="2"/>
    <s v="TRK52732162"/>
    <n v="5"/>
  </r>
  <r>
    <s v="ORD200610"/>
    <d v="2024-06-16T00:00:00"/>
    <s v="C60361"/>
    <x v="6"/>
    <n v="5"/>
    <n v="389.62"/>
    <s v="623 Main St"/>
    <x v="4"/>
    <x v="2"/>
    <s v="TRK83566924"/>
    <n v="7"/>
  </r>
  <r>
    <s v="ORD200611"/>
    <d v="2023-04-21T00:00:00"/>
    <s v="C36688"/>
    <x v="6"/>
    <n v="1"/>
    <n v="305.17"/>
    <s v="700 Main St"/>
    <x v="3"/>
    <x v="2"/>
    <s v="TRK35720426"/>
    <n v="3"/>
  </r>
  <r>
    <s v="ORD200612"/>
    <d v="2023-06-02T00:00:00"/>
    <s v="C51811"/>
    <x v="3"/>
    <n v="3"/>
    <n v="445.12"/>
    <s v="339 Main St"/>
    <x v="3"/>
    <x v="1"/>
    <s v="TRK82377939"/>
    <n v="8"/>
  </r>
  <r>
    <s v="ORD200613"/>
    <d v="2024-12-19T00:00:00"/>
    <s v="C62405"/>
    <x v="5"/>
    <n v="2"/>
    <n v="230.36"/>
    <s v="154 Main St"/>
    <x v="1"/>
    <x v="2"/>
    <s v="TRK14721763"/>
    <n v="4"/>
  </r>
  <r>
    <s v="ORD200614"/>
    <d v="2024-03-08T00:00:00"/>
    <s v="C77363"/>
    <x v="1"/>
    <n v="1"/>
    <n v="96.81"/>
    <s v="807 Main St"/>
    <x v="3"/>
    <x v="1"/>
    <s v="TRK12439827"/>
    <n v="3"/>
  </r>
  <r>
    <s v="ORD200615"/>
    <d v="2025-03-07T00:00:00"/>
    <s v="C97218"/>
    <x v="0"/>
    <n v="5"/>
    <n v="460.14"/>
    <s v="252 Main St"/>
    <x v="2"/>
    <x v="2"/>
    <s v="TRK52632065"/>
    <n v="10"/>
  </r>
  <r>
    <s v="ORD200616"/>
    <d v="2024-10-17T00:00:00"/>
    <s v="C43919"/>
    <x v="2"/>
    <n v="3"/>
    <n v="601.6"/>
    <s v="984 Main St"/>
    <x v="2"/>
    <x v="1"/>
    <s v="TRK73113192"/>
    <n v="7"/>
  </r>
  <r>
    <s v="ORD200617"/>
    <d v="2024-02-08T00:00:00"/>
    <s v="C57093"/>
    <x v="2"/>
    <n v="3"/>
    <n v="184.47"/>
    <s v="834 Main St"/>
    <x v="1"/>
    <x v="1"/>
    <s v="TRK75469057"/>
    <n v="4"/>
  </r>
  <r>
    <s v="ORD200618"/>
    <d v="2024-09-03T00:00:00"/>
    <s v="C50565"/>
    <x v="2"/>
    <n v="1"/>
    <n v="411.34"/>
    <s v="399 Main St"/>
    <x v="0"/>
    <x v="2"/>
    <s v="TRK97981418"/>
    <n v="5"/>
  </r>
  <r>
    <s v="ORD200619"/>
    <d v="2024-07-16T00:00:00"/>
    <s v="C38845"/>
    <x v="5"/>
    <n v="1"/>
    <n v="532.89"/>
    <s v="764 Main St"/>
    <x v="3"/>
    <x v="4"/>
    <s v="TRK47637374"/>
    <n v="2"/>
  </r>
  <r>
    <s v="ORD200620"/>
    <d v="2024-03-27T00:00:00"/>
    <s v="C84834"/>
    <x v="2"/>
    <n v="3"/>
    <n v="136.34"/>
    <s v="866 Main St"/>
    <x v="0"/>
    <x v="2"/>
    <s v="TRK90136001"/>
    <n v="8"/>
  </r>
  <r>
    <s v="ORD200621"/>
    <d v="2023-10-22T00:00:00"/>
    <s v="C37455"/>
    <x v="1"/>
    <n v="5"/>
    <n v="476.01"/>
    <s v="146 Main St"/>
    <x v="2"/>
    <x v="3"/>
    <s v="TRK82685594"/>
    <n v="7"/>
  </r>
  <r>
    <s v="ORD200622"/>
    <d v="2024-11-02T00:00:00"/>
    <s v="C27078"/>
    <x v="6"/>
    <n v="5"/>
    <n v="236.38"/>
    <s v="128 Main St"/>
    <x v="2"/>
    <x v="2"/>
    <s v="TRK89314307"/>
    <n v="7"/>
  </r>
  <r>
    <s v="ORD200623"/>
    <d v="2023-06-16T00:00:00"/>
    <s v="C91941"/>
    <x v="4"/>
    <n v="3"/>
    <n v="396"/>
    <s v="269 Main St"/>
    <x v="3"/>
    <x v="1"/>
    <s v="TRK21330732"/>
    <n v="4"/>
  </r>
  <r>
    <s v="ORD200624"/>
    <d v="2024-01-16T00:00:00"/>
    <s v="C25967"/>
    <x v="2"/>
    <n v="5"/>
    <n v="341.96"/>
    <s v="747 Main St"/>
    <x v="0"/>
    <x v="3"/>
    <s v="TRK88559278"/>
    <n v="6"/>
  </r>
  <r>
    <s v="ORD200625"/>
    <d v="2023-09-24T00:00:00"/>
    <s v="C22123"/>
    <x v="2"/>
    <n v="1"/>
    <n v="672.89"/>
    <s v="519 Main St"/>
    <x v="2"/>
    <x v="4"/>
    <s v="TRK43250279"/>
    <n v="1"/>
  </r>
  <r>
    <s v="ORD200626"/>
    <d v="2024-03-01T00:00:00"/>
    <s v="C45671"/>
    <x v="2"/>
    <n v="2"/>
    <n v="657.48"/>
    <s v="769 Main St"/>
    <x v="1"/>
    <x v="0"/>
    <s v="TRK18179773"/>
    <n v="5"/>
  </r>
  <r>
    <s v="ORD200627"/>
    <d v="2023-08-06T00:00:00"/>
    <s v="C53334"/>
    <x v="3"/>
    <n v="3"/>
    <n v="498.68"/>
    <s v="879 Main St"/>
    <x v="1"/>
    <x v="2"/>
    <s v="TRK31724421"/>
    <n v="4"/>
  </r>
  <r>
    <s v="ORD200628"/>
    <d v="2023-03-26T00:00:00"/>
    <s v="C18717"/>
    <x v="4"/>
    <n v="5"/>
    <n v="558.63"/>
    <s v="861 Main St"/>
    <x v="4"/>
    <x v="4"/>
    <s v="TRK58568806"/>
    <n v="8"/>
  </r>
  <r>
    <s v="ORD200629"/>
    <d v="2023-07-07T00:00:00"/>
    <s v="C50137"/>
    <x v="1"/>
    <n v="3"/>
    <n v="19.73"/>
    <s v="840 Main St"/>
    <x v="1"/>
    <x v="4"/>
    <s v="TRK91836131"/>
    <n v="3"/>
  </r>
  <r>
    <s v="ORD200630"/>
    <d v="2023-06-23T00:00:00"/>
    <s v="C51481"/>
    <x v="0"/>
    <n v="5"/>
    <n v="248.84"/>
    <s v="140 Main St"/>
    <x v="0"/>
    <x v="1"/>
    <s v="TRK33437701"/>
    <n v="10"/>
  </r>
  <r>
    <s v="ORD200631"/>
    <d v="2024-08-31T00:00:00"/>
    <s v="C99128"/>
    <x v="3"/>
    <n v="3"/>
    <n v="46.11"/>
    <s v="360 Main St"/>
    <x v="3"/>
    <x v="2"/>
    <s v="TRK32426808"/>
    <n v="5"/>
  </r>
  <r>
    <s v="ORD200632"/>
    <d v="2023-05-02T00:00:00"/>
    <s v="C67260"/>
    <x v="5"/>
    <n v="5"/>
    <n v="678.16"/>
    <s v="463 Main St"/>
    <x v="3"/>
    <x v="3"/>
    <s v="TRK38229104"/>
    <n v="7"/>
  </r>
  <r>
    <s v="ORD200633"/>
    <d v="2024-04-10T00:00:00"/>
    <s v="C79533"/>
    <x v="5"/>
    <n v="5"/>
    <n v="601.72"/>
    <s v="921 Main St"/>
    <x v="3"/>
    <x v="1"/>
    <s v="TRK54711422"/>
    <n v="5"/>
  </r>
  <r>
    <s v="ORD200634"/>
    <d v="2024-04-25T00:00:00"/>
    <s v="C66906"/>
    <x v="4"/>
    <n v="2"/>
    <n v="259.32"/>
    <s v="117 Main St"/>
    <x v="3"/>
    <x v="3"/>
    <s v="TRK31633755"/>
    <n v="2"/>
  </r>
  <r>
    <s v="ORD200635"/>
    <d v="2023-12-13T00:00:00"/>
    <s v="C12818"/>
    <x v="3"/>
    <n v="3"/>
    <n v="63.68"/>
    <s v="434 Main St"/>
    <x v="4"/>
    <x v="2"/>
    <s v="TRK40879983"/>
    <n v="6"/>
  </r>
  <r>
    <s v="ORD200636"/>
    <d v="2023-10-05T00:00:00"/>
    <s v="C60384"/>
    <x v="5"/>
    <n v="4"/>
    <n v="371.07"/>
    <s v="336 Main St"/>
    <x v="4"/>
    <x v="1"/>
    <s v="TRK92080037"/>
    <n v="7"/>
  </r>
  <r>
    <s v="ORD200637"/>
    <d v="2024-09-29T00:00:00"/>
    <s v="C92294"/>
    <x v="3"/>
    <n v="4"/>
    <n v="306.35000000000002"/>
    <s v="784 Main St"/>
    <x v="3"/>
    <x v="0"/>
    <s v="TRK23585765"/>
    <n v="7"/>
  </r>
  <r>
    <s v="ORD200638"/>
    <d v="2023-10-15T00:00:00"/>
    <s v="C66840"/>
    <x v="2"/>
    <n v="4"/>
    <n v="578.27"/>
    <s v="547 Main St"/>
    <x v="1"/>
    <x v="3"/>
    <s v="TRK76929637"/>
    <n v="9"/>
  </r>
  <r>
    <s v="ORD200639"/>
    <d v="2023-01-20T00:00:00"/>
    <s v="C22534"/>
    <x v="3"/>
    <n v="1"/>
    <n v="529.19000000000005"/>
    <s v="391 Main St"/>
    <x v="4"/>
    <x v="1"/>
    <s v="TRK17415798"/>
    <n v="5"/>
  </r>
  <r>
    <s v="ORD200640"/>
    <d v="2024-02-27T00:00:00"/>
    <s v="C46509"/>
    <x v="3"/>
    <n v="2"/>
    <n v="587.49"/>
    <s v="647 Main St"/>
    <x v="3"/>
    <x v="2"/>
    <s v="TRK24241664"/>
    <n v="6"/>
  </r>
  <r>
    <s v="ORD200641"/>
    <d v="2024-06-30T00:00:00"/>
    <s v="C71680"/>
    <x v="4"/>
    <n v="4"/>
    <n v="567.57000000000005"/>
    <s v="814 Main St"/>
    <x v="0"/>
    <x v="4"/>
    <s v="TRK47386650"/>
    <n v="9"/>
  </r>
  <r>
    <s v="ORD200642"/>
    <d v="2024-04-29T00:00:00"/>
    <s v="C15063"/>
    <x v="3"/>
    <n v="5"/>
    <n v="85.22"/>
    <s v="527 Main St"/>
    <x v="2"/>
    <x v="1"/>
    <s v="TRK10329390"/>
    <n v="7"/>
  </r>
  <r>
    <s v="ORD200643"/>
    <d v="2024-08-26T00:00:00"/>
    <s v="C77122"/>
    <x v="5"/>
    <n v="1"/>
    <n v="438.37"/>
    <s v="647 Main St"/>
    <x v="4"/>
    <x v="1"/>
    <s v="TRK75814880"/>
    <n v="4"/>
  </r>
  <r>
    <s v="ORD200644"/>
    <d v="2023-11-15T00:00:00"/>
    <s v="C86524"/>
    <x v="3"/>
    <n v="2"/>
    <n v="366.23"/>
    <s v="961 Main St"/>
    <x v="4"/>
    <x v="0"/>
    <s v="TRK62490506"/>
    <n v="2"/>
  </r>
  <r>
    <s v="ORD200645"/>
    <d v="2023-01-02T00:00:00"/>
    <s v="C82990"/>
    <x v="5"/>
    <n v="2"/>
    <n v="150.05000000000001"/>
    <s v="727 Main St"/>
    <x v="2"/>
    <x v="1"/>
    <s v="TRK68574801"/>
    <n v="4"/>
  </r>
  <r>
    <s v="ORD200646"/>
    <d v="2023-10-27T00:00:00"/>
    <s v="C98761"/>
    <x v="3"/>
    <n v="4"/>
    <n v="498.51"/>
    <s v="804 Main St"/>
    <x v="0"/>
    <x v="0"/>
    <s v="TRK43262630"/>
    <n v="4"/>
  </r>
  <r>
    <s v="ORD200647"/>
    <d v="2025-04-24T00:00:00"/>
    <s v="C54409"/>
    <x v="6"/>
    <n v="3"/>
    <n v="339.39"/>
    <s v="667 Main St"/>
    <x v="4"/>
    <x v="2"/>
    <s v="TRK67671316"/>
    <n v="7"/>
  </r>
  <r>
    <s v="ORD200648"/>
    <d v="2025-01-18T00:00:00"/>
    <s v="C89674"/>
    <x v="0"/>
    <n v="2"/>
    <n v="575.83000000000004"/>
    <s v="182 Main St"/>
    <x v="1"/>
    <x v="3"/>
    <s v="TRK45902512"/>
    <n v="3"/>
  </r>
  <r>
    <s v="ORD200649"/>
    <d v="2023-12-23T00:00:00"/>
    <s v="C45899"/>
    <x v="0"/>
    <n v="2"/>
    <n v="642.98"/>
    <s v="153 Main St"/>
    <x v="0"/>
    <x v="2"/>
    <s v="TRK32932093"/>
    <n v="7"/>
  </r>
  <r>
    <s v="ORD200650"/>
    <d v="2023-05-18T00:00:00"/>
    <s v="C74499"/>
    <x v="6"/>
    <n v="2"/>
    <n v="372.23"/>
    <s v="518 Main St"/>
    <x v="3"/>
    <x v="3"/>
    <s v="TRK93767278"/>
    <n v="7"/>
  </r>
  <r>
    <s v="ORD200651"/>
    <d v="2024-11-12T00:00:00"/>
    <s v="C81192"/>
    <x v="3"/>
    <n v="3"/>
    <n v="646.34"/>
    <s v="429 Main St"/>
    <x v="0"/>
    <x v="4"/>
    <s v="TRK76931118"/>
    <n v="5"/>
  </r>
  <r>
    <s v="ORD200652"/>
    <d v="2024-06-05T00:00:00"/>
    <s v="C71473"/>
    <x v="3"/>
    <n v="5"/>
    <n v="341.84"/>
    <s v="328 Main St"/>
    <x v="1"/>
    <x v="0"/>
    <s v="TRK94857335"/>
    <n v="8"/>
  </r>
  <r>
    <s v="ORD200653"/>
    <d v="2024-02-25T00:00:00"/>
    <s v="C59338"/>
    <x v="4"/>
    <n v="3"/>
    <n v="690.3"/>
    <s v="747 Main St"/>
    <x v="2"/>
    <x v="0"/>
    <s v="TRK12902764"/>
    <n v="6"/>
  </r>
  <r>
    <s v="ORD200654"/>
    <d v="2023-06-12T00:00:00"/>
    <s v="C62661"/>
    <x v="2"/>
    <n v="3"/>
    <n v="382.37"/>
    <s v="863 Main St"/>
    <x v="0"/>
    <x v="2"/>
    <s v="TRK25748100"/>
    <n v="8"/>
  </r>
  <r>
    <s v="ORD200655"/>
    <d v="2023-03-14T00:00:00"/>
    <s v="C22101"/>
    <x v="3"/>
    <n v="2"/>
    <n v="132.6"/>
    <s v="262 Main St"/>
    <x v="0"/>
    <x v="1"/>
    <s v="TRK70711522"/>
    <n v="4"/>
  </r>
  <r>
    <s v="ORD200656"/>
    <d v="2024-01-18T00:00:00"/>
    <s v="C51404"/>
    <x v="0"/>
    <n v="2"/>
    <n v="189.06"/>
    <s v="835 Main St"/>
    <x v="3"/>
    <x v="0"/>
    <s v="TRK85682500"/>
    <n v="7"/>
  </r>
  <r>
    <s v="ORD200657"/>
    <d v="2023-12-24T00:00:00"/>
    <s v="C19384"/>
    <x v="2"/>
    <n v="4"/>
    <n v="87.79"/>
    <s v="532 Main St"/>
    <x v="4"/>
    <x v="1"/>
    <s v="TRK33207064"/>
    <n v="6"/>
  </r>
  <r>
    <s v="ORD200658"/>
    <d v="2025-04-18T00:00:00"/>
    <s v="C86864"/>
    <x v="4"/>
    <n v="2"/>
    <n v="46.36"/>
    <s v="670 Main St"/>
    <x v="3"/>
    <x v="2"/>
    <s v="TRK15323191"/>
    <n v="4"/>
  </r>
  <r>
    <s v="ORD200659"/>
    <d v="2024-10-26T00:00:00"/>
    <s v="C24301"/>
    <x v="1"/>
    <n v="2"/>
    <n v="642.04"/>
    <s v="964 Main St"/>
    <x v="3"/>
    <x v="3"/>
    <s v="TRK55000075"/>
    <n v="4"/>
  </r>
  <r>
    <s v="ORD200660"/>
    <d v="2024-10-19T00:00:00"/>
    <s v="C43842"/>
    <x v="3"/>
    <n v="2"/>
    <n v="651.57000000000005"/>
    <s v="933 Main St"/>
    <x v="0"/>
    <x v="0"/>
    <s v="TRK54084424"/>
    <n v="7"/>
  </r>
  <r>
    <s v="ORD200661"/>
    <d v="2025-02-28T00:00:00"/>
    <s v="C63657"/>
    <x v="2"/>
    <n v="3"/>
    <n v="424.89"/>
    <s v="116 Main St"/>
    <x v="0"/>
    <x v="1"/>
    <s v="TRK86378984"/>
    <n v="6"/>
  </r>
  <r>
    <s v="ORD200662"/>
    <d v="2023-01-28T00:00:00"/>
    <s v="C98332"/>
    <x v="5"/>
    <n v="3"/>
    <n v="438.89"/>
    <s v="985 Main St"/>
    <x v="4"/>
    <x v="2"/>
    <s v="TRK85744797"/>
    <n v="3"/>
  </r>
  <r>
    <s v="ORD200663"/>
    <d v="2024-04-15T00:00:00"/>
    <s v="C59774"/>
    <x v="0"/>
    <n v="1"/>
    <n v="72.599999999999994"/>
    <s v="941 Main St"/>
    <x v="0"/>
    <x v="1"/>
    <s v="TRK87635135"/>
    <n v="6"/>
  </r>
  <r>
    <s v="ORD200664"/>
    <d v="2024-12-19T00:00:00"/>
    <s v="C14847"/>
    <x v="5"/>
    <n v="4"/>
    <n v="194.75"/>
    <s v="188 Main St"/>
    <x v="4"/>
    <x v="0"/>
    <s v="TRK46492755"/>
    <n v="5"/>
  </r>
  <r>
    <s v="ORD200665"/>
    <d v="2023-05-02T00:00:00"/>
    <s v="C83653"/>
    <x v="2"/>
    <n v="4"/>
    <n v="231.26"/>
    <s v="253 Main St"/>
    <x v="1"/>
    <x v="0"/>
    <s v="TRK32619935"/>
    <n v="6"/>
  </r>
  <r>
    <s v="ORD200666"/>
    <d v="2024-08-31T00:00:00"/>
    <s v="C35711"/>
    <x v="0"/>
    <n v="4"/>
    <n v="327.12"/>
    <s v="788 Main St"/>
    <x v="2"/>
    <x v="1"/>
    <s v="TRK45281495"/>
    <n v="4"/>
  </r>
  <r>
    <s v="ORD200667"/>
    <d v="2023-05-03T00:00:00"/>
    <s v="C10477"/>
    <x v="5"/>
    <n v="1"/>
    <n v="466.42"/>
    <s v="172 Main St"/>
    <x v="3"/>
    <x v="4"/>
    <s v="TRK41505339"/>
    <n v="5"/>
  </r>
  <r>
    <s v="ORD200668"/>
    <d v="2024-07-05T00:00:00"/>
    <s v="C61257"/>
    <x v="0"/>
    <n v="2"/>
    <n v="253.67"/>
    <s v="981 Main St"/>
    <x v="4"/>
    <x v="2"/>
    <s v="TRK25226070"/>
    <n v="3"/>
  </r>
  <r>
    <s v="ORD200669"/>
    <d v="2023-02-05T00:00:00"/>
    <s v="C60547"/>
    <x v="6"/>
    <n v="1"/>
    <n v="257"/>
    <s v="812 Main St"/>
    <x v="0"/>
    <x v="1"/>
    <s v="TRK65694249"/>
    <n v="5"/>
  </r>
  <r>
    <s v="ORD200670"/>
    <d v="2024-04-18T00:00:00"/>
    <s v="C14576"/>
    <x v="6"/>
    <n v="4"/>
    <n v="539.20000000000005"/>
    <s v="747 Main St"/>
    <x v="2"/>
    <x v="4"/>
    <s v="TRK21637540"/>
    <n v="8"/>
  </r>
  <r>
    <s v="ORD200671"/>
    <d v="2023-06-15T00:00:00"/>
    <s v="C49282"/>
    <x v="3"/>
    <n v="5"/>
    <n v="50.74"/>
    <s v="737 Main St"/>
    <x v="3"/>
    <x v="1"/>
    <s v="TRK88653901"/>
    <n v="7"/>
  </r>
  <r>
    <s v="ORD200672"/>
    <d v="2023-05-09T00:00:00"/>
    <s v="C14017"/>
    <x v="1"/>
    <n v="2"/>
    <n v="624.16"/>
    <s v="984 Main St"/>
    <x v="0"/>
    <x v="0"/>
    <s v="TRK71009446"/>
    <n v="2"/>
  </r>
  <r>
    <s v="ORD200673"/>
    <d v="2023-02-21T00:00:00"/>
    <s v="C46504"/>
    <x v="2"/>
    <n v="2"/>
    <n v="372.92"/>
    <s v="131 Main St"/>
    <x v="2"/>
    <x v="3"/>
    <s v="TRK95024356"/>
    <n v="7"/>
  </r>
  <r>
    <s v="ORD200674"/>
    <d v="2024-01-09T00:00:00"/>
    <s v="C56928"/>
    <x v="5"/>
    <n v="4"/>
    <n v="358.75"/>
    <s v="860 Main St"/>
    <x v="3"/>
    <x v="3"/>
    <s v="TRK57792939"/>
    <n v="9"/>
  </r>
  <r>
    <s v="ORD200675"/>
    <d v="2024-08-06T00:00:00"/>
    <s v="C97749"/>
    <x v="6"/>
    <n v="3"/>
    <n v="342.02"/>
    <s v="906 Main St"/>
    <x v="0"/>
    <x v="4"/>
    <s v="TRK90233116"/>
    <n v="5"/>
  </r>
  <r>
    <s v="ORD200676"/>
    <d v="2025-06-23T00:00:00"/>
    <s v="C90431"/>
    <x v="5"/>
    <n v="2"/>
    <n v="422.34"/>
    <s v="985 Main St"/>
    <x v="2"/>
    <x v="1"/>
    <s v="TRK44151723"/>
    <n v="4"/>
  </r>
  <r>
    <s v="ORD200677"/>
    <d v="2025-04-03T00:00:00"/>
    <s v="C56722"/>
    <x v="2"/>
    <n v="5"/>
    <n v="22.07"/>
    <s v="179 Main St"/>
    <x v="1"/>
    <x v="1"/>
    <s v="TRK78778569"/>
    <n v="7"/>
  </r>
  <r>
    <s v="ORD200678"/>
    <d v="2024-11-24T00:00:00"/>
    <s v="C40863"/>
    <x v="3"/>
    <n v="3"/>
    <n v="163.13"/>
    <s v="457 Main St"/>
    <x v="3"/>
    <x v="0"/>
    <s v="TRK20553345"/>
    <n v="5"/>
  </r>
  <r>
    <s v="ORD200679"/>
    <d v="2023-02-02T00:00:00"/>
    <s v="C40798"/>
    <x v="2"/>
    <n v="3"/>
    <n v="360.66"/>
    <s v="304 Main St"/>
    <x v="1"/>
    <x v="2"/>
    <s v="TRK66106697"/>
    <n v="5"/>
  </r>
  <r>
    <s v="ORD200680"/>
    <d v="2023-08-27T00:00:00"/>
    <s v="C16702"/>
    <x v="0"/>
    <n v="3"/>
    <n v="463.39"/>
    <s v="694 Main St"/>
    <x v="2"/>
    <x v="2"/>
    <s v="TRK16953491"/>
    <n v="3"/>
  </r>
  <r>
    <s v="ORD200681"/>
    <d v="2024-01-30T00:00:00"/>
    <s v="C38262"/>
    <x v="2"/>
    <n v="1"/>
    <n v="155.27000000000001"/>
    <s v="548 Main St"/>
    <x v="0"/>
    <x v="0"/>
    <s v="TRK47300502"/>
    <n v="6"/>
  </r>
  <r>
    <s v="ORD200682"/>
    <d v="2023-07-23T00:00:00"/>
    <s v="C50274"/>
    <x v="0"/>
    <n v="3"/>
    <n v="509.42"/>
    <s v="449 Main St"/>
    <x v="2"/>
    <x v="1"/>
    <s v="TRK91729086"/>
    <n v="5"/>
  </r>
  <r>
    <s v="ORD200683"/>
    <d v="2025-05-18T00:00:00"/>
    <s v="C91591"/>
    <x v="6"/>
    <n v="4"/>
    <n v="652.48"/>
    <s v="887 Main St"/>
    <x v="4"/>
    <x v="4"/>
    <s v="TRK23554043"/>
    <n v="5"/>
  </r>
  <r>
    <s v="ORD200684"/>
    <d v="2024-09-22T00:00:00"/>
    <s v="C96583"/>
    <x v="4"/>
    <n v="4"/>
    <n v="34.840000000000003"/>
    <s v="288 Main St"/>
    <x v="2"/>
    <x v="0"/>
    <s v="TRK64353241"/>
    <n v="8"/>
  </r>
  <r>
    <s v="ORD200685"/>
    <d v="2025-02-07T00:00:00"/>
    <s v="C64579"/>
    <x v="6"/>
    <n v="1"/>
    <n v="234.37"/>
    <s v="638 Main St"/>
    <x v="0"/>
    <x v="0"/>
    <s v="TRK10276565"/>
    <n v="5"/>
  </r>
  <r>
    <s v="ORD200686"/>
    <d v="2023-10-09T00:00:00"/>
    <s v="C41903"/>
    <x v="6"/>
    <n v="3"/>
    <n v="53.6"/>
    <s v="525 Main St"/>
    <x v="4"/>
    <x v="4"/>
    <s v="TRK59112382"/>
    <n v="4"/>
  </r>
  <r>
    <s v="ORD200687"/>
    <d v="2023-09-13T00:00:00"/>
    <s v="C19742"/>
    <x v="2"/>
    <n v="1"/>
    <n v="332.09"/>
    <s v="408 Main St"/>
    <x v="3"/>
    <x v="2"/>
    <s v="TRK68845230"/>
    <n v="5"/>
  </r>
  <r>
    <s v="ORD200688"/>
    <d v="2024-03-06T00:00:00"/>
    <s v="C20077"/>
    <x v="0"/>
    <n v="4"/>
    <n v="593.22"/>
    <s v="154 Main St"/>
    <x v="2"/>
    <x v="1"/>
    <s v="TRK36415742"/>
    <n v="8"/>
  </r>
  <r>
    <s v="ORD200689"/>
    <d v="2023-08-29T00:00:00"/>
    <s v="C13186"/>
    <x v="2"/>
    <n v="2"/>
    <n v="444.84"/>
    <s v="787 Main St"/>
    <x v="1"/>
    <x v="0"/>
    <s v="TRK56967415"/>
    <n v="7"/>
  </r>
  <r>
    <s v="ORD200690"/>
    <d v="2024-07-12T00:00:00"/>
    <s v="C29318"/>
    <x v="0"/>
    <n v="1"/>
    <n v="24.48"/>
    <s v="128 Main St"/>
    <x v="3"/>
    <x v="2"/>
    <s v="TRK88666721"/>
    <n v="1"/>
  </r>
  <r>
    <s v="ORD200691"/>
    <d v="2024-11-24T00:00:00"/>
    <s v="C36137"/>
    <x v="5"/>
    <n v="3"/>
    <n v="239.08"/>
    <s v="396 Main St"/>
    <x v="4"/>
    <x v="0"/>
    <s v="TRK57376416"/>
    <n v="8"/>
  </r>
  <r>
    <s v="ORD200692"/>
    <d v="2023-01-23T00:00:00"/>
    <s v="C25534"/>
    <x v="6"/>
    <n v="5"/>
    <n v="196.84"/>
    <s v="319 Main St"/>
    <x v="2"/>
    <x v="3"/>
    <s v="TRK68347402"/>
    <n v="5"/>
  </r>
  <r>
    <s v="ORD200693"/>
    <d v="2025-03-12T00:00:00"/>
    <s v="C62070"/>
    <x v="0"/>
    <n v="1"/>
    <n v="176.58"/>
    <s v="674 Main St"/>
    <x v="0"/>
    <x v="2"/>
    <s v="TRK10267127"/>
    <n v="4"/>
  </r>
  <r>
    <s v="ORD200694"/>
    <d v="2023-10-02T00:00:00"/>
    <s v="C92049"/>
    <x v="4"/>
    <n v="4"/>
    <n v="666.52"/>
    <s v="619 Main St"/>
    <x v="4"/>
    <x v="0"/>
    <s v="TRK32287092"/>
    <n v="8"/>
  </r>
  <r>
    <s v="ORD200695"/>
    <d v="2024-11-23T00:00:00"/>
    <s v="C52604"/>
    <x v="4"/>
    <n v="5"/>
    <n v="101.3"/>
    <s v="553 Main St"/>
    <x v="1"/>
    <x v="0"/>
    <s v="TRK48839788"/>
    <n v="7"/>
  </r>
  <r>
    <s v="ORD200696"/>
    <d v="2023-07-02T00:00:00"/>
    <s v="C22429"/>
    <x v="3"/>
    <n v="4"/>
    <n v="151.19999999999999"/>
    <s v="965 Main St"/>
    <x v="3"/>
    <x v="4"/>
    <s v="TRK38572927"/>
    <n v="9"/>
  </r>
  <r>
    <s v="ORD200697"/>
    <d v="2025-02-04T00:00:00"/>
    <s v="C27430"/>
    <x v="4"/>
    <n v="5"/>
    <n v="94.85"/>
    <s v="788 Main St"/>
    <x v="4"/>
    <x v="0"/>
    <s v="TRK45025840"/>
    <n v="6"/>
  </r>
  <r>
    <s v="ORD200698"/>
    <d v="2023-01-04T00:00:00"/>
    <s v="C44366"/>
    <x v="5"/>
    <n v="2"/>
    <n v="388.22"/>
    <s v="169 Main St"/>
    <x v="4"/>
    <x v="3"/>
    <s v="TRK48658394"/>
    <n v="2"/>
  </r>
  <r>
    <s v="ORD200699"/>
    <d v="2023-11-13T00:00:00"/>
    <s v="C36813"/>
    <x v="5"/>
    <n v="3"/>
    <n v="614.15"/>
    <s v="897 Main St"/>
    <x v="3"/>
    <x v="1"/>
    <s v="TRK84088900"/>
    <n v="3"/>
  </r>
  <r>
    <s v="ORD200700"/>
    <d v="2024-09-25T00:00:00"/>
    <s v="C40201"/>
    <x v="5"/>
    <n v="2"/>
    <n v="92.91"/>
    <s v="555 Main St"/>
    <x v="4"/>
    <x v="2"/>
    <s v="TRK30198779"/>
    <n v="3"/>
  </r>
  <r>
    <s v="ORD200701"/>
    <d v="2024-06-23T00:00:00"/>
    <s v="C75456"/>
    <x v="0"/>
    <n v="3"/>
    <n v="92.22"/>
    <s v="115 Main St"/>
    <x v="2"/>
    <x v="3"/>
    <s v="TRK90519490"/>
    <n v="5"/>
  </r>
  <r>
    <s v="ORD200702"/>
    <d v="2024-06-09T00:00:00"/>
    <s v="C33315"/>
    <x v="4"/>
    <n v="3"/>
    <n v="562.54999999999995"/>
    <s v="154 Main St"/>
    <x v="0"/>
    <x v="2"/>
    <s v="TRK43589369"/>
    <n v="6"/>
  </r>
  <r>
    <s v="ORD200703"/>
    <d v="2023-03-22T00:00:00"/>
    <s v="C89336"/>
    <x v="6"/>
    <n v="1"/>
    <n v="92.79"/>
    <s v="799 Main St"/>
    <x v="4"/>
    <x v="4"/>
    <s v="TRK47665103"/>
    <n v="3"/>
  </r>
  <r>
    <s v="ORD200704"/>
    <d v="2023-06-03T00:00:00"/>
    <s v="C96034"/>
    <x v="6"/>
    <n v="4"/>
    <n v="30.27"/>
    <s v="819 Main St"/>
    <x v="1"/>
    <x v="3"/>
    <s v="TRK87261034"/>
    <n v="9"/>
  </r>
  <r>
    <s v="ORD200705"/>
    <d v="2025-03-30T00:00:00"/>
    <s v="C50114"/>
    <x v="0"/>
    <n v="2"/>
    <n v="49.08"/>
    <s v="420 Main St"/>
    <x v="0"/>
    <x v="2"/>
    <s v="TRK20214786"/>
    <n v="7"/>
  </r>
  <r>
    <s v="ORD200706"/>
    <d v="2025-03-02T00:00:00"/>
    <s v="C85330"/>
    <x v="6"/>
    <n v="5"/>
    <n v="228.09"/>
    <s v="969 Main St"/>
    <x v="3"/>
    <x v="2"/>
    <s v="TRK97693301"/>
    <n v="9"/>
  </r>
  <r>
    <s v="ORD200707"/>
    <d v="2024-11-01T00:00:00"/>
    <s v="C31761"/>
    <x v="3"/>
    <n v="4"/>
    <n v="650.04"/>
    <s v="989 Main St"/>
    <x v="3"/>
    <x v="1"/>
    <s v="TRK17628852"/>
    <n v="6"/>
  </r>
  <r>
    <s v="ORD200708"/>
    <d v="2025-03-04T00:00:00"/>
    <s v="C25268"/>
    <x v="4"/>
    <n v="1"/>
    <n v="665.11"/>
    <s v="788 Main St"/>
    <x v="4"/>
    <x v="4"/>
    <s v="TRK20481215"/>
    <n v="3"/>
  </r>
  <r>
    <s v="ORD200709"/>
    <d v="2024-12-07T00:00:00"/>
    <s v="C17132"/>
    <x v="6"/>
    <n v="1"/>
    <n v="386.03"/>
    <s v="855 Main St"/>
    <x v="1"/>
    <x v="4"/>
    <s v="TRK37504692"/>
    <n v="4"/>
  </r>
  <r>
    <s v="ORD200710"/>
    <d v="2024-07-22T00:00:00"/>
    <s v="C48790"/>
    <x v="5"/>
    <n v="5"/>
    <n v="21.54"/>
    <s v="113 Main St"/>
    <x v="3"/>
    <x v="2"/>
    <s v="TRK19086608"/>
    <n v="10"/>
  </r>
  <r>
    <s v="ORD200711"/>
    <d v="2024-07-04T00:00:00"/>
    <s v="C61070"/>
    <x v="2"/>
    <n v="2"/>
    <n v="475.78"/>
    <s v="632 Main St"/>
    <x v="1"/>
    <x v="0"/>
    <s v="TRK90764894"/>
    <n v="2"/>
  </r>
  <r>
    <s v="ORD200712"/>
    <d v="2024-01-09T00:00:00"/>
    <s v="C56969"/>
    <x v="2"/>
    <n v="2"/>
    <n v="68.400000000000006"/>
    <s v="993 Main St"/>
    <x v="3"/>
    <x v="4"/>
    <s v="TRK10513339"/>
    <n v="7"/>
  </r>
  <r>
    <s v="ORD200713"/>
    <d v="2025-06-21T00:00:00"/>
    <s v="C65056"/>
    <x v="2"/>
    <n v="4"/>
    <n v="532.49"/>
    <s v="638 Main St"/>
    <x v="1"/>
    <x v="1"/>
    <s v="TRK31705278"/>
    <n v="6"/>
  </r>
  <r>
    <s v="ORD200714"/>
    <d v="2023-04-21T00:00:00"/>
    <s v="C84888"/>
    <x v="5"/>
    <n v="1"/>
    <n v="51.73"/>
    <s v="278 Main St"/>
    <x v="0"/>
    <x v="4"/>
    <s v="TRK23612847"/>
    <n v="1"/>
  </r>
  <r>
    <s v="ORD200715"/>
    <d v="2024-07-26T00:00:00"/>
    <s v="C68266"/>
    <x v="4"/>
    <n v="3"/>
    <n v="653.63"/>
    <s v="281 Main St"/>
    <x v="1"/>
    <x v="3"/>
    <s v="TRK96161062"/>
    <n v="7"/>
  </r>
  <r>
    <s v="ORD200716"/>
    <d v="2024-06-13T00:00:00"/>
    <s v="C84115"/>
    <x v="3"/>
    <n v="3"/>
    <n v="454.29"/>
    <s v="891 Main St"/>
    <x v="2"/>
    <x v="4"/>
    <s v="TRK25466842"/>
    <n v="4"/>
  </r>
  <r>
    <s v="ORD200717"/>
    <d v="2023-10-16T00:00:00"/>
    <s v="C50087"/>
    <x v="3"/>
    <n v="3"/>
    <n v="122.11"/>
    <s v="707 Main St"/>
    <x v="1"/>
    <x v="3"/>
    <s v="TRK31143760"/>
    <n v="4"/>
  </r>
  <r>
    <s v="ORD200718"/>
    <d v="2023-04-08T00:00:00"/>
    <s v="C16790"/>
    <x v="5"/>
    <n v="4"/>
    <n v="64.739999999999995"/>
    <s v="718 Main St"/>
    <x v="3"/>
    <x v="1"/>
    <s v="TRK91791367"/>
    <n v="8"/>
  </r>
  <r>
    <s v="ORD200719"/>
    <d v="2024-01-21T00:00:00"/>
    <s v="C46920"/>
    <x v="5"/>
    <n v="2"/>
    <n v="681.06"/>
    <s v="703 Main St"/>
    <x v="0"/>
    <x v="0"/>
    <s v="TRK86403837"/>
    <n v="3"/>
  </r>
  <r>
    <s v="ORD200720"/>
    <d v="2023-09-21T00:00:00"/>
    <s v="C12740"/>
    <x v="6"/>
    <n v="5"/>
    <n v="128.94999999999999"/>
    <s v="305 Main St"/>
    <x v="4"/>
    <x v="4"/>
    <s v="TRK98506513"/>
    <n v="10"/>
  </r>
  <r>
    <s v="ORD200721"/>
    <d v="2024-03-18T00:00:00"/>
    <s v="C46557"/>
    <x v="6"/>
    <n v="2"/>
    <n v="118.59"/>
    <s v="890 Main St"/>
    <x v="2"/>
    <x v="3"/>
    <s v="TRK56110689"/>
    <n v="2"/>
  </r>
  <r>
    <s v="ORD200722"/>
    <d v="2024-11-15T00:00:00"/>
    <s v="C58156"/>
    <x v="4"/>
    <n v="1"/>
    <n v="95.1"/>
    <s v="516 Main St"/>
    <x v="3"/>
    <x v="4"/>
    <s v="TRK49719458"/>
    <n v="1"/>
  </r>
  <r>
    <s v="ORD200723"/>
    <d v="2023-12-09T00:00:00"/>
    <s v="C14455"/>
    <x v="6"/>
    <n v="3"/>
    <n v="54.95"/>
    <s v="385 Main St"/>
    <x v="4"/>
    <x v="2"/>
    <s v="TRK50933724"/>
    <n v="8"/>
  </r>
  <r>
    <s v="ORD200724"/>
    <d v="2024-10-18T00:00:00"/>
    <s v="C63150"/>
    <x v="4"/>
    <n v="3"/>
    <n v="136.97"/>
    <s v="326 Main St"/>
    <x v="2"/>
    <x v="2"/>
    <s v="TRK19348078"/>
    <n v="4"/>
  </r>
  <r>
    <s v="ORD200725"/>
    <d v="2023-03-12T00:00:00"/>
    <s v="C95269"/>
    <x v="3"/>
    <n v="2"/>
    <n v="194.85"/>
    <s v="372 Main St"/>
    <x v="3"/>
    <x v="2"/>
    <s v="TRK45670926"/>
    <n v="5"/>
  </r>
  <r>
    <s v="ORD200726"/>
    <d v="2024-10-25T00:00:00"/>
    <s v="C18105"/>
    <x v="5"/>
    <n v="4"/>
    <n v="583.02"/>
    <s v="338 Main St"/>
    <x v="1"/>
    <x v="3"/>
    <s v="TRK94006117"/>
    <n v="4"/>
  </r>
  <r>
    <s v="ORD200727"/>
    <d v="2024-09-29T00:00:00"/>
    <s v="C29063"/>
    <x v="3"/>
    <n v="5"/>
    <n v="95.75"/>
    <s v="379 Main St"/>
    <x v="1"/>
    <x v="0"/>
    <s v="TRK92745947"/>
    <n v="8"/>
  </r>
  <r>
    <s v="ORD200728"/>
    <d v="2024-07-29T00:00:00"/>
    <s v="C10154"/>
    <x v="6"/>
    <n v="4"/>
    <n v="325.76"/>
    <s v="827 Main St"/>
    <x v="3"/>
    <x v="0"/>
    <s v="TRK79793300"/>
    <n v="8"/>
  </r>
  <r>
    <s v="ORD200729"/>
    <d v="2023-09-08T00:00:00"/>
    <s v="C36997"/>
    <x v="1"/>
    <n v="4"/>
    <n v="186.41"/>
    <s v="819 Main St"/>
    <x v="3"/>
    <x v="4"/>
    <s v="TRK92794872"/>
    <n v="6"/>
  </r>
  <r>
    <s v="ORD200730"/>
    <d v="2025-02-22T00:00:00"/>
    <s v="C77357"/>
    <x v="1"/>
    <n v="1"/>
    <n v="474.6"/>
    <s v="407 Main St"/>
    <x v="0"/>
    <x v="3"/>
    <s v="TRK91943923"/>
    <n v="4"/>
  </r>
  <r>
    <s v="ORD200731"/>
    <d v="2024-06-07T00:00:00"/>
    <s v="C71310"/>
    <x v="4"/>
    <n v="5"/>
    <n v="584.46"/>
    <s v="308 Main St"/>
    <x v="2"/>
    <x v="2"/>
    <s v="TRK48292586"/>
    <n v="8"/>
  </r>
  <r>
    <s v="ORD200732"/>
    <d v="2025-03-07T00:00:00"/>
    <s v="C80987"/>
    <x v="5"/>
    <n v="1"/>
    <n v="132.05000000000001"/>
    <s v="787 Main St"/>
    <x v="1"/>
    <x v="3"/>
    <s v="TRK42187776"/>
    <n v="2"/>
  </r>
  <r>
    <s v="ORD200733"/>
    <d v="2023-12-04T00:00:00"/>
    <s v="C90757"/>
    <x v="2"/>
    <n v="4"/>
    <n v="494.84"/>
    <s v="694 Main St"/>
    <x v="4"/>
    <x v="2"/>
    <s v="TRK87991608"/>
    <n v="8"/>
  </r>
  <r>
    <s v="ORD200734"/>
    <d v="2024-01-23T00:00:00"/>
    <s v="C51898"/>
    <x v="4"/>
    <n v="4"/>
    <n v="224.61"/>
    <s v="630 Main St"/>
    <x v="2"/>
    <x v="2"/>
    <s v="TRK19767885"/>
    <n v="6"/>
  </r>
  <r>
    <s v="ORD200735"/>
    <d v="2024-06-28T00:00:00"/>
    <s v="C94508"/>
    <x v="0"/>
    <n v="4"/>
    <n v="44.07"/>
    <s v="359 Main St"/>
    <x v="0"/>
    <x v="4"/>
    <s v="TRK13443264"/>
    <n v="6"/>
  </r>
  <r>
    <s v="ORD200736"/>
    <d v="2024-02-09T00:00:00"/>
    <s v="C59441"/>
    <x v="0"/>
    <n v="5"/>
    <n v="418.53"/>
    <s v="696 Main St"/>
    <x v="2"/>
    <x v="4"/>
    <s v="TRK66186874"/>
    <n v="6"/>
  </r>
  <r>
    <s v="ORD200737"/>
    <d v="2024-01-03T00:00:00"/>
    <s v="C91029"/>
    <x v="1"/>
    <n v="4"/>
    <n v="532.87"/>
    <s v="972 Main St"/>
    <x v="4"/>
    <x v="4"/>
    <s v="TRK25501930"/>
    <n v="9"/>
  </r>
  <r>
    <s v="ORD200738"/>
    <d v="2025-06-04T00:00:00"/>
    <s v="C96261"/>
    <x v="1"/>
    <n v="2"/>
    <n v="485.37"/>
    <s v="264 Main St"/>
    <x v="2"/>
    <x v="0"/>
    <s v="TRK44998396"/>
    <n v="5"/>
  </r>
  <r>
    <s v="ORD200739"/>
    <d v="2024-06-13T00:00:00"/>
    <s v="C35123"/>
    <x v="1"/>
    <n v="4"/>
    <n v="386.73"/>
    <s v="513 Main St"/>
    <x v="4"/>
    <x v="3"/>
    <s v="TRK58979275"/>
    <n v="4"/>
  </r>
  <r>
    <s v="ORD200740"/>
    <d v="2024-07-20T00:00:00"/>
    <s v="C10892"/>
    <x v="6"/>
    <n v="2"/>
    <n v="377.47"/>
    <s v="433 Main St"/>
    <x v="4"/>
    <x v="4"/>
    <s v="TRK76154554"/>
    <n v="7"/>
  </r>
  <r>
    <s v="ORD200741"/>
    <d v="2025-01-23T00:00:00"/>
    <s v="C99683"/>
    <x v="0"/>
    <n v="5"/>
    <n v="332.64"/>
    <s v="945 Main St"/>
    <x v="3"/>
    <x v="3"/>
    <s v="TRK87305883"/>
    <n v="10"/>
  </r>
  <r>
    <s v="ORD200742"/>
    <d v="2024-11-30T00:00:00"/>
    <s v="C41974"/>
    <x v="5"/>
    <n v="3"/>
    <n v="699.93"/>
    <s v="726 Main St"/>
    <x v="4"/>
    <x v="2"/>
    <s v="TRK48051468"/>
    <n v="7"/>
  </r>
  <r>
    <s v="ORD200743"/>
    <d v="2024-09-30T00:00:00"/>
    <s v="C23978"/>
    <x v="0"/>
    <n v="1"/>
    <n v="576.35"/>
    <s v="549 Main St"/>
    <x v="3"/>
    <x v="2"/>
    <s v="TRK87090813"/>
    <n v="1"/>
  </r>
  <r>
    <s v="ORD200744"/>
    <d v="2024-06-12T00:00:00"/>
    <s v="C10642"/>
    <x v="2"/>
    <n v="2"/>
    <n v="461.37"/>
    <s v="200 Main St"/>
    <x v="4"/>
    <x v="3"/>
    <s v="TRK98725693"/>
    <n v="5"/>
  </r>
  <r>
    <s v="ORD200745"/>
    <d v="2023-03-02T00:00:00"/>
    <s v="C73813"/>
    <x v="4"/>
    <n v="4"/>
    <n v="111.3"/>
    <s v="364 Main St"/>
    <x v="0"/>
    <x v="4"/>
    <s v="TRK89906749"/>
    <n v="7"/>
  </r>
  <r>
    <s v="ORD200746"/>
    <d v="2025-02-24T00:00:00"/>
    <s v="C32183"/>
    <x v="6"/>
    <n v="3"/>
    <n v="661.89"/>
    <s v="551 Main St"/>
    <x v="1"/>
    <x v="1"/>
    <s v="TRK76287027"/>
    <n v="6"/>
  </r>
  <r>
    <s v="ORD200747"/>
    <d v="2025-03-12T00:00:00"/>
    <s v="C54277"/>
    <x v="2"/>
    <n v="2"/>
    <n v="259.58"/>
    <s v="940 Main St"/>
    <x v="0"/>
    <x v="3"/>
    <s v="TRK26500181"/>
    <n v="7"/>
  </r>
  <r>
    <s v="ORD200748"/>
    <d v="2024-07-15T00:00:00"/>
    <s v="C56553"/>
    <x v="2"/>
    <n v="3"/>
    <n v="70.81"/>
    <s v="249 Main St"/>
    <x v="2"/>
    <x v="0"/>
    <s v="TRK37667360"/>
    <n v="8"/>
  </r>
  <r>
    <s v="ORD200749"/>
    <d v="2025-04-13T00:00:00"/>
    <s v="C17551"/>
    <x v="5"/>
    <n v="1"/>
    <n v="518.39"/>
    <s v="997 Main St"/>
    <x v="0"/>
    <x v="4"/>
    <s v="TRK88797170"/>
    <n v="4"/>
  </r>
  <r>
    <s v="ORD200750"/>
    <d v="2023-01-14T00:00:00"/>
    <s v="C14737"/>
    <x v="2"/>
    <n v="4"/>
    <n v="145.41"/>
    <s v="637 Main St"/>
    <x v="2"/>
    <x v="2"/>
    <s v="TRK10295115"/>
    <n v="7"/>
  </r>
  <r>
    <s v="ORD200751"/>
    <d v="2023-01-24T00:00:00"/>
    <s v="C35168"/>
    <x v="2"/>
    <n v="2"/>
    <n v="599.86"/>
    <s v="455 Main St"/>
    <x v="3"/>
    <x v="4"/>
    <s v="TRK76960854"/>
    <n v="7"/>
  </r>
  <r>
    <s v="ORD200752"/>
    <d v="2024-10-03T00:00:00"/>
    <s v="C82217"/>
    <x v="1"/>
    <n v="4"/>
    <n v="429.37"/>
    <s v="299 Main St"/>
    <x v="2"/>
    <x v="3"/>
    <s v="TRK33305694"/>
    <n v="8"/>
  </r>
  <r>
    <s v="ORD200753"/>
    <d v="2024-04-24T00:00:00"/>
    <s v="C42270"/>
    <x v="1"/>
    <n v="2"/>
    <n v="241.49"/>
    <s v="864 Main St"/>
    <x v="0"/>
    <x v="2"/>
    <s v="TRK72697796"/>
    <n v="7"/>
  </r>
  <r>
    <s v="ORD200754"/>
    <d v="2025-05-31T00:00:00"/>
    <s v="C48846"/>
    <x v="4"/>
    <n v="2"/>
    <n v="452.05"/>
    <s v="983 Main St"/>
    <x v="2"/>
    <x v="2"/>
    <s v="TRK52804097"/>
    <n v="3"/>
  </r>
  <r>
    <s v="ORD200755"/>
    <d v="2023-06-13T00:00:00"/>
    <s v="C54160"/>
    <x v="6"/>
    <n v="3"/>
    <n v="336.71"/>
    <s v="658 Main St"/>
    <x v="2"/>
    <x v="4"/>
    <s v="TRK60515972"/>
    <n v="4"/>
  </r>
  <r>
    <s v="ORD200756"/>
    <d v="2024-06-27T00:00:00"/>
    <s v="C14080"/>
    <x v="1"/>
    <n v="1"/>
    <n v="283.69"/>
    <s v="202 Main St"/>
    <x v="3"/>
    <x v="0"/>
    <s v="TRK93163682"/>
    <n v="6"/>
  </r>
  <r>
    <s v="ORD200757"/>
    <d v="2024-02-22T00:00:00"/>
    <s v="C81074"/>
    <x v="6"/>
    <n v="1"/>
    <n v="157.72"/>
    <s v="597 Main St"/>
    <x v="0"/>
    <x v="3"/>
    <s v="TRK91105190"/>
    <n v="2"/>
  </r>
  <r>
    <s v="ORD200758"/>
    <d v="2023-03-26T00:00:00"/>
    <s v="C69021"/>
    <x v="2"/>
    <n v="3"/>
    <n v="624.84"/>
    <s v="917 Main St"/>
    <x v="2"/>
    <x v="1"/>
    <s v="TRK57148510"/>
    <n v="8"/>
  </r>
  <r>
    <s v="ORD200759"/>
    <d v="2023-07-24T00:00:00"/>
    <s v="C96283"/>
    <x v="6"/>
    <n v="3"/>
    <n v="308.01"/>
    <s v="366 Main St"/>
    <x v="4"/>
    <x v="4"/>
    <s v="TRK91784124"/>
    <n v="3"/>
  </r>
  <r>
    <s v="ORD200760"/>
    <d v="2025-02-18T00:00:00"/>
    <s v="C96636"/>
    <x v="6"/>
    <n v="1"/>
    <n v="39.56"/>
    <s v="283 Main St"/>
    <x v="0"/>
    <x v="1"/>
    <s v="TRK73324346"/>
    <n v="5"/>
  </r>
  <r>
    <s v="ORD200761"/>
    <d v="2023-06-02T00:00:00"/>
    <s v="C37235"/>
    <x v="6"/>
    <n v="4"/>
    <n v="37.76"/>
    <s v="217 Main St"/>
    <x v="0"/>
    <x v="3"/>
    <s v="TRK67789367"/>
    <n v="7"/>
  </r>
  <r>
    <s v="ORD200762"/>
    <d v="2024-09-17T00:00:00"/>
    <s v="C12444"/>
    <x v="1"/>
    <n v="3"/>
    <n v="76.959999999999994"/>
    <s v="611 Main St"/>
    <x v="4"/>
    <x v="2"/>
    <s v="TRK97621403"/>
    <n v="8"/>
  </r>
  <r>
    <s v="ORD200763"/>
    <d v="2023-04-06T00:00:00"/>
    <s v="C79142"/>
    <x v="5"/>
    <n v="1"/>
    <n v="569.96"/>
    <s v="533 Main St"/>
    <x v="1"/>
    <x v="3"/>
    <s v="TRK30915955"/>
    <n v="4"/>
  </r>
  <r>
    <s v="ORD200764"/>
    <d v="2024-03-10T00:00:00"/>
    <s v="C35983"/>
    <x v="5"/>
    <n v="5"/>
    <n v="627.42999999999995"/>
    <s v="806 Main St"/>
    <x v="2"/>
    <x v="1"/>
    <s v="TRK14016163"/>
    <n v="10"/>
  </r>
  <r>
    <s v="ORD200765"/>
    <d v="2023-10-06T00:00:00"/>
    <s v="C36150"/>
    <x v="5"/>
    <n v="2"/>
    <n v="534.91"/>
    <s v="281 Main St"/>
    <x v="0"/>
    <x v="2"/>
    <s v="TRK96249043"/>
    <n v="5"/>
  </r>
  <r>
    <s v="ORD200766"/>
    <d v="2023-01-22T00:00:00"/>
    <s v="C91454"/>
    <x v="4"/>
    <n v="2"/>
    <n v="278.88"/>
    <s v="494 Main St"/>
    <x v="0"/>
    <x v="4"/>
    <s v="TRK99985340"/>
    <n v="3"/>
  </r>
  <r>
    <s v="ORD200767"/>
    <d v="2025-04-18T00:00:00"/>
    <s v="C19368"/>
    <x v="2"/>
    <n v="2"/>
    <n v="323.22000000000003"/>
    <s v="517 Main St"/>
    <x v="2"/>
    <x v="3"/>
    <s v="TRK80436037"/>
    <n v="7"/>
  </r>
  <r>
    <s v="ORD200768"/>
    <d v="2023-09-04T00:00:00"/>
    <s v="C35987"/>
    <x v="2"/>
    <n v="5"/>
    <n v="653.46"/>
    <s v="165 Main St"/>
    <x v="4"/>
    <x v="1"/>
    <s v="TRK28918815"/>
    <n v="9"/>
  </r>
  <r>
    <s v="ORD200769"/>
    <d v="2023-07-06T00:00:00"/>
    <s v="C13366"/>
    <x v="4"/>
    <n v="4"/>
    <n v="678.55"/>
    <s v="568 Main St"/>
    <x v="4"/>
    <x v="3"/>
    <s v="TRK98691410"/>
    <n v="5"/>
  </r>
  <r>
    <s v="ORD200770"/>
    <d v="2024-02-11T00:00:00"/>
    <s v="C72166"/>
    <x v="6"/>
    <n v="1"/>
    <n v="314.38"/>
    <s v="227 Main St"/>
    <x v="1"/>
    <x v="2"/>
    <s v="TRK67733444"/>
    <n v="6"/>
  </r>
  <r>
    <s v="ORD200771"/>
    <d v="2024-06-12T00:00:00"/>
    <s v="C20357"/>
    <x v="1"/>
    <n v="3"/>
    <n v="692.44"/>
    <s v="272 Main St"/>
    <x v="0"/>
    <x v="1"/>
    <s v="TRK82236408"/>
    <n v="8"/>
  </r>
  <r>
    <s v="ORD200772"/>
    <d v="2024-07-28T00:00:00"/>
    <s v="C33802"/>
    <x v="0"/>
    <n v="1"/>
    <n v="604.87"/>
    <s v="461 Main St"/>
    <x v="1"/>
    <x v="3"/>
    <s v="TRK25799478"/>
    <n v="4"/>
  </r>
  <r>
    <s v="ORD200773"/>
    <d v="2025-06-28T00:00:00"/>
    <s v="C99205"/>
    <x v="1"/>
    <n v="2"/>
    <n v="512.33000000000004"/>
    <s v="415 Main St"/>
    <x v="4"/>
    <x v="1"/>
    <s v="TRK48904015"/>
    <n v="7"/>
  </r>
  <r>
    <s v="ORD200774"/>
    <d v="2025-04-15T00:00:00"/>
    <s v="C29701"/>
    <x v="3"/>
    <n v="3"/>
    <n v="20.54"/>
    <s v="257 Main St"/>
    <x v="2"/>
    <x v="1"/>
    <s v="TRK42266846"/>
    <n v="3"/>
  </r>
  <r>
    <s v="ORD200775"/>
    <d v="2023-03-04T00:00:00"/>
    <s v="C73941"/>
    <x v="1"/>
    <n v="2"/>
    <n v="625.22"/>
    <s v="569 Main St"/>
    <x v="1"/>
    <x v="1"/>
    <s v="TRK22051900"/>
    <n v="5"/>
  </r>
  <r>
    <s v="ORD200776"/>
    <d v="2023-08-21T00:00:00"/>
    <s v="C69168"/>
    <x v="2"/>
    <n v="1"/>
    <n v="21.19"/>
    <s v="482 Main St"/>
    <x v="4"/>
    <x v="2"/>
    <s v="TRK10446197"/>
    <n v="5"/>
  </r>
  <r>
    <s v="ORD200777"/>
    <d v="2025-03-21T00:00:00"/>
    <s v="C66116"/>
    <x v="3"/>
    <n v="5"/>
    <n v="64.489999999999995"/>
    <s v="633 Main St"/>
    <x v="1"/>
    <x v="1"/>
    <s v="TRK41967983"/>
    <n v="7"/>
  </r>
  <r>
    <s v="ORD200778"/>
    <d v="2023-04-28T00:00:00"/>
    <s v="C85059"/>
    <x v="5"/>
    <n v="4"/>
    <n v="246.85"/>
    <s v="316 Main St"/>
    <x v="2"/>
    <x v="0"/>
    <s v="TRK56503740"/>
    <n v="8"/>
  </r>
  <r>
    <s v="ORD200779"/>
    <d v="2023-12-01T00:00:00"/>
    <s v="C18076"/>
    <x v="1"/>
    <n v="3"/>
    <n v="588.74"/>
    <s v="751 Main St"/>
    <x v="0"/>
    <x v="4"/>
    <s v="TRK26661705"/>
    <n v="8"/>
  </r>
  <r>
    <s v="ORD200780"/>
    <d v="2024-03-31T00:00:00"/>
    <s v="C41284"/>
    <x v="5"/>
    <n v="4"/>
    <n v="184.48"/>
    <s v="661 Main St"/>
    <x v="1"/>
    <x v="1"/>
    <s v="TRK73613128"/>
    <n v="4"/>
  </r>
  <r>
    <s v="ORD200781"/>
    <d v="2024-01-10T00:00:00"/>
    <s v="C43524"/>
    <x v="1"/>
    <n v="5"/>
    <n v="524.26"/>
    <s v="934 Main St"/>
    <x v="3"/>
    <x v="3"/>
    <s v="TRK51479426"/>
    <n v="5"/>
  </r>
  <r>
    <s v="ORD200782"/>
    <d v="2024-08-11T00:00:00"/>
    <s v="C58063"/>
    <x v="0"/>
    <n v="2"/>
    <n v="493.63"/>
    <s v="167 Main St"/>
    <x v="1"/>
    <x v="2"/>
    <s v="TRK50548869"/>
    <n v="6"/>
  </r>
  <r>
    <s v="ORD200783"/>
    <d v="2025-05-26T00:00:00"/>
    <s v="C19937"/>
    <x v="4"/>
    <n v="1"/>
    <n v="438.34"/>
    <s v="281 Main St"/>
    <x v="3"/>
    <x v="2"/>
    <s v="TRK46990083"/>
    <n v="5"/>
  </r>
  <r>
    <s v="ORD200784"/>
    <d v="2025-05-16T00:00:00"/>
    <s v="C21191"/>
    <x v="5"/>
    <n v="1"/>
    <n v="325.81"/>
    <s v="232 Main St"/>
    <x v="2"/>
    <x v="4"/>
    <s v="TRK85771230"/>
    <n v="1"/>
  </r>
  <r>
    <s v="ORD200785"/>
    <d v="2023-07-29T00:00:00"/>
    <s v="C45862"/>
    <x v="3"/>
    <n v="1"/>
    <n v="176.1"/>
    <s v="342 Main St"/>
    <x v="2"/>
    <x v="4"/>
    <s v="TRK53089983"/>
    <n v="1"/>
  </r>
  <r>
    <s v="ORD200786"/>
    <d v="2023-08-23T00:00:00"/>
    <s v="C39130"/>
    <x v="3"/>
    <n v="5"/>
    <n v="45.31"/>
    <s v="774 Main St"/>
    <x v="1"/>
    <x v="1"/>
    <s v="TRK99583414"/>
    <n v="8"/>
  </r>
  <r>
    <s v="ORD200787"/>
    <d v="2024-03-17T00:00:00"/>
    <s v="C18167"/>
    <x v="6"/>
    <n v="4"/>
    <n v="221.96"/>
    <s v="193 Main St"/>
    <x v="4"/>
    <x v="3"/>
    <s v="TRK36841089"/>
    <n v="7"/>
  </r>
  <r>
    <s v="ORD200788"/>
    <d v="2023-11-02T00:00:00"/>
    <s v="C47307"/>
    <x v="3"/>
    <n v="2"/>
    <n v="601.42999999999995"/>
    <s v="761 Main St"/>
    <x v="1"/>
    <x v="4"/>
    <s v="TRK43516112"/>
    <n v="5"/>
  </r>
  <r>
    <s v="ORD200789"/>
    <d v="2023-08-17T00:00:00"/>
    <s v="C57276"/>
    <x v="2"/>
    <n v="5"/>
    <n v="691.28"/>
    <s v="183 Main St"/>
    <x v="1"/>
    <x v="3"/>
    <s v="TRK75899752"/>
    <n v="10"/>
  </r>
  <r>
    <s v="ORD200790"/>
    <d v="2024-09-14T00:00:00"/>
    <s v="C38928"/>
    <x v="5"/>
    <n v="4"/>
    <n v="417.89"/>
    <s v="302 Main St"/>
    <x v="3"/>
    <x v="4"/>
    <s v="TRK96636009"/>
    <n v="4"/>
  </r>
  <r>
    <s v="ORD200791"/>
    <d v="2024-01-13T00:00:00"/>
    <s v="C49710"/>
    <x v="3"/>
    <n v="4"/>
    <n v="409.28"/>
    <s v="956 Main St"/>
    <x v="4"/>
    <x v="4"/>
    <s v="TRK92591237"/>
    <n v="8"/>
  </r>
  <r>
    <s v="ORD200792"/>
    <d v="2023-06-16T00:00:00"/>
    <s v="C41709"/>
    <x v="6"/>
    <n v="2"/>
    <n v="356.35"/>
    <s v="746 Main St"/>
    <x v="0"/>
    <x v="2"/>
    <s v="TRK90995294"/>
    <n v="6"/>
  </r>
  <r>
    <s v="ORD200793"/>
    <d v="2024-04-15T00:00:00"/>
    <s v="C91255"/>
    <x v="3"/>
    <n v="5"/>
    <n v="170.22"/>
    <s v="769 Main St"/>
    <x v="0"/>
    <x v="3"/>
    <s v="TRK69599961"/>
    <n v="8"/>
  </r>
  <r>
    <s v="ORD200794"/>
    <d v="2023-03-09T00:00:00"/>
    <s v="C76653"/>
    <x v="4"/>
    <n v="4"/>
    <n v="384.85"/>
    <s v="988 Main St"/>
    <x v="1"/>
    <x v="3"/>
    <s v="TRK77052196"/>
    <n v="9"/>
  </r>
  <r>
    <s v="ORD200795"/>
    <d v="2024-11-20T00:00:00"/>
    <s v="C95667"/>
    <x v="5"/>
    <n v="4"/>
    <n v="115.77"/>
    <s v="586 Main St"/>
    <x v="1"/>
    <x v="4"/>
    <s v="TRK41266666"/>
    <n v="7"/>
  </r>
  <r>
    <s v="ORD200796"/>
    <d v="2025-04-29T00:00:00"/>
    <s v="C33313"/>
    <x v="1"/>
    <n v="3"/>
    <n v="579.54999999999995"/>
    <s v="882 Main St"/>
    <x v="3"/>
    <x v="2"/>
    <s v="TRK13349970"/>
    <n v="8"/>
  </r>
  <r>
    <s v="ORD200797"/>
    <d v="2023-02-27T00:00:00"/>
    <s v="C36825"/>
    <x v="5"/>
    <n v="2"/>
    <n v="438.76"/>
    <s v="426 Main St"/>
    <x v="0"/>
    <x v="2"/>
    <s v="TRK72557318"/>
    <n v="2"/>
  </r>
  <r>
    <s v="ORD200798"/>
    <d v="2025-05-19T00:00:00"/>
    <s v="C20861"/>
    <x v="1"/>
    <n v="5"/>
    <n v="488.35"/>
    <s v="968 Main St"/>
    <x v="0"/>
    <x v="2"/>
    <s v="TRK89372013"/>
    <n v="9"/>
  </r>
  <r>
    <s v="ORD200799"/>
    <d v="2023-04-16T00:00:00"/>
    <s v="C26364"/>
    <x v="5"/>
    <n v="4"/>
    <n v="328.56"/>
    <s v="803 Main St"/>
    <x v="0"/>
    <x v="2"/>
    <s v="TRK78924436"/>
    <n v="4"/>
  </r>
  <r>
    <s v="ORD200800"/>
    <d v="2025-03-28T00:00:00"/>
    <s v="C34686"/>
    <x v="2"/>
    <n v="1"/>
    <n v="68.39"/>
    <s v="412 Main St"/>
    <x v="1"/>
    <x v="2"/>
    <s v="TRK99468332"/>
    <n v="3"/>
  </r>
  <r>
    <s v="ORD200801"/>
    <d v="2023-05-03T00:00:00"/>
    <s v="C97593"/>
    <x v="4"/>
    <n v="4"/>
    <n v="595.62"/>
    <s v="738 Main St"/>
    <x v="0"/>
    <x v="4"/>
    <s v="TRK58443593"/>
    <n v="8"/>
  </r>
  <r>
    <s v="ORD200802"/>
    <d v="2024-02-17T00:00:00"/>
    <s v="C84331"/>
    <x v="3"/>
    <n v="5"/>
    <n v="644.64"/>
    <s v="205 Main St"/>
    <x v="3"/>
    <x v="1"/>
    <s v="TRK34440714"/>
    <n v="6"/>
  </r>
  <r>
    <s v="ORD200803"/>
    <d v="2023-08-20T00:00:00"/>
    <s v="C88775"/>
    <x v="0"/>
    <n v="5"/>
    <n v="397.81"/>
    <s v="223 Main St"/>
    <x v="0"/>
    <x v="2"/>
    <s v="TRK45098068"/>
    <n v="5"/>
  </r>
  <r>
    <s v="ORD200804"/>
    <d v="2024-01-01T00:00:00"/>
    <s v="C76362"/>
    <x v="3"/>
    <n v="3"/>
    <n v="236.5"/>
    <s v="916 Main St"/>
    <x v="1"/>
    <x v="3"/>
    <s v="TRK11868618"/>
    <n v="8"/>
  </r>
  <r>
    <s v="ORD200805"/>
    <d v="2024-10-15T00:00:00"/>
    <s v="C59278"/>
    <x v="5"/>
    <n v="5"/>
    <n v="472.01"/>
    <s v="178 Main St"/>
    <x v="3"/>
    <x v="1"/>
    <s v="TRK14590037"/>
    <n v="10"/>
  </r>
  <r>
    <s v="ORD200806"/>
    <d v="2023-09-01T00:00:00"/>
    <s v="C55819"/>
    <x v="3"/>
    <n v="5"/>
    <n v="253.75"/>
    <s v="740 Main St"/>
    <x v="1"/>
    <x v="4"/>
    <s v="TRK13775054"/>
    <n v="9"/>
  </r>
  <r>
    <s v="ORD200807"/>
    <d v="2024-11-10T00:00:00"/>
    <s v="C82344"/>
    <x v="0"/>
    <n v="3"/>
    <n v="676.21"/>
    <s v="260 Main St"/>
    <x v="1"/>
    <x v="3"/>
    <s v="TRK70957219"/>
    <n v="5"/>
  </r>
  <r>
    <s v="ORD200808"/>
    <d v="2024-02-13T00:00:00"/>
    <s v="C65565"/>
    <x v="6"/>
    <n v="3"/>
    <n v="134.05000000000001"/>
    <s v="192 Main St"/>
    <x v="2"/>
    <x v="0"/>
    <s v="TRK80383756"/>
    <n v="3"/>
  </r>
  <r>
    <s v="ORD200809"/>
    <d v="2024-04-09T00:00:00"/>
    <s v="C80416"/>
    <x v="6"/>
    <n v="5"/>
    <n v="217.43"/>
    <s v="752 Main St"/>
    <x v="0"/>
    <x v="0"/>
    <s v="TRK54385892"/>
    <n v="10"/>
  </r>
  <r>
    <s v="ORD200810"/>
    <d v="2023-05-31T00:00:00"/>
    <s v="C23637"/>
    <x v="2"/>
    <n v="1"/>
    <n v="553.55999999999995"/>
    <s v="644 Main St"/>
    <x v="2"/>
    <x v="1"/>
    <s v="TRK16749863"/>
    <n v="5"/>
  </r>
  <r>
    <s v="ORD200811"/>
    <d v="2023-11-05T00:00:00"/>
    <s v="C24769"/>
    <x v="5"/>
    <n v="2"/>
    <n v="28.55"/>
    <s v="864 Main St"/>
    <x v="3"/>
    <x v="0"/>
    <s v="TRK44538305"/>
    <n v="7"/>
  </r>
  <r>
    <s v="ORD200812"/>
    <d v="2024-01-26T00:00:00"/>
    <s v="C81547"/>
    <x v="1"/>
    <n v="2"/>
    <n v="255.26"/>
    <s v="803 Main St"/>
    <x v="2"/>
    <x v="1"/>
    <s v="TRK88437123"/>
    <n v="6"/>
  </r>
  <r>
    <s v="ORD200813"/>
    <d v="2025-03-15T00:00:00"/>
    <s v="C12813"/>
    <x v="5"/>
    <n v="5"/>
    <n v="292.54000000000002"/>
    <s v="263 Main St"/>
    <x v="0"/>
    <x v="1"/>
    <s v="TRK36131660"/>
    <n v="8"/>
  </r>
  <r>
    <s v="ORD200814"/>
    <d v="2024-12-11T00:00:00"/>
    <s v="C50732"/>
    <x v="3"/>
    <n v="4"/>
    <n v="147.51"/>
    <s v="979 Main St"/>
    <x v="0"/>
    <x v="4"/>
    <s v="TRK21082461"/>
    <n v="4"/>
  </r>
  <r>
    <s v="ORD200815"/>
    <d v="2024-08-04T00:00:00"/>
    <s v="C41320"/>
    <x v="4"/>
    <n v="3"/>
    <n v="569.84"/>
    <s v="920 Main St"/>
    <x v="3"/>
    <x v="1"/>
    <s v="TRK77539180"/>
    <n v="8"/>
  </r>
  <r>
    <s v="ORD200816"/>
    <d v="2024-02-21T00:00:00"/>
    <s v="C55286"/>
    <x v="2"/>
    <n v="5"/>
    <n v="574.79"/>
    <s v="497 Main St"/>
    <x v="2"/>
    <x v="4"/>
    <s v="TRK39058734"/>
    <n v="8"/>
  </r>
  <r>
    <s v="ORD200817"/>
    <d v="2023-10-05T00:00:00"/>
    <s v="C87994"/>
    <x v="3"/>
    <n v="4"/>
    <n v="598.19000000000005"/>
    <s v="430 Main St"/>
    <x v="2"/>
    <x v="3"/>
    <s v="TRK98883971"/>
    <n v="7"/>
  </r>
  <r>
    <s v="ORD200818"/>
    <d v="2023-03-02T00:00:00"/>
    <s v="C25580"/>
    <x v="1"/>
    <n v="4"/>
    <n v="390.84"/>
    <s v="860 Main St"/>
    <x v="2"/>
    <x v="1"/>
    <s v="TRK58781638"/>
    <n v="9"/>
  </r>
  <r>
    <s v="ORD200819"/>
    <d v="2024-09-28T00:00:00"/>
    <s v="C66196"/>
    <x v="1"/>
    <n v="2"/>
    <n v="398.45"/>
    <s v="650 Main St"/>
    <x v="0"/>
    <x v="1"/>
    <s v="TRK38104650"/>
    <n v="7"/>
  </r>
  <r>
    <s v="ORD200820"/>
    <d v="2023-05-27T00:00:00"/>
    <s v="C35377"/>
    <x v="1"/>
    <n v="5"/>
    <n v="623.80999999999995"/>
    <s v="171 Main St"/>
    <x v="4"/>
    <x v="2"/>
    <s v="TRK17342157"/>
    <n v="6"/>
  </r>
  <r>
    <s v="ORD200821"/>
    <d v="2024-12-14T00:00:00"/>
    <s v="C40771"/>
    <x v="5"/>
    <n v="4"/>
    <n v="174.49"/>
    <s v="259 Main St"/>
    <x v="2"/>
    <x v="3"/>
    <s v="TRK56310345"/>
    <n v="5"/>
  </r>
  <r>
    <s v="ORD200822"/>
    <d v="2025-03-15T00:00:00"/>
    <s v="C20624"/>
    <x v="1"/>
    <n v="1"/>
    <n v="479.56"/>
    <s v="923 Main St"/>
    <x v="3"/>
    <x v="2"/>
    <s v="TRK45123395"/>
    <n v="1"/>
  </r>
  <r>
    <s v="ORD200823"/>
    <d v="2024-10-07T00:00:00"/>
    <s v="C27070"/>
    <x v="5"/>
    <n v="4"/>
    <n v="653.13"/>
    <s v="973 Main St"/>
    <x v="2"/>
    <x v="0"/>
    <s v="TRK83842481"/>
    <n v="8"/>
  </r>
  <r>
    <s v="ORD200824"/>
    <d v="2023-08-29T00:00:00"/>
    <s v="C18826"/>
    <x v="0"/>
    <n v="3"/>
    <n v="481.1"/>
    <s v="664 Main St"/>
    <x v="2"/>
    <x v="2"/>
    <s v="TRK12530495"/>
    <n v="3"/>
  </r>
  <r>
    <s v="ORD200825"/>
    <d v="2025-03-26T00:00:00"/>
    <s v="C23899"/>
    <x v="6"/>
    <n v="5"/>
    <n v="271.69"/>
    <s v="543 Main St"/>
    <x v="1"/>
    <x v="2"/>
    <s v="TRK88914760"/>
    <n v="7"/>
  </r>
  <r>
    <s v="ORD200826"/>
    <d v="2025-03-08T00:00:00"/>
    <s v="C43249"/>
    <x v="4"/>
    <n v="3"/>
    <n v="463.81"/>
    <s v="283 Main St"/>
    <x v="1"/>
    <x v="2"/>
    <s v="TRK32469820"/>
    <n v="8"/>
  </r>
  <r>
    <s v="ORD200827"/>
    <d v="2023-05-25T00:00:00"/>
    <s v="C95856"/>
    <x v="2"/>
    <n v="2"/>
    <n v="639.88"/>
    <s v="432 Main St"/>
    <x v="4"/>
    <x v="3"/>
    <s v="TRK58829625"/>
    <n v="5"/>
  </r>
  <r>
    <s v="ORD200828"/>
    <d v="2024-07-24T00:00:00"/>
    <s v="C86266"/>
    <x v="3"/>
    <n v="4"/>
    <n v="404.58"/>
    <s v="510 Main St"/>
    <x v="4"/>
    <x v="0"/>
    <s v="TRK64576020"/>
    <n v="5"/>
  </r>
  <r>
    <s v="ORD200829"/>
    <d v="2023-02-05T00:00:00"/>
    <s v="C39551"/>
    <x v="0"/>
    <n v="1"/>
    <n v="76.930000000000007"/>
    <s v="685 Main St"/>
    <x v="0"/>
    <x v="3"/>
    <s v="TRK68358007"/>
    <n v="6"/>
  </r>
  <r>
    <s v="ORD200830"/>
    <d v="2024-12-11T00:00:00"/>
    <s v="C90310"/>
    <x v="2"/>
    <n v="4"/>
    <n v="190.64"/>
    <s v="853 Main St"/>
    <x v="4"/>
    <x v="3"/>
    <s v="TRK70028457"/>
    <n v="5"/>
  </r>
  <r>
    <s v="ORD200831"/>
    <d v="2023-12-18T00:00:00"/>
    <s v="C20124"/>
    <x v="4"/>
    <n v="2"/>
    <n v="88.73"/>
    <s v="140 Main St"/>
    <x v="1"/>
    <x v="4"/>
    <s v="TRK61346824"/>
    <n v="5"/>
  </r>
  <r>
    <s v="ORD200832"/>
    <d v="2024-03-12T00:00:00"/>
    <s v="C63372"/>
    <x v="3"/>
    <n v="5"/>
    <n v="485.71"/>
    <s v="903 Main St"/>
    <x v="1"/>
    <x v="4"/>
    <s v="TRK14661811"/>
    <n v="10"/>
  </r>
  <r>
    <s v="ORD200833"/>
    <d v="2025-03-14T00:00:00"/>
    <s v="C90595"/>
    <x v="1"/>
    <n v="5"/>
    <n v="78.290000000000006"/>
    <s v="508 Main St"/>
    <x v="2"/>
    <x v="0"/>
    <s v="TRK96573803"/>
    <n v="5"/>
  </r>
  <r>
    <s v="ORD200834"/>
    <d v="2024-04-11T00:00:00"/>
    <s v="C98483"/>
    <x v="4"/>
    <n v="5"/>
    <n v="22.14"/>
    <s v="456 Main St"/>
    <x v="4"/>
    <x v="2"/>
    <s v="TRK22084320"/>
    <n v="10"/>
  </r>
  <r>
    <s v="ORD200835"/>
    <d v="2024-03-26T00:00:00"/>
    <s v="C16429"/>
    <x v="6"/>
    <n v="1"/>
    <n v="679.65"/>
    <s v="390 Main St"/>
    <x v="0"/>
    <x v="0"/>
    <s v="TRK73888013"/>
    <n v="6"/>
  </r>
  <r>
    <s v="ORD200836"/>
    <d v="2023-02-02T00:00:00"/>
    <s v="C31810"/>
    <x v="1"/>
    <n v="1"/>
    <n v="178.44"/>
    <s v="328 Main St"/>
    <x v="2"/>
    <x v="1"/>
    <s v="TRK58725886"/>
    <n v="2"/>
  </r>
  <r>
    <s v="ORD200837"/>
    <d v="2025-06-14T00:00:00"/>
    <s v="C88029"/>
    <x v="3"/>
    <n v="5"/>
    <n v="655.55"/>
    <s v="282 Main St"/>
    <x v="1"/>
    <x v="3"/>
    <s v="TRK59701278"/>
    <n v="5"/>
  </r>
  <r>
    <s v="ORD200838"/>
    <d v="2024-04-11T00:00:00"/>
    <s v="C57798"/>
    <x v="6"/>
    <n v="4"/>
    <n v="577.08000000000004"/>
    <s v="384 Main St"/>
    <x v="1"/>
    <x v="4"/>
    <s v="TRK68797566"/>
    <n v="8"/>
  </r>
  <r>
    <s v="ORD200839"/>
    <d v="2023-08-24T00:00:00"/>
    <s v="C82858"/>
    <x v="3"/>
    <n v="3"/>
    <n v="197.97"/>
    <s v="551 Main St"/>
    <x v="1"/>
    <x v="1"/>
    <s v="TRK90618490"/>
    <n v="5"/>
  </r>
  <r>
    <s v="ORD200840"/>
    <d v="2024-01-14T00:00:00"/>
    <s v="C60699"/>
    <x v="3"/>
    <n v="3"/>
    <n v="411.95"/>
    <s v="672 Main St"/>
    <x v="2"/>
    <x v="3"/>
    <s v="TRK88660574"/>
    <n v="7"/>
  </r>
  <r>
    <s v="ORD200841"/>
    <d v="2024-09-19T00:00:00"/>
    <s v="C94658"/>
    <x v="4"/>
    <n v="2"/>
    <n v="443.22"/>
    <s v="742 Main St"/>
    <x v="2"/>
    <x v="3"/>
    <s v="TRK51732528"/>
    <n v="5"/>
  </r>
  <r>
    <s v="ORD200842"/>
    <d v="2025-05-07T00:00:00"/>
    <s v="C78305"/>
    <x v="5"/>
    <n v="3"/>
    <n v="364.14"/>
    <s v="396 Main St"/>
    <x v="1"/>
    <x v="4"/>
    <s v="TRK88312618"/>
    <n v="7"/>
  </r>
  <r>
    <s v="ORD200843"/>
    <d v="2025-05-13T00:00:00"/>
    <s v="C43538"/>
    <x v="6"/>
    <n v="3"/>
    <n v="430.06"/>
    <s v="534 Main St"/>
    <x v="3"/>
    <x v="1"/>
    <s v="TRK20961563"/>
    <n v="8"/>
  </r>
  <r>
    <s v="ORD200844"/>
    <d v="2024-12-04T00:00:00"/>
    <s v="C47486"/>
    <x v="3"/>
    <n v="1"/>
    <n v="320.92"/>
    <s v="883 Main St"/>
    <x v="1"/>
    <x v="2"/>
    <s v="TRK75984759"/>
    <n v="5"/>
  </r>
  <r>
    <s v="ORD200845"/>
    <d v="2023-10-08T00:00:00"/>
    <s v="C24212"/>
    <x v="1"/>
    <n v="3"/>
    <n v="107.36"/>
    <s v="808 Main St"/>
    <x v="3"/>
    <x v="3"/>
    <s v="TRK68894675"/>
    <n v="5"/>
  </r>
  <r>
    <s v="ORD200846"/>
    <d v="2024-07-04T00:00:00"/>
    <s v="C24765"/>
    <x v="6"/>
    <n v="2"/>
    <n v="359.86"/>
    <s v="646 Main St"/>
    <x v="0"/>
    <x v="1"/>
    <s v="TRK43977698"/>
    <n v="4"/>
  </r>
  <r>
    <s v="ORD200847"/>
    <d v="2024-11-18T00:00:00"/>
    <s v="C48176"/>
    <x v="4"/>
    <n v="4"/>
    <n v="434.23"/>
    <s v="670 Main St"/>
    <x v="1"/>
    <x v="0"/>
    <s v="TRK90560300"/>
    <n v="8"/>
  </r>
  <r>
    <s v="ORD200848"/>
    <d v="2023-01-01T00:00:00"/>
    <s v="C54675"/>
    <x v="3"/>
    <n v="2"/>
    <n v="645.85"/>
    <s v="634 Main St"/>
    <x v="1"/>
    <x v="0"/>
    <s v="TRK18049633"/>
    <n v="5"/>
  </r>
  <r>
    <s v="ORD200849"/>
    <d v="2025-06-09T00:00:00"/>
    <s v="C16675"/>
    <x v="4"/>
    <n v="4"/>
    <n v="214.35"/>
    <s v="664 Main St"/>
    <x v="0"/>
    <x v="1"/>
    <s v="TRK12756945"/>
    <n v="7"/>
  </r>
  <r>
    <s v="ORD200850"/>
    <d v="2025-04-27T00:00:00"/>
    <s v="C38557"/>
    <x v="0"/>
    <n v="3"/>
    <n v="638.5"/>
    <s v="890 Main St"/>
    <x v="0"/>
    <x v="1"/>
    <s v="TRK14832238"/>
    <n v="4"/>
  </r>
  <r>
    <s v="ORD200851"/>
    <d v="2023-12-12T00:00:00"/>
    <s v="C80183"/>
    <x v="5"/>
    <n v="1"/>
    <n v="365.57"/>
    <s v="146 Main St"/>
    <x v="1"/>
    <x v="1"/>
    <s v="TRK20814598"/>
    <n v="5"/>
  </r>
  <r>
    <s v="ORD200852"/>
    <d v="2024-10-24T00:00:00"/>
    <s v="C39530"/>
    <x v="6"/>
    <n v="3"/>
    <n v="568.04999999999995"/>
    <s v="618 Main St"/>
    <x v="3"/>
    <x v="4"/>
    <s v="TRK69000497"/>
    <n v="6"/>
  </r>
  <r>
    <s v="ORD200853"/>
    <d v="2023-10-16T00:00:00"/>
    <s v="C10002"/>
    <x v="4"/>
    <n v="3"/>
    <n v="490.01"/>
    <s v="894 Main St"/>
    <x v="4"/>
    <x v="2"/>
    <s v="TRK94641152"/>
    <n v="4"/>
  </r>
  <r>
    <s v="ORD200854"/>
    <d v="2025-06-13T00:00:00"/>
    <s v="C56938"/>
    <x v="5"/>
    <n v="3"/>
    <n v="372.6"/>
    <s v="356 Main St"/>
    <x v="2"/>
    <x v="3"/>
    <s v="TRK67735987"/>
    <n v="7"/>
  </r>
  <r>
    <s v="ORD200855"/>
    <d v="2023-05-25T00:00:00"/>
    <s v="C41331"/>
    <x v="0"/>
    <n v="5"/>
    <n v="240.61"/>
    <s v="785 Main St"/>
    <x v="2"/>
    <x v="0"/>
    <s v="TRK94198179"/>
    <n v="10"/>
  </r>
  <r>
    <s v="ORD200856"/>
    <d v="2024-06-03T00:00:00"/>
    <s v="C94698"/>
    <x v="1"/>
    <n v="1"/>
    <n v="586.62"/>
    <s v="871 Main St"/>
    <x v="0"/>
    <x v="0"/>
    <s v="TRK95768773"/>
    <n v="5"/>
  </r>
  <r>
    <s v="ORD200857"/>
    <d v="2024-03-10T00:00:00"/>
    <s v="C56506"/>
    <x v="1"/>
    <n v="3"/>
    <n v="257.83999999999997"/>
    <s v="185 Main St"/>
    <x v="1"/>
    <x v="3"/>
    <s v="TRK86808324"/>
    <n v="4"/>
  </r>
  <r>
    <s v="ORD200858"/>
    <d v="2023-08-20T00:00:00"/>
    <s v="C22167"/>
    <x v="2"/>
    <n v="5"/>
    <n v="435.66"/>
    <s v="891 Main St"/>
    <x v="1"/>
    <x v="4"/>
    <s v="TRK70269748"/>
    <n v="9"/>
  </r>
  <r>
    <s v="ORD200859"/>
    <d v="2024-08-28T00:00:00"/>
    <s v="C11127"/>
    <x v="3"/>
    <n v="5"/>
    <n v="261.33"/>
    <s v="154 Main St"/>
    <x v="2"/>
    <x v="2"/>
    <s v="TRK73285507"/>
    <n v="5"/>
  </r>
  <r>
    <s v="ORD200860"/>
    <d v="2024-01-23T00:00:00"/>
    <s v="C69542"/>
    <x v="4"/>
    <n v="1"/>
    <n v="422.54"/>
    <s v="876 Main St"/>
    <x v="4"/>
    <x v="3"/>
    <s v="TRK20746505"/>
    <n v="1"/>
  </r>
  <r>
    <s v="ORD200861"/>
    <d v="2023-03-19T00:00:00"/>
    <s v="C93276"/>
    <x v="6"/>
    <n v="5"/>
    <n v="330.45"/>
    <s v="230 Main St"/>
    <x v="3"/>
    <x v="0"/>
    <s v="TRK44165913"/>
    <n v="10"/>
  </r>
  <r>
    <s v="ORD200862"/>
    <d v="2023-12-02T00:00:00"/>
    <s v="C37969"/>
    <x v="6"/>
    <n v="3"/>
    <n v="120.82"/>
    <s v="799 Main St"/>
    <x v="2"/>
    <x v="0"/>
    <s v="TRK69852386"/>
    <n v="5"/>
  </r>
  <r>
    <s v="ORD200863"/>
    <d v="2024-05-20T00:00:00"/>
    <s v="C98276"/>
    <x v="1"/>
    <n v="1"/>
    <n v="14.06"/>
    <s v="471 Main St"/>
    <x v="2"/>
    <x v="4"/>
    <s v="TRK74207282"/>
    <n v="5"/>
  </r>
  <r>
    <s v="ORD200864"/>
    <d v="2023-05-03T00:00:00"/>
    <s v="C14240"/>
    <x v="6"/>
    <n v="1"/>
    <n v="491.11"/>
    <s v="592 Main St"/>
    <x v="2"/>
    <x v="3"/>
    <s v="TRK58095246"/>
    <n v="4"/>
  </r>
  <r>
    <s v="ORD200865"/>
    <d v="2023-04-30T00:00:00"/>
    <s v="C72241"/>
    <x v="0"/>
    <n v="4"/>
    <n v="677.37"/>
    <s v="156 Main St"/>
    <x v="4"/>
    <x v="4"/>
    <s v="TRK76270481"/>
    <n v="8"/>
  </r>
  <r>
    <s v="ORD200866"/>
    <d v="2024-07-26T00:00:00"/>
    <s v="C39664"/>
    <x v="6"/>
    <n v="5"/>
    <n v="189.25"/>
    <s v="693 Main St"/>
    <x v="0"/>
    <x v="1"/>
    <s v="TRK39917741"/>
    <n v="10"/>
  </r>
  <r>
    <s v="ORD200867"/>
    <d v="2024-05-26T00:00:00"/>
    <s v="C53252"/>
    <x v="4"/>
    <n v="4"/>
    <n v="142.58000000000001"/>
    <s v="351 Main St"/>
    <x v="4"/>
    <x v="3"/>
    <s v="TRK65831261"/>
    <n v="4"/>
  </r>
  <r>
    <s v="ORD200868"/>
    <d v="2024-06-29T00:00:00"/>
    <s v="C70452"/>
    <x v="0"/>
    <n v="4"/>
    <n v="316.32"/>
    <s v="309 Main St"/>
    <x v="0"/>
    <x v="3"/>
    <s v="TRK42985882"/>
    <n v="7"/>
  </r>
  <r>
    <s v="ORD200869"/>
    <d v="2024-03-17T00:00:00"/>
    <s v="C29905"/>
    <x v="6"/>
    <n v="2"/>
    <n v="533.95000000000005"/>
    <s v="790 Main St"/>
    <x v="1"/>
    <x v="3"/>
    <s v="TRK16788127"/>
    <n v="5"/>
  </r>
  <r>
    <s v="ORD200870"/>
    <d v="2025-06-01T00:00:00"/>
    <s v="C78725"/>
    <x v="1"/>
    <n v="4"/>
    <n v="470.09"/>
    <s v="541 Main St"/>
    <x v="0"/>
    <x v="3"/>
    <s v="TRK72001139"/>
    <n v="4"/>
  </r>
  <r>
    <s v="ORD200871"/>
    <d v="2024-05-16T00:00:00"/>
    <s v="C93768"/>
    <x v="2"/>
    <n v="3"/>
    <n v="324.3"/>
    <s v="720 Main St"/>
    <x v="0"/>
    <x v="4"/>
    <s v="TRK22024707"/>
    <n v="8"/>
  </r>
  <r>
    <s v="ORD200872"/>
    <d v="2023-07-10T00:00:00"/>
    <s v="C59169"/>
    <x v="3"/>
    <n v="4"/>
    <n v="629.34"/>
    <s v="172 Main St"/>
    <x v="4"/>
    <x v="0"/>
    <s v="TRK90883858"/>
    <n v="7"/>
  </r>
  <r>
    <s v="ORD200873"/>
    <d v="2024-05-12T00:00:00"/>
    <s v="C53488"/>
    <x v="6"/>
    <n v="3"/>
    <n v="136.84"/>
    <s v="448 Main St"/>
    <x v="4"/>
    <x v="3"/>
    <s v="TRK27365050"/>
    <n v="3"/>
  </r>
  <r>
    <s v="ORD200874"/>
    <d v="2023-10-31T00:00:00"/>
    <s v="C92180"/>
    <x v="3"/>
    <n v="2"/>
    <n v="488.9"/>
    <s v="632 Main St"/>
    <x v="4"/>
    <x v="3"/>
    <s v="TRK93315929"/>
    <n v="7"/>
  </r>
  <r>
    <s v="ORD200875"/>
    <d v="2023-08-03T00:00:00"/>
    <s v="C25918"/>
    <x v="5"/>
    <n v="5"/>
    <n v="133.38999999999999"/>
    <s v="203 Main St"/>
    <x v="2"/>
    <x v="3"/>
    <s v="TRK66473392"/>
    <n v="6"/>
  </r>
  <r>
    <s v="ORD200876"/>
    <d v="2024-06-09T00:00:00"/>
    <s v="C90363"/>
    <x v="3"/>
    <n v="5"/>
    <n v="608.91"/>
    <s v="200 Main St"/>
    <x v="3"/>
    <x v="4"/>
    <s v="TRK21534173"/>
    <n v="6"/>
  </r>
  <r>
    <s v="ORD200877"/>
    <d v="2024-07-25T00:00:00"/>
    <s v="C43867"/>
    <x v="2"/>
    <n v="1"/>
    <n v="524.05999999999995"/>
    <s v="269 Main St"/>
    <x v="0"/>
    <x v="4"/>
    <s v="TRK97319127"/>
    <n v="3"/>
  </r>
  <r>
    <s v="ORD200878"/>
    <d v="2023-06-01T00:00:00"/>
    <s v="C73873"/>
    <x v="6"/>
    <n v="2"/>
    <n v="330.69"/>
    <s v="393 Main St"/>
    <x v="1"/>
    <x v="1"/>
    <s v="TRK56423132"/>
    <n v="5"/>
  </r>
  <r>
    <s v="ORD200879"/>
    <d v="2025-04-08T00:00:00"/>
    <s v="C56622"/>
    <x v="1"/>
    <n v="2"/>
    <n v="547.66999999999996"/>
    <s v="932 Main St"/>
    <x v="3"/>
    <x v="0"/>
    <s v="TRK86373987"/>
    <n v="3"/>
  </r>
  <r>
    <s v="ORD200880"/>
    <d v="2025-03-12T00:00:00"/>
    <s v="C85074"/>
    <x v="5"/>
    <n v="4"/>
    <n v="233.7"/>
    <s v="506 Main St"/>
    <x v="1"/>
    <x v="0"/>
    <s v="TRK63133878"/>
    <n v="8"/>
  </r>
  <r>
    <s v="ORD200881"/>
    <d v="2023-01-03T00:00:00"/>
    <s v="C59579"/>
    <x v="2"/>
    <n v="2"/>
    <n v="448.85"/>
    <s v="386 Main St"/>
    <x v="2"/>
    <x v="4"/>
    <s v="TRK48000034"/>
    <n v="6"/>
  </r>
  <r>
    <s v="ORD200882"/>
    <d v="2025-06-28T00:00:00"/>
    <s v="C43335"/>
    <x v="1"/>
    <n v="2"/>
    <n v="274.12"/>
    <s v="533 Main St"/>
    <x v="4"/>
    <x v="3"/>
    <s v="TRK91848650"/>
    <n v="6"/>
  </r>
  <r>
    <s v="ORD200883"/>
    <d v="2025-05-13T00:00:00"/>
    <s v="C43595"/>
    <x v="4"/>
    <n v="5"/>
    <n v="561.48"/>
    <s v="451 Main St"/>
    <x v="1"/>
    <x v="3"/>
    <s v="TRK25317348"/>
    <n v="9"/>
  </r>
  <r>
    <s v="ORD200884"/>
    <d v="2024-05-15T00:00:00"/>
    <s v="C71471"/>
    <x v="3"/>
    <n v="1"/>
    <n v="595.54"/>
    <s v="817 Main St"/>
    <x v="3"/>
    <x v="0"/>
    <s v="TRK52137079"/>
    <n v="4"/>
  </r>
  <r>
    <s v="ORD200885"/>
    <d v="2024-04-07T00:00:00"/>
    <s v="C61090"/>
    <x v="5"/>
    <n v="4"/>
    <n v="515.59"/>
    <s v="387 Main St"/>
    <x v="2"/>
    <x v="0"/>
    <s v="TRK36388962"/>
    <n v="7"/>
  </r>
  <r>
    <s v="ORD200886"/>
    <d v="2023-10-25T00:00:00"/>
    <s v="C29620"/>
    <x v="1"/>
    <n v="1"/>
    <n v="460.13"/>
    <s v="792 Main St"/>
    <x v="2"/>
    <x v="2"/>
    <s v="TRK22046456"/>
    <n v="1"/>
  </r>
  <r>
    <s v="ORD200887"/>
    <d v="2024-12-19T00:00:00"/>
    <s v="C67932"/>
    <x v="3"/>
    <n v="3"/>
    <n v="171.66"/>
    <s v="857 Main St"/>
    <x v="0"/>
    <x v="3"/>
    <s v="TRK88547534"/>
    <n v="7"/>
  </r>
  <r>
    <s v="ORD200888"/>
    <d v="2024-07-23T00:00:00"/>
    <s v="C14427"/>
    <x v="5"/>
    <n v="2"/>
    <n v="266.95"/>
    <s v="833 Main St"/>
    <x v="2"/>
    <x v="4"/>
    <s v="TRK58024529"/>
    <n v="3"/>
  </r>
  <r>
    <s v="ORD200889"/>
    <d v="2024-10-27T00:00:00"/>
    <s v="C36725"/>
    <x v="0"/>
    <n v="5"/>
    <n v="650.72"/>
    <s v="350 Main St"/>
    <x v="2"/>
    <x v="1"/>
    <s v="TRK16808790"/>
    <n v="8"/>
  </r>
  <r>
    <s v="ORD200890"/>
    <d v="2023-08-11T00:00:00"/>
    <s v="C51921"/>
    <x v="5"/>
    <n v="3"/>
    <n v="439.53"/>
    <s v="943 Main St"/>
    <x v="0"/>
    <x v="4"/>
    <s v="TRK85741716"/>
    <n v="5"/>
  </r>
  <r>
    <s v="ORD200891"/>
    <d v="2023-11-11T00:00:00"/>
    <s v="C36534"/>
    <x v="0"/>
    <n v="3"/>
    <n v="654.54"/>
    <s v="918 Main St"/>
    <x v="4"/>
    <x v="2"/>
    <s v="TRK38952138"/>
    <n v="7"/>
  </r>
  <r>
    <s v="ORD200892"/>
    <d v="2024-06-04T00:00:00"/>
    <s v="C72043"/>
    <x v="6"/>
    <n v="1"/>
    <n v="394.53"/>
    <s v="480 Main St"/>
    <x v="4"/>
    <x v="0"/>
    <s v="TRK40896408"/>
    <n v="2"/>
  </r>
  <r>
    <s v="ORD200893"/>
    <d v="2023-03-21T00:00:00"/>
    <s v="C99533"/>
    <x v="0"/>
    <n v="1"/>
    <n v="678.01"/>
    <s v="696 Main St"/>
    <x v="4"/>
    <x v="4"/>
    <s v="TRK55701253"/>
    <n v="4"/>
  </r>
  <r>
    <s v="ORD200894"/>
    <d v="2023-05-23T00:00:00"/>
    <s v="C90852"/>
    <x v="2"/>
    <n v="3"/>
    <n v="575.01"/>
    <s v="852 Main St"/>
    <x v="1"/>
    <x v="1"/>
    <s v="TRK37551831"/>
    <n v="8"/>
  </r>
  <r>
    <s v="ORD200895"/>
    <d v="2023-11-09T00:00:00"/>
    <s v="C81882"/>
    <x v="3"/>
    <n v="3"/>
    <n v="154.63999999999999"/>
    <s v="832 Main St"/>
    <x v="0"/>
    <x v="4"/>
    <s v="TRK62371264"/>
    <n v="6"/>
  </r>
  <r>
    <s v="ORD200896"/>
    <d v="2024-10-18T00:00:00"/>
    <s v="C85466"/>
    <x v="6"/>
    <n v="3"/>
    <n v="147.29"/>
    <s v="102 Main St"/>
    <x v="3"/>
    <x v="0"/>
    <s v="TRK66764177"/>
    <n v="3"/>
  </r>
  <r>
    <s v="ORD200897"/>
    <d v="2024-09-03T00:00:00"/>
    <s v="C87995"/>
    <x v="5"/>
    <n v="4"/>
    <n v="481.48"/>
    <s v="358 Main St"/>
    <x v="3"/>
    <x v="3"/>
    <s v="TRK38730545"/>
    <n v="5"/>
  </r>
  <r>
    <s v="ORD200898"/>
    <d v="2025-03-05T00:00:00"/>
    <s v="C44619"/>
    <x v="0"/>
    <n v="3"/>
    <n v="158.37"/>
    <s v="742 Main St"/>
    <x v="4"/>
    <x v="0"/>
    <s v="TRK66662528"/>
    <n v="6"/>
  </r>
  <r>
    <s v="ORD200899"/>
    <d v="2025-04-23T00:00:00"/>
    <s v="C99904"/>
    <x v="4"/>
    <n v="2"/>
    <n v="323.37"/>
    <s v="552 Main St"/>
    <x v="1"/>
    <x v="4"/>
    <s v="TRK83843411"/>
    <n v="3"/>
  </r>
  <r>
    <s v="ORD200900"/>
    <d v="2025-02-07T00:00:00"/>
    <s v="C52342"/>
    <x v="5"/>
    <n v="5"/>
    <n v="73.83"/>
    <s v="991 Main St"/>
    <x v="0"/>
    <x v="4"/>
    <s v="TRK67342586"/>
    <n v="9"/>
  </r>
  <r>
    <s v="ORD200901"/>
    <d v="2024-04-28T00:00:00"/>
    <s v="C44277"/>
    <x v="2"/>
    <n v="1"/>
    <n v="458.63"/>
    <s v="839 Main St"/>
    <x v="0"/>
    <x v="2"/>
    <s v="TRK79321479"/>
    <n v="4"/>
  </r>
  <r>
    <s v="ORD200902"/>
    <d v="2024-07-13T00:00:00"/>
    <s v="C61162"/>
    <x v="0"/>
    <n v="4"/>
    <n v="180.25"/>
    <s v="813 Main St"/>
    <x v="0"/>
    <x v="1"/>
    <s v="TRK76712124"/>
    <n v="7"/>
  </r>
  <r>
    <s v="ORD200903"/>
    <d v="2023-05-17T00:00:00"/>
    <s v="C80868"/>
    <x v="0"/>
    <n v="3"/>
    <n v="473.49"/>
    <s v="205 Main St"/>
    <x v="2"/>
    <x v="4"/>
    <s v="TRK56186636"/>
    <n v="7"/>
  </r>
  <r>
    <s v="ORD200904"/>
    <d v="2025-02-05T00:00:00"/>
    <s v="C16693"/>
    <x v="0"/>
    <n v="4"/>
    <n v="237.43"/>
    <s v="262 Main St"/>
    <x v="4"/>
    <x v="1"/>
    <s v="TRK41146508"/>
    <n v="8"/>
  </r>
  <r>
    <s v="ORD200905"/>
    <d v="2023-11-23T00:00:00"/>
    <s v="C67818"/>
    <x v="5"/>
    <n v="1"/>
    <n v="442.39"/>
    <s v="101 Main St"/>
    <x v="3"/>
    <x v="4"/>
    <s v="TRK81978113"/>
    <n v="6"/>
  </r>
  <r>
    <s v="ORD200906"/>
    <d v="2024-09-03T00:00:00"/>
    <s v="C49938"/>
    <x v="0"/>
    <n v="1"/>
    <n v="62.12"/>
    <s v="141 Main St"/>
    <x v="4"/>
    <x v="2"/>
    <s v="TRK80175572"/>
    <n v="2"/>
  </r>
  <r>
    <s v="ORD200907"/>
    <d v="2024-08-04T00:00:00"/>
    <s v="C90898"/>
    <x v="6"/>
    <n v="5"/>
    <n v="298.39"/>
    <s v="583 Main St"/>
    <x v="3"/>
    <x v="1"/>
    <s v="TRK52935170"/>
    <n v="7"/>
  </r>
  <r>
    <s v="ORD200908"/>
    <d v="2025-05-06T00:00:00"/>
    <s v="C35117"/>
    <x v="6"/>
    <n v="2"/>
    <n v="697.93"/>
    <s v="332 Main St"/>
    <x v="2"/>
    <x v="1"/>
    <s v="TRK27155709"/>
    <n v="2"/>
  </r>
  <r>
    <s v="ORD200909"/>
    <d v="2024-05-27T00:00:00"/>
    <s v="C60203"/>
    <x v="2"/>
    <n v="2"/>
    <n v="291.85000000000002"/>
    <s v="569 Main St"/>
    <x v="4"/>
    <x v="0"/>
    <s v="TRK76525279"/>
    <n v="5"/>
  </r>
  <r>
    <s v="ORD200910"/>
    <d v="2024-05-31T00:00:00"/>
    <s v="C36174"/>
    <x v="4"/>
    <n v="3"/>
    <n v="308.98"/>
    <s v="348 Main St"/>
    <x v="4"/>
    <x v="3"/>
    <s v="TRK26397548"/>
    <n v="3"/>
  </r>
  <r>
    <s v="ORD200911"/>
    <d v="2024-08-13T00:00:00"/>
    <s v="C80872"/>
    <x v="6"/>
    <n v="5"/>
    <n v="396.86"/>
    <s v="593 Main St"/>
    <x v="4"/>
    <x v="1"/>
    <s v="TRK43967487"/>
    <n v="9"/>
  </r>
  <r>
    <s v="ORD200912"/>
    <d v="2024-01-22T00:00:00"/>
    <s v="C67604"/>
    <x v="6"/>
    <n v="2"/>
    <n v="139.69"/>
    <s v="318 Main St"/>
    <x v="1"/>
    <x v="2"/>
    <s v="TRK85545920"/>
    <n v="7"/>
  </r>
  <r>
    <s v="ORD200913"/>
    <d v="2023-02-16T00:00:00"/>
    <s v="C45599"/>
    <x v="4"/>
    <n v="5"/>
    <n v="475.95"/>
    <s v="505 Main St"/>
    <x v="2"/>
    <x v="2"/>
    <s v="TRK62277685"/>
    <n v="8"/>
  </r>
  <r>
    <s v="ORD200914"/>
    <d v="2025-02-10T00:00:00"/>
    <s v="C70352"/>
    <x v="6"/>
    <n v="1"/>
    <n v="626.6"/>
    <s v="955 Main St"/>
    <x v="3"/>
    <x v="2"/>
    <s v="TRK51589589"/>
    <n v="4"/>
  </r>
  <r>
    <s v="ORD200915"/>
    <d v="2024-02-16T00:00:00"/>
    <s v="C20643"/>
    <x v="5"/>
    <n v="4"/>
    <n v="502.99"/>
    <s v="939 Main St"/>
    <x v="0"/>
    <x v="0"/>
    <s v="TRK30736692"/>
    <n v="4"/>
  </r>
  <r>
    <s v="ORD200916"/>
    <d v="2024-06-21T00:00:00"/>
    <s v="C35669"/>
    <x v="4"/>
    <n v="5"/>
    <n v="578.83000000000004"/>
    <s v="165 Main St"/>
    <x v="4"/>
    <x v="2"/>
    <s v="TRK13928455"/>
    <n v="6"/>
  </r>
  <r>
    <s v="ORD200917"/>
    <d v="2025-01-20T00:00:00"/>
    <s v="C65524"/>
    <x v="5"/>
    <n v="5"/>
    <n v="383.82"/>
    <s v="836 Main St"/>
    <x v="2"/>
    <x v="2"/>
    <s v="TRK19315310"/>
    <n v="7"/>
  </r>
  <r>
    <s v="ORD200918"/>
    <d v="2025-06-24T00:00:00"/>
    <s v="C74359"/>
    <x v="5"/>
    <n v="5"/>
    <n v="368.25"/>
    <s v="706 Main St"/>
    <x v="1"/>
    <x v="3"/>
    <s v="TRK18250450"/>
    <n v="5"/>
  </r>
  <r>
    <s v="ORD200919"/>
    <d v="2025-02-07T00:00:00"/>
    <s v="C92086"/>
    <x v="4"/>
    <n v="2"/>
    <n v="374.6"/>
    <s v="187 Main St"/>
    <x v="1"/>
    <x v="0"/>
    <s v="TRK23357668"/>
    <n v="3"/>
  </r>
  <r>
    <s v="ORD200920"/>
    <d v="2025-03-12T00:00:00"/>
    <s v="C26137"/>
    <x v="2"/>
    <n v="2"/>
    <n v="428.09"/>
    <s v="978 Main St"/>
    <x v="2"/>
    <x v="2"/>
    <s v="TRK98110407"/>
    <n v="6"/>
  </r>
  <r>
    <s v="ORD200921"/>
    <d v="2023-07-24T00:00:00"/>
    <s v="C90573"/>
    <x v="2"/>
    <n v="1"/>
    <n v="438.93"/>
    <s v="144 Main St"/>
    <x v="3"/>
    <x v="1"/>
    <s v="TRK90075720"/>
    <n v="3"/>
  </r>
  <r>
    <s v="ORD200922"/>
    <d v="2024-06-17T00:00:00"/>
    <s v="C81857"/>
    <x v="6"/>
    <n v="2"/>
    <n v="563.82000000000005"/>
    <s v="487 Main St"/>
    <x v="2"/>
    <x v="4"/>
    <s v="TRK79737732"/>
    <n v="3"/>
  </r>
  <r>
    <s v="ORD200923"/>
    <d v="2023-02-11T00:00:00"/>
    <s v="C91582"/>
    <x v="4"/>
    <n v="3"/>
    <n v="649.92999999999995"/>
    <s v="836 Main St"/>
    <x v="2"/>
    <x v="4"/>
    <s v="TRK99938245"/>
    <n v="7"/>
  </r>
  <r>
    <s v="ORD200924"/>
    <d v="2025-03-22T00:00:00"/>
    <s v="C81319"/>
    <x v="4"/>
    <n v="5"/>
    <n v="268.43"/>
    <s v="991 Main St"/>
    <x v="4"/>
    <x v="2"/>
    <s v="TRK55330558"/>
    <n v="5"/>
  </r>
  <r>
    <s v="ORD200925"/>
    <d v="2024-12-20T00:00:00"/>
    <s v="C78500"/>
    <x v="0"/>
    <n v="5"/>
    <n v="502.47"/>
    <s v="304 Main St"/>
    <x v="1"/>
    <x v="0"/>
    <s v="TRK97460884"/>
    <n v="10"/>
  </r>
  <r>
    <s v="ORD200926"/>
    <d v="2024-03-20T00:00:00"/>
    <s v="C67533"/>
    <x v="6"/>
    <n v="1"/>
    <n v="26.95"/>
    <s v="672 Main St"/>
    <x v="4"/>
    <x v="3"/>
    <s v="TRK14566395"/>
    <n v="1"/>
  </r>
  <r>
    <s v="ORD200927"/>
    <d v="2023-02-14T00:00:00"/>
    <s v="C35566"/>
    <x v="5"/>
    <n v="4"/>
    <n v="64.69"/>
    <s v="638 Main St"/>
    <x v="0"/>
    <x v="0"/>
    <s v="TRK10003020"/>
    <n v="7"/>
  </r>
  <r>
    <s v="ORD200928"/>
    <d v="2024-05-09T00:00:00"/>
    <s v="C77166"/>
    <x v="5"/>
    <n v="3"/>
    <n v="247.11"/>
    <s v="821 Main St"/>
    <x v="0"/>
    <x v="2"/>
    <s v="TRK18896595"/>
    <n v="3"/>
  </r>
  <r>
    <s v="ORD200929"/>
    <d v="2024-10-16T00:00:00"/>
    <s v="C67936"/>
    <x v="2"/>
    <n v="2"/>
    <n v="536.25"/>
    <s v="553 Main St"/>
    <x v="0"/>
    <x v="4"/>
    <s v="TRK71803414"/>
    <n v="3"/>
  </r>
  <r>
    <s v="ORD200930"/>
    <d v="2024-12-16T00:00:00"/>
    <s v="C59554"/>
    <x v="1"/>
    <n v="2"/>
    <n v="456.04"/>
    <s v="382 Main St"/>
    <x v="0"/>
    <x v="2"/>
    <s v="TRK28182447"/>
    <n v="4"/>
  </r>
  <r>
    <s v="ORD200931"/>
    <d v="2024-01-01T00:00:00"/>
    <s v="C14005"/>
    <x v="4"/>
    <n v="2"/>
    <n v="40.229999999999997"/>
    <s v="623 Main St"/>
    <x v="2"/>
    <x v="1"/>
    <s v="TRK87567926"/>
    <n v="4"/>
  </r>
  <r>
    <s v="ORD200932"/>
    <d v="2023-03-26T00:00:00"/>
    <s v="C26118"/>
    <x v="5"/>
    <n v="2"/>
    <n v="72.39"/>
    <s v="168 Main St"/>
    <x v="1"/>
    <x v="3"/>
    <s v="TRK15334251"/>
    <n v="7"/>
  </r>
  <r>
    <s v="ORD200933"/>
    <d v="2023-01-26T00:00:00"/>
    <s v="C59685"/>
    <x v="0"/>
    <n v="2"/>
    <n v="394.16"/>
    <s v="255 Main St"/>
    <x v="1"/>
    <x v="0"/>
    <s v="TRK43718093"/>
    <n v="2"/>
  </r>
  <r>
    <s v="ORD200934"/>
    <d v="2025-06-01T00:00:00"/>
    <s v="C40304"/>
    <x v="5"/>
    <n v="4"/>
    <n v="119.84"/>
    <s v="692 Main St"/>
    <x v="3"/>
    <x v="0"/>
    <s v="TRK85790948"/>
    <n v="8"/>
  </r>
  <r>
    <s v="ORD200935"/>
    <d v="2023-11-24T00:00:00"/>
    <s v="C39593"/>
    <x v="1"/>
    <n v="3"/>
    <n v="692.71"/>
    <s v="398 Main St"/>
    <x v="2"/>
    <x v="3"/>
    <s v="TRK62405253"/>
    <n v="3"/>
  </r>
  <r>
    <s v="ORD200936"/>
    <d v="2024-01-12T00:00:00"/>
    <s v="C50612"/>
    <x v="3"/>
    <n v="4"/>
    <n v="56.66"/>
    <s v="737 Main St"/>
    <x v="1"/>
    <x v="3"/>
    <s v="TRK44140968"/>
    <n v="4"/>
  </r>
  <r>
    <s v="ORD200937"/>
    <d v="2024-01-16T00:00:00"/>
    <s v="C39791"/>
    <x v="3"/>
    <n v="2"/>
    <n v="298.52999999999997"/>
    <s v="536 Main St"/>
    <x v="0"/>
    <x v="1"/>
    <s v="TRK46221436"/>
    <n v="5"/>
  </r>
  <r>
    <s v="ORD200938"/>
    <d v="2023-07-12T00:00:00"/>
    <s v="C39017"/>
    <x v="3"/>
    <n v="3"/>
    <n v="331.46"/>
    <s v="696 Main St"/>
    <x v="2"/>
    <x v="1"/>
    <s v="TRK91155214"/>
    <n v="6"/>
  </r>
  <r>
    <s v="ORD200939"/>
    <d v="2025-04-16T00:00:00"/>
    <s v="C48510"/>
    <x v="5"/>
    <n v="2"/>
    <n v="521.4"/>
    <s v="212 Main St"/>
    <x v="4"/>
    <x v="3"/>
    <s v="TRK53152886"/>
    <n v="7"/>
  </r>
  <r>
    <s v="ORD200940"/>
    <d v="2023-03-27T00:00:00"/>
    <s v="C74003"/>
    <x v="4"/>
    <n v="4"/>
    <n v="305.32"/>
    <s v="679 Main St"/>
    <x v="1"/>
    <x v="1"/>
    <s v="TRK91525779"/>
    <n v="4"/>
  </r>
  <r>
    <s v="ORD200941"/>
    <d v="2023-07-17T00:00:00"/>
    <s v="C91155"/>
    <x v="4"/>
    <n v="5"/>
    <n v="111.7"/>
    <s v="599 Main St"/>
    <x v="2"/>
    <x v="1"/>
    <s v="TRK82162952"/>
    <n v="9"/>
  </r>
  <r>
    <s v="ORD200942"/>
    <d v="2023-09-29T00:00:00"/>
    <s v="C17591"/>
    <x v="2"/>
    <n v="1"/>
    <n v="479.76"/>
    <s v="882 Main St"/>
    <x v="2"/>
    <x v="4"/>
    <s v="TRK56070470"/>
    <n v="1"/>
  </r>
  <r>
    <s v="ORD200943"/>
    <d v="2023-12-27T00:00:00"/>
    <s v="C43330"/>
    <x v="0"/>
    <n v="3"/>
    <n v="193.49"/>
    <s v="355 Main St"/>
    <x v="3"/>
    <x v="2"/>
    <s v="TRK71594838"/>
    <n v="6"/>
  </r>
  <r>
    <s v="ORD200944"/>
    <d v="2024-12-16T00:00:00"/>
    <s v="C32687"/>
    <x v="5"/>
    <n v="2"/>
    <n v="426.22"/>
    <s v="448 Main St"/>
    <x v="1"/>
    <x v="3"/>
    <s v="TRK98284560"/>
    <n v="7"/>
  </r>
  <r>
    <s v="ORD200945"/>
    <d v="2023-08-20T00:00:00"/>
    <s v="C79722"/>
    <x v="2"/>
    <n v="5"/>
    <n v="276.44"/>
    <s v="619 Main St"/>
    <x v="3"/>
    <x v="0"/>
    <s v="TRK29976438"/>
    <n v="10"/>
  </r>
  <r>
    <s v="ORD200946"/>
    <d v="2024-05-04T00:00:00"/>
    <s v="C65021"/>
    <x v="1"/>
    <n v="2"/>
    <n v="404.96"/>
    <s v="546 Main St"/>
    <x v="4"/>
    <x v="0"/>
    <s v="TRK20626179"/>
    <n v="4"/>
  </r>
  <r>
    <s v="ORD200947"/>
    <d v="2023-09-07T00:00:00"/>
    <s v="C85520"/>
    <x v="1"/>
    <n v="4"/>
    <n v="465.66"/>
    <s v="119 Main St"/>
    <x v="1"/>
    <x v="2"/>
    <s v="TRK65994177"/>
    <n v="9"/>
  </r>
  <r>
    <s v="ORD200948"/>
    <d v="2024-06-21T00:00:00"/>
    <s v="C94569"/>
    <x v="1"/>
    <n v="2"/>
    <n v="594.07000000000005"/>
    <s v="739 Main St"/>
    <x v="3"/>
    <x v="1"/>
    <s v="TRK79269291"/>
    <n v="2"/>
  </r>
  <r>
    <s v="ORD200949"/>
    <d v="2023-11-09T00:00:00"/>
    <s v="C55778"/>
    <x v="6"/>
    <n v="5"/>
    <n v="110.38"/>
    <s v="319 Main St"/>
    <x v="4"/>
    <x v="4"/>
    <s v="TRK93797108"/>
    <n v="10"/>
  </r>
  <r>
    <s v="ORD200950"/>
    <d v="2024-05-31T00:00:00"/>
    <s v="C19722"/>
    <x v="5"/>
    <n v="1"/>
    <n v="596.24"/>
    <s v="891 Main St"/>
    <x v="2"/>
    <x v="2"/>
    <s v="TRK78094361"/>
    <n v="4"/>
  </r>
  <r>
    <s v="ORD200951"/>
    <d v="2024-07-22T00:00:00"/>
    <s v="C74928"/>
    <x v="4"/>
    <n v="2"/>
    <n v="306.24"/>
    <s v="589 Main St"/>
    <x v="1"/>
    <x v="2"/>
    <s v="TRK39845914"/>
    <n v="4"/>
  </r>
  <r>
    <s v="ORD200952"/>
    <d v="2025-02-27T00:00:00"/>
    <s v="C49111"/>
    <x v="0"/>
    <n v="3"/>
    <n v="503.39"/>
    <s v="225 Main St"/>
    <x v="1"/>
    <x v="4"/>
    <s v="TRK45303393"/>
    <n v="5"/>
  </r>
  <r>
    <s v="ORD200953"/>
    <d v="2023-02-06T00:00:00"/>
    <s v="C43721"/>
    <x v="1"/>
    <n v="1"/>
    <n v="131.61000000000001"/>
    <s v="971 Main St"/>
    <x v="4"/>
    <x v="0"/>
    <s v="TRK89392104"/>
    <n v="2"/>
  </r>
  <r>
    <s v="ORD200954"/>
    <d v="2024-10-22T00:00:00"/>
    <s v="C68609"/>
    <x v="3"/>
    <n v="3"/>
    <n v="443.44"/>
    <s v="240 Main St"/>
    <x v="3"/>
    <x v="0"/>
    <s v="TRK58273778"/>
    <n v="3"/>
  </r>
  <r>
    <s v="ORD200955"/>
    <d v="2023-01-23T00:00:00"/>
    <s v="C82068"/>
    <x v="3"/>
    <n v="1"/>
    <n v="408.13"/>
    <s v="164 Main St"/>
    <x v="3"/>
    <x v="0"/>
    <s v="TRK25779180"/>
    <n v="3"/>
  </r>
  <r>
    <s v="ORD200956"/>
    <d v="2024-04-11T00:00:00"/>
    <s v="C21191"/>
    <x v="1"/>
    <n v="2"/>
    <n v="160.97999999999999"/>
    <s v="381 Main St"/>
    <x v="0"/>
    <x v="3"/>
    <s v="TRK86246309"/>
    <n v="3"/>
  </r>
  <r>
    <s v="ORD200957"/>
    <d v="2023-01-12T00:00:00"/>
    <s v="C73575"/>
    <x v="0"/>
    <n v="5"/>
    <n v="643.89"/>
    <s v="851 Main St"/>
    <x v="4"/>
    <x v="2"/>
    <s v="TRK23387612"/>
    <n v="8"/>
  </r>
  <r>
    <s v="ORD200958"/>
    <d v="2023-05-13T00:00:00"/>
    <s v="C82685"/>
    <x v="6"/>
    <n v="3"/>
    <n v="158.66"/>
    <s v="537 Main St"/>
    <x v="3"/>
    <x v="3"/>
    <s v="TRK70184320"/>
    <n v="7"/>
  </r>
  <r>
    <s v="ORD200959"/>
    <d v="2024-04-13T00:00:00"/>
    <s v="C73996"/>
    <x v="2"/>
    <n v="2"/>
    <n v="143.82"/>
    <s v="856 Main St"/>
    <x v="2"/>
    <x v="2"/>
    <s v="TRK74579570"/>
    <n v="6"/>
  </r>
  <r>
    <s v="ORD200960"/>
    <d v="2023-12-11T00:00:00"/>
    <s v="C87687"/>
    <x v="5"/>
    <n v="3"/>
    <n v="379.07"/>
    <s v="312 Main St"/>
    <x v="3"/>
    <x v="4"/>
    <s v="TRK60383805"/>
    <n v="3"/>
  </r>
  <r>
    <s v="ORD200961"/>
    <d v="2024-11-11T00:00:00"/>
    <s v="C55464"/>
    <x v="1"/>
    <n v="1"/>
    <n v="601.36"/>
    <s v="532 Main St"/>
    <x v="1"/>
    <x v="0"/>
    <s v="TRK81178598"/>
    <n v="1"/>
  </r>
  <r>
    <s v="ORD200962"/>
    <d v="2024-09-06T00:00:00"/>
    <s v="C12459"/>
    <x v="1"/>
    <n v="2"/>
    <n v="142.08000000000001"/>
    <s v="838 Main St"/>
    <x v="3"/>
    <x v="3"/>
    <s v="TRK30674085"/>
    <n v="4"/>
  </r>
  <r>
    <s v="ORD200963"/>
    <d v="2024-03-11T00:00:00"/>
    <s v="C88075"/>
    <x v="3"/>
    <n v="5"/>
    <n v="530.34"/>
    <s v="970 Main St"/>
    <x v="1"/>
    <x v="0"/>
    <s v="TRK42832976"/>
    <n v="9"/>
  </r>
  <r>
    <s v="ORD200964"/>
    <d v="2023-08-20T00:00:00"/>
    <s v="C18583"/>
    <x v="1"/>
    <n v="5"/>
    <n v="364.42"/>
    <s v="778 Main St"/>
    <x v="2"/>
    <x v="1"/>
    <s v="TRK43084595"/>
    <n v="10"/>
  </r>
  <r>
    <s v="ORD200965"/>
    <d v="2025-06-18T00:00:00"/>
    <s v="C70412"/>
    <x v="5"/>
    <n v="4"/>
    <n v="578.28"/>
    <s v="791 Main St"/>
    <x v="3"/>
    <x v="1"/>
    <s v="TRK22192783"/>
    <n v="5"/>
  </r>
  <r>
    <s v="ORD200966"/>
    <d v="2025-05-20T00:00:00"/>
    <s v="C58503"/>
    <x v="0"/>
    <n v="5"/>
    <n v="280.52"/>
    <s v="290 Main St"/>
    <x v="2"/>
    <x v="1"/>
    <s v="TRK12981657"/>
    <n v="7"/>
  </r>
  <r>
    <s v="ORD200967"/>
    <d v="2025-05-06T00:00:00"/>
    <s v="C52879"/>
    <x v="2"/>
    <n v="5"/>
    <n v="638.91999999999996"/>
    <s v="502 Main St"/>
    <x v="2"/>
    <x v="2"/>
    <s v="TRK67403284"/>
    <n v="5"/>
  </r>
  <r>
    <s v="ORD200968"/>
    <d v="2024-02-08T00:00:00"/>
    <s v="C67870"/>
    <x v="0"/>
    <n v="4"/>
    <n v="412.2"/>
    <s v="664 Main St"/>
    <x v="2"/>
    <x v="0"/>
    <s v="TRK72602178"/>
    <n v="6"/>
  </r>
  <r>
    <s v="ORD200969"/>
    <d v="2025-06-05T00:00:00"/>
    <s v="C19439"/>
    <x v="6"/>
    <n v="1"/>
    <n v="440.34"/>
    <s v="675 Main St"/>
    <x v="3"/>
    <x v="0"/>
    <s v="TRK25383993"/>
    <n v="2"/>
  </r>
  <r>
    <s v="ORD200970"/>
    <d v="2024-09-07T00:00:00"/>
    <s v="C72664"/>
    <x v="6"/>
    <n v="1"/>
    <n v="627.15"/>
    <s v="241 Main St"/>
    <x v="4"/>
    <x v="3"/>
    <s v="TRK86694331"/>
    <n v="5"/>
  </r>
  <r>
    <s v="ORD200971"/>
    <d v="2024-05-27T00:00:00"/>
    <s v="C32650"/>
    <x v="0"/>
    <n v="2"/>
    <n v="605.26"/>
    <s v="934 Main St"/>
    <x v="4"/>
    <x v="1"/>
    <s v="TRK66648743"/>
    <n v="4"/>
  </r>
  <r>
    <s v="ORD200972"/>
    <d v="2024-06-09T00:00:00"/>
    <s v="C66438"/>
    <x v="5"/>
    <n v="1"/>
    <n v="90.27"/>
    <s v="816 Main St"/>
    <x v="4"/>
    <x v="3"/>
    <s v="TRK32035271"/>
    <n v="5"/>
  </r>
  <r>
    <s v="ORD200973"/>
    <d v="2025-06-09T00:00:00"/>
    <s v="C70010"/>
    <x v="6"/>
    <n v="5"/>
    <n v="230.77"/>
    <s v="141 Main St"/>
    <x v="1"/>
    <x v="4"/>
    <s v="TRK50594008"/>
    <n v="10"/>
  </r>
  <r>
    <s v="ORD200974"/>
    <d v="2023-09-27T00:00:00"/>
    <s v="C30722"/>
    <x v="6"/>
    <n v="5"/>
    <n v="266.77999999999997"/>
    <s v="274 Main St"/>
    <x v="3"/>
    <x v="1"/>
    <s v="TRK52088168"/>
    <n v="5"/>
  </r>
  <r>
    <s v="ORD200975"/>
    <d v="2023-05-18T00:00:00"/>
    <s v="C70529"/>
    <x v="6"/>
    <n v="1"/>
    <n v="105.92"/>
    <s v="974 Main St"/>
    <x v="3"/>
    <x v="2"/>
    <s v="TRK82165408"/>
    <n v="6"/>
  </r>
  <r>
    <s v="ORD200976"/>
    <d v="2024-04-04T00:00:00"/>
    <s v="C18984"/>
    <x v="2"/>
    <n v="3"/>
    <n v="589.29999999999995"/>
    <s v="650 Main St"/>
    <x v="2"/>
    <x v="2"/>
    <s v="TRK49298239"/>
    <n v="6"/>
  </r>
  <r>
    <s v="ORD200977"/>
    <d v="2023-01-28T00:00:00"/>
    <s v="C85841"/>
    <x v="3"/>
    <n v="4"/>
    <n v="649.47"/>
    <s v="608 Main St"/>
    <x v="4"/>
    <x v="4"/>
    <s v="TRK99820544"/>
    <n v="8"/>
  </r>
  <r>
    <s v="ORD200978"/>
    <d v="2024-06-25T00:00:00"/>
    <s v="C41508"/>
    <x v="4"/>
    <n v="4"/>
    <n v="107.49"/>
    <s v="993 Main St"/>
    <x v="4"/>
    <x v="3"/>
    <s v="TRK61047536"/>
    <n v="5"/>
  </r>
  <r>
    <s v="ORD200979"/>
    <d v="2023-05-31T00:00:00"/>
    <s v="C75018"/>
    <x v="0"/>
    <n v="3"/>
    <n v="669.06"/>
    <s v="299 Main St"/>
    <x v="4"/>
    <x v="3"/>
    <s v="TRK51794806"/>
    <n v="7"/>
  </r>
  <r>
    <s v="ORD200980"/>
    <d v="2023-10-14T00:00:00"/>
    <s v="C84320"/>
    <x v="3"/>
    <n v="3"/>
    <n v="69.650000000000006"/>
    <s v="107 Main St"/>
    <x v="4"/>
    <x v="3"/>
    <s v="TRK81093218"/>
    <n v="7"/>
  </r>
  <r>
    <s v="ORD200981"/>
    <d v="2023-11-26T00:00:00"/>
    <s v="C12609"/>
    <x v="1"/>
    <n v="4"/>
    <n v="136.83000000000001"/>
    <s v="490 Main St"/>
    <x v="0"/>
    <x v="4"/>
    <s v="TRK56379337"/>
    <n v="8"/>
  </r>
  <r>
    <s v="ORD200982"/>
    <d v="2024-09-06T00:00:00"/>
    <s v="C64935"/>
    <x v="0"/>
    <n v="1"/>
    <n v="304.11"/>
    <s v="707 Main St"/>
    <x v="3"/>
    <x v="0"/>
    <s v="TRK42969065"/>
    <n v="2"/>
  </r>
  <r>
    <s v="ORD200983"/>
    <d v="2024-11-24T00:00:00"/>
    <s v="C67528"/>
    <x v="0"/>
    <n v="4"/>
    <n v="296.27999999999997"/>
    <s v="110 Main St"/>
    <x v="3"/>
    <x v="0"/>
    <s v="TRK60865210"/>
    <n v="5"/>
  </r>
  <r>
    <s v="ORD200984"/>
    <d v="2025-02-28T00:00:00"/>
    <s v="C44176"/>
    <x v="6"/>
    <n v="1"/>
    <n v="77.64"/>
    <s v="706 Main St"/>
    <x v="2"/>
    <x v="0"/>
    <s v="TRK68704764"/>
    <n v="1"/>
  </r>
  <r>
    <s v="ORD200985"/>
    <d v="2024-07-20T00:00:00"/>
    <s v="C92788"/>
    <x v="6"/>
    <n v="1"/>
    <n v="243.71"/>
    <s v="948 Main St"/>
    <x v="3"/>
    <x v="3"/>
    <s v="TRK83835361"/>
    <n v="6"/>
  </r>
  <r>
    <s v="ORD200986"/>
    <d v="2024-09-07T00:00:00"/>
    <s v="C69213"/>
    <x v="5"/>
    <n v="4"/>
    <n v="644.96"/>
    <s v="533 Main St"/>
    <x v="2"/>
    <x v="4"/>
    <s v="TRK67837331"/>
    <n v="7"/>
  </r>
  <r>
    <s v="ORD200987"/>
    <d v="2025-06-05T00:00:00"/>
    <s v="C67387"/>
    <x v="1"/>
    <n v="5"/>
    <n v="283.73"/>
    <s v="436 Main St"/>
    <x v="3"/>
    <x v="4"/>
    <s v="TRK54120003"/>
    <n v="8"/>
  </r>
  <r>
    <s v="ORD200988"/>
    <d v="2025-02-04T00:00:00"/>
    <s v="C90318"/>
    <x v="6"/>
    <n v="2"/>
    <n v="629.55999999999995"/>
    <s v="818 Main St"/>
    <x v="3"/>
    <x v="1"/>
    <s v="TRK52765043"/>
    <n v="5"/>
  </r>
  <r>
    <s v="ORD200989"/>
    <d v="2023-03-23T00:00:00"/>
    <s v="C49995"/>
    <x v="5"/>
    <n v="4"/>
    <n v="246.11"/>
    <s v="559 Main St"/>
    <x v="2"/>
    <x v="4"/>
    <s v="TRK33212013"/>
    <n v="4"/>
  </r>
  <r>
    <s v="ORD200990"/>
    <d v="2023-11-19T00:00:00"/>
    <s v="C52313"/>
    <x v="1"/>
    <n v="2"/>
    <n v="418.26"/>
    <s v="913 Main St"/>
    <x v="0"/>
    <x v="4"/>
    <s v="TRK67368559"/>
    <n v="2"/>
  </r>
  <r>
    <s v="ORD200991"/>
    <d v="2024-05-09T00:00:00"/>
    <s v="C10211"/>
    <x v="6"/>
    <n v="5"/>
    <n v="127.18"/>
    <s v="598 Main St"/>
    <x v="0"/>
    <x v="1"/>
    <s v="TRK68938335"/>
    <n v="10"/>
  </r>
  <r>
    <s v="ORD200992"/>
    <d v="2024-08-27T00:00:00"/>
    <s v="C97907"/>
    <x v="4"/>
    <n v="3"/>
    <n v="586.21"/>
    <s v="933 Main St"/>
    <x v="3"/>
    <x v="4"/>
    <s v="TRK89637569"/>
    <n v="4"/>
  </r>
  <r>
    <s v="ORD200993"/>
    <d v="2024-04-06T00:00:00"/>
    <s v="C61384"/>
    <x v="0"/>
    <n v="3"/>
    <n v="267.45"/>
    <s v="576 Main St"/>
    <x v="3"/>
    <x v="3"/>
    <s v="TRK33323210"/>
    <n v="5"/>
  </r>
  <r>
    <s v="ORD200994"/>
    <d v="2024-06-27T00:00:00"/>
    <s v="C27613"/>
    <x v="2"/>
    <n v="4"/>
    <n v="615.65"/>
    <s v="971 Main St"/>
    <x v="0"/>
    <x v="3"/>
    <s v="TRK63701318"/>
    <n v="9"/>
  </r>
  <r>
    <s v="ORD200995"/>
    <d v="2023-11-18T00:00:00"/>
    <s v="C99271"/>
    <x v="0"/>
    <n v="2"/>
    <n v="113.29"/>
    <s v="959 Main St"/>
    <x v="4"/>
    <x v="4"/>
    <s v="TRK87832736"/>
    <n v="5"/>
  </r>
  <r>
    <s v="ORD200996"/>
    <d v="2024-04-28T00:00:00"/>
    <s v="C28648"/>
    <x v="0"/>
    <n v="4"/>
    <n v="473.86"/>
    <s v="101 Main St"/>
    <x v="0"/>
    <x v="3"/>
    <s v="TRK92240846"/>
    <n v="7"/>
  </r>
  <r>
    <s v="ORD200997"/>
    <d v="2023-11-27T00:00:00"/>
    <s v="C26210"/>
    <x v="5"/>
    <n v="3"/>
    <n v="444.75"/>
    <s v="805 Main St"/>
    <x v="4"/>
    <x v="3"/>
    <s v="TRK40616861"/>
    <n v="6"/>
  </r>
  <r>
    <s v="ORD200998"/>
    <d v="2023-05-19T00:00:00"/>
    <s v="C90350"/>
    <x v="1"/>
    <n v="2"/>
    <n v="183.67"/>
    <s v="783 Main St"/>
    <x v="0"/>
    <x v="1"/>
    <s v="TRK22824230"/>
    <n v="6"/>
  </r>
  <r>
    <s v="ORD200999"/>
    <d v="2023-12-24T00:00:00"/>
    <s v="C61957"/>
    <x v="4"/>
    <n v="1"/>
    <n v="483.38"/>
    <s v="652 Main St"/>
    <x v="4"/>
    <x v="4"/>
    <s v="TRK43983841"/>
    <n v="6"/>
  </r>
  <r>
    <s v="ORD201000"/>
    <d v="2023-06-21T00:00:00"/>
    <s v="C90132"/>
    <x v="4"/>
    <n v="5"/>
    <n v="260.93"/>
    <s v="582 Main St"/>
    <x v="1"/>
    <x v="3"/>
    <s v="TRK52664903"/>
    <n v="9"/>
  </r>
  <r>
    <s v="ORD201001"/>
    <d v="2023-12-08T00:00:00"/>
    <s v="C31371"/>
    <x v="4"/>
    <n v="2"/>
    <n v="253.68"/>
    <s v="122 Main St"/>
    <x v="3"/>
    <x v="0"/>
    <s v="TRK19554327"/>
    <n v="6"/>
  </r>
  <r>
    <s v="ORD201002"/>
    <d v="2025-06-19T00:00:00"/>
    <s v="C83911"/>
    <x v="2"/>
    <n v="4"/>
    <n v="699.88"/>
    <s v="944 Main St"/>
    <x v="4"/>
    <x v="4"/>
    <s v="TRK33188106"/>
    <n v="5"/>
  </r>
  <r>
    <s v="ORD201003"/>
    <d v="2023-01-11T00:00:00"/>
    <s v="C84700"/>
    <x v="4"/>
    <n v="5"/>
    <n v="319.97000000000003"/>
    <s v="582 Main St"/>
    <x v="4"/>
    <x v="0"/>
    <s v="TRK14706969"/>
    <n v="7"/>
  </r>
  <r>
    <s v="ORD201004"/>
    <d v="2025-06-09T00:00:00"/>
    <s v="C87529"/>
    <x v="3"/>
    <n v="4"/>
    <n v="246.91"/>
    <s v="296 Main St"/>
    <x v="1"/>
    <x v="4"/>
    <s v="TRK15739505"/>
    <n v="8"/>
  </r>
  <r>
    <s v="ORD201005"/>
    <d v="2023-03-02T00:00:00"/>
    <s v="C38065"/>
    <x v="4"/>
    <n v="3"/>
    <n v="392.85"/>
    <s v="426 Main St"/>
    <x v="2"/>
    <x v="2"/>
    <s v="TRK11448295"/>
    <n v="6"/>
  </r>
  <r>
    <s v="ORD201006"/>
    <d v="2024-05-27T00:00:00"/>
    <s v="C27435"/>
    <x v="2"/>
    <n v="5"/>
    <n v="420.98"/>
    <s v="860 Main St"/>
    <x v="4"/>
    <x v="3"/>
    <s v="TRK91458233"/>
    <n v="7"/>
  </r>
  <r>
    <s v="ORD201007"/>
    <d v="2024-03-20T00:00:00"/>
    <s v="C46651"/>
    <x v="0"/>
    <n v="2"/>
    <n v="73.260000000000005"/>
    <s v="839 Main St"/>
    <x v="4"/>
    <x v="4"/>
    <s v="TRK60444502"/>
    <n v="4"/>
  </r>
  <r>
    <s v="ORD201008"/>
    <d v="2023-01-13T00:00:00"/>
    <s v="C62557"/>
    <x v="0"/>
    <n v="3"/>
    <n v="410.88"/>
    <s v="257 Main St"/>
    <x v="4"/>
    <x v="3"/>
    <s v="TRK12742366"/>
    <n v="8"/>
  </r>
  <r>
    <s v="ORD201009"/>
    <d v="2023-09-02T00:00:00"/>
    <s v="C54494"/>
    <x v="2"/>
    <n v="2"/>
    <n v="176.46"/>
    <s v="696 Main St"/>
    <x v="2"/>
    <x v="3"/>
    <s v="TRK95958645"/>
    <n v="2"/>
  </r>
  <r>
    <s v="ORD201010"/>
    <d v="2023-03-31T00:00:00"/>
    <s v="C33729"/>
    <x v="0"/>
    <n v="3"/>
    <n v="659.57"/>
    <s v="533 Main St"/>
    <x v="2"/>
    <x v="1"/>
    <s v="TRK35649833"/>
    <n v="6"/>
  </r>
  <r>
    <s v="ORD201011"/>
    <d v="2024-12-03T00:00:00"/>
    <s v="C47823"/>
    <x v="1"/>
    <n v="2"/>
    <n v="478.36"/>
    <s v="654 Main St"/>
    <x v="1"/>
    <x v="0"/>
    <s v="TRK22271097"/>
    <n v="3"/>
  </r>
  <r>
    <s v="ORD201012"/>
    <d v="2024-12-03T00:00:00"/>
    <s v="C84570"/>
    <x v="4"/>
    <n v="4"/>
    <n v="30.05"/>
    <s v="301 Main St"/>
    <x v="1"/>
    <x v="2"/>
    <s v="TRK12551882"/>
    <n v="6"/>
  </r>
  <r>
    <s v="ORD201013"/>
    <d v="2025-04-26T00:00:00"/>
    <s v="C91123"/>
    <x v="5"/>
    <n v="4"/>
    <n v="300.56"/>
    <s v="842 Main St"/>
    <x v="4"/>
    <x v="1"/>
    <s v="TRK49568409"/>
    <n v="9"/>
  </r>
  <r>
    <s v="ORD201014"/>
    <d v="2024-02-04T00:00:00"/>
    <s v="C92548"/>
    <x v="2"/>
    <n v="5"/>
    <n v="226.45"/>
    <s v="160 Main St"/>
    <x v="0"/>
    <x v="2"/>
    <s v="TRK21682892"/>
    <n v="6"/>
  </r>
  <r>
    <s v="ORD201015"/>
    <d v="2024-01-26T00:00:00"/>
    <s v="C97454"/>
    <x v="4"/>
    <n v="2"/>
    <n v="349.4"/>
    <s v="892 Main St"/>
    <x v="1"/>
    <x v="0"/>
    <s v="TRK73249329"/>
    <n v="2"/>
  </r>
  <r>
    <s v="ORD201016"/>
    <d v="2023-12-29T00:00:00"/>
    <s v="C20257"/>
    <x v="2"/>
    <n v="5"/>
    <n v="268.77999999999997"/>
    <s v="669 Main St"/>
    <x v="0"/>
    <x v="3"/>
    <s v="TRK62135578"/>
    <n v="7"/>
  </r>
  <r>
    <s v="ORD201017"/>
    <d v="2024-08-25T00:00:00"/>
    <s v="C51694"/>
    <x v="3"/>
    <n v="2"/>
    <n v="680.85"/>
    <s v="953 Main St"/>
    <x v="3"/>
    <x v="3"/>
    <s v="TRK83122112"/>
    <n v="6"/>
  </r>
  <r>
    <s v="ORD201018"/>
    <d v="2023-07-08T00:00:00"/>
    <s v="C77499"/>
    <x v="5"/>
    <n v="3"/>
    <n v="182.48"/>
    <s v="209 Main St"/>
    <x v="4"/>
    <x v="3"/>
    <s v="TRK20703086"/>
    <n v="3"/>
  </r>
  <r>
    <s v="ORD201019"/>
    <d v="2024-04-06T00:00:00"/>
    <s v="C28386"/>
    <x v="6"/>
    <n v="1"/>
    <n v="277.08999999999997"/>
    <s v="293 Main St"/>
    <x v="4"/>
    <x v="2"/>
    <s v="TRK32954229"/>
    <n v="2"/>
  </r>
  <r>
    <s v="ORD201020"/>
    <d v="2024-04-22T00:00:00"/>
    <s v="C50211"/>
    <x v="2"/>
    <n v="2"/>
    <n v="26.5"/>
    <s v="312 Main St"/>
    <x v="1"/>
    <x v="3"/>
    <s v="TRK47787981"/>
    <n v="3"/>
  </r>
  <r>
    <s v="ORD201021"/>
    <d v="2023-10-23T00:00:00"/>
    <s v="C74519"/>
    <x v="1"/>
    <n v="3"/>
    <n v="315.27"/>
    <s v="309 Main St"/>
    <x v="2"/>
    <x v="1"/>
    <s v="TRK97351945"/>
    <n v="4"/>
  </r>
  <r>
    <s v="ORD201022"/>
    <d v="2025-02-24T00:00:00"/>
    <s v="C19071"/>
    <x v="2"/>
    <n v="3"/>
    <n v="450.98"/>
    <s v="396 Main St"/>
    <x v="2"/>
    <x v="0"/>
    <s v="TRK66537096"/>
    <n v="8"/>
  </r>
  <r>
    <s v="ORD201023"/>
    <d v="2024-09-23T00:00:00"/>
    <s v="C65251"/>
    <x v="5"/>
    <n v="5"/>
    <n v="233.67"/>
    <s v="291 Main St"/>
    <x v="4"/>
    <x v="0"/>
    <s v="TRK32059025"/>
    <n v="10"/>
  </r>
  <r>
    <s v="ORD201024"/>
    <d v="2024-01-29T00:00:00"/>
    <s v="C90612"/>
    <x v="3"/>
    <n v="3"/>
    <n v="367.75"/>
    <s v="731 Main St"/>
    <x v="4"/>
    <x v="4"/>
    <s v="TRK93022878"/>
    <n v="7"/>
  </r>
  <r>
    <s v="ORD201025"/>
    <d v="2025-05-17T00:00:00"/>
    <s v="C28406"/>
    <x v="3"/>
    <n v="1"/>
    <n v="23.53"/>
    <s v="174 Main St"/>
    <x v="3"/>
    <x v="3"/>
    <s v="TRK98841457"/>
    <n v="2"/>
  </r>
  <r>
    <s v="ORD201026"/>
    <d v="2023-05-01T00:00:00"/>
    <s v="C55454"/>
    <x v="0"/>
    <n v="1"/>
    <n v="677.48"/>
    <s v="807 Main St"/>
    <x v="1"/>
    <x v="3"/>
    <s v="TRK13281370"/>
    <n v="1"/>
  </r>
  <r>
    <s v="ORD201027"/>
    <d v="2024-05-21T00:00:00"/>
    <s v="C93467"/>
    <x v="5"/>
    <n v="4"/>
    <n v="554.83000000000004"/>
    <s v="983 Main St"/>
    <x v="4"/>
    <x v="2"/>
    <s v="TRK77377373"/>
    <n v="6"/>
  </r>
  <r>
    <s v="ORD201028"/>
    <d v="2023-02-17T00:00:00"/>
    <s v="C60042"/>
    <x v="6"/>
    <n v="4"/>
    <n v="440.31"/>
    <s v="610 Main St"/>
    <x v="4"/>
    <x v="1"/>
    <s v="TRK84651559"/>
    <n v="6"/>
  </r>
  <r>
    <s v="ORD201029"/>
    <d v="2025-03-01T00:00:00"/>
    <s v="C44733"/>
    <x v="6"/>
    <n v="1"/>
    <n v="87.06"/>
    <s v="851 Main St"/>
    <x v="2"/>
    <x v="0"/>
    <s v="TRK41500198"/>
    <n v="4"/>
  </r>
  <r>
    <s v="ORD201030"/>
    <d v="2023-10-02T00:00:00"/>
    <s v="C61773"/>
    <x v="1"/>
    <n v="4"/>
    <n v="245.28"/>
    <s v="176 Main St"/>
    <x v="2"/>
    <x v="3"/>
    <s v="TRK12936357"/>
    <n v="6"/>
  </r>
  <r>
    <s v="ORD201031"/>
    <d v="2023-02-28T00:00:00"/>
    <s v="C59183"/>
    <x v="1"/>
    <n v="5"/>
    <n v="664.51"/>
    <s v="136 Main St"/>
    <x v="0"/>
    <x v="4"/>
    <s v="TRK18129706"/>
    <n v="8"/>
  </r>
  <r>
    <s v="ORD201032"/>
    <d v="2023-04-20T00:00:00"/>
    <s v="C26188"/>
    <x v="3"/>
    <n v="1"/>
    <n v="618.67999999999995"/>
    <s v="990 Main St"/>
    <x v="1"/>
    <x v="3"/>
    <s v="TRK61634201"/>
    <n v="6"/>
  </r>
  <r>
    <s v="ORD201033"/>
    <d v="2024-12-24T00:00:00"/>
    <s v="C20338"/>
    <x v="0"/>
    <n v="1"/>
    <n v="370.85"/>
    <s v="331 Main St"/>
    <x v="3"/>
    <x v="3"/>
    <s v="TRK30654048"/>
    <n v="2"/>
  </r>
  <r>
    <s v="ORD201034"/>
    <d v="2024-06-16T00:00:00"/>
    <s v="C84524"/>
    <x v="4"/>
    <n v="4"/>
    <n v="517.98"/>
    <s v="766 Main St"/>
    <x v="4"/>
    <x v="1"/>
    <s v="TRK76751888"/>
    <n v="8"/>
  </r>
  <r>
    <s v="ORD201035"/>
    <d v="2023-11-12T00:00:00"/>
    <s v="C70315"/>
    <x v="5"/>
    <n v="4"/>
    <n v="506.11"/>
    <s v="911 Main St"/>
    <x v="4"/>
    <x v="1"/>
    <s v="TRK97732085"/>
    <n v="5"/>
  </r>
  <r>
    <s v="ORD201036"/>
    <d v="2024-05-31T00:00:00"/>
    <s v="C98278"/>
    <x v="1"/>
    <n v="3"/>
    <n v="413.83"/>
    <s v="552 Main St"/>
    <x v="3"/>
    <x v="0"/>
    <s v="TRK49684737"/>
    <n v="8"/>
  </r>
  <r>
    <s v="ORD201037"/>
    <d v="2023-12-13T00:00:00"/>
    <s v="C32347"/>
    <x v="4"/>
    <n v="1"/>
    <n v="249.81"/>
    <s v="408 Main St"/>
    <x v="4"/>
    <x v="4"/>
    <s v="TRK54073964"/>
    <n v="1"/>
  </r>
  <r>
    <s v="ORD201038"/>
    <d v="2025-03-15T00:00:00"/>
    <s v="C77961"/>
    <x v="2"/>
    <n v="3"/>
    <n v="362.53"/>
    <s v="422 Main St"/>
    <x v="0"/>
    <x v="2"/>
    <s v="TRK28969024"/>
    <n v="5"/>
  </r>
  <r>
    <s v="ORD201039"/>
    <d v="2025-06-28T00:00:00"/>
    <s v="C49137"/>
    <x v="6"/>
    <n v="2"/>
    <n v="299.23"/>
    <s v="177 Main St"/>
    <x v="2"/>
    <x v="1"/>
    <s v="TRK79362428"/>
    <n v="2"/>
  </r>
  <r>
    <s v="ORD201040"/>
    <d v="2023-11-15T00:00:00"/>
    <s v="C13169"/>
    <x v="2"/>
    <n v="1"/>
    <n v="536.07000000000005"/>
    <s v="932 Main St"/>
    <x v="0"/>
    <x v="3"/>
    <s v="TRK66288666"/>
    <n v="5"/>
  </r>
  <r>
    <s v="ORD201041"/>
    <d v="2023-02-11T00:00:00"/>
    <s v="C21167"/>
    <x v="0"/>
    <n v="4"/>
    <n v="558.9"/>
    <s v="948 Main St"/>
    <x v="3"/>
    <x v="0"/>
    <s v="TRK97737564"/>
    <n v="9"/>
  </r>
  <r>
    <s v="ORD201042"/>
    <d v="2024-12-09T00:00:00"/>
    <s v="C59724"/>
    <x v="2"/>
    <n v="2"/>
    <n v="409.75"/>
    <s v="414 Main St"/>
    <x v="0"/>
    <x v="0"/>
    <s v="TRK67878272"/>
    <n v="2"/>
  </r>
  <r>
    <s v="ORD201043"/>
    <d v="2025-01-11T00:00:00"/>
    <s v="C43965"/>
    <x v="2"/>
    <n v="2"/>
    <n v="179.96"/>
    <s v="675 Main St"/>
    <x v="3"/>
    <x v="0"/>
    <s v="TRK94346739"/>
    <n v="5"/>
  </r>
  <r>
    <s v="ORD201044"/>
    <d v="2025-06-22T00:00:00"/>
    <s v="C63018"/>
    <x v="4"/>
    <n v="1"/>
    <n v="38.49"/>
    <s v="215 Main St"/>
    <x v="2"/>
    <x v="3"/>
    <s v="TRK52335337"/>
    <n v="4"/>
  </r>
  <r>
    <s v="ORD201045"/>
    <d v="2024-09-20T00:00:00"/>
    <s v="C11893"/>
    <x v="5"/>
    <n v="5"/>
    <n v="316.39999999999998"/>
    <s v="671 Main St"/>
    <x v="3"/>
    <x v="2"/>
    <s v="TRK72012758"/>
    <n v="7"/>
  </r>
  <r>
    <s v="ORD201046"/>
    <d v="2024-10-07T00:00:00"/>
    <s v="C85421"/>
    <x v="2"/>
    <n v="3"/>
    <n v="547.15"/>
    <s v="466 Main St"/>
    <x v="1"/>
    <x v="0"/>
    <s v="TRK16524006"/>
    <n v="4"/>
  </r>
  <r>
    <s v="ORD201047"/>
    <d v="2023-06-23T00:00:00"/>
    <s v="C81726"/>
    <x v="3"/>
    <n v="4"/>
    <n v="540.34"/>
    <s v="394 Main St"/>
    <x v="3"/>
    <x v="0"/>
    <s v="TRK69872994"/>
    <n v="6"/>
  </r>
  <r>
    <s v="ORD201048"/>
    <d v="2024-09-09T00:00:00"/>
    <s v="C57601"/>
    <x v="0"/>
    <n v="4"/>
    <n v="73.650000000000006"/>
    <s v="889 Main St"/>
    <x v="0"/>
    <x v="0"/>
    <s v="TRK21153699"/>
    <n v="9"/>
  </r>
  <r>
    <s v="ORD201049"/>
    <d v="2024-07-18T00:00:00"/>
    <s v="C60575"/>
    <x v="6"/>
    <n v="5"/>
    <n v="391.86"/>
    <s v="587 Main St"/>
    <x v="2"/>
    <x v="0"/>
    <s v="TRK44468232"/>
    <n v="6"/>
  </r>
  <r>
    <s v="ORD201050"/>
    <d v="2023-08-20T00:00:00"/>
    <s v="C70659"/>
    <x v="5"/>
    <n v="5"/>
    <n v="69.7"/>
    <s v="722 Main St"/>
    <x v="1"/>
    <x v="2"/>
    <s v="TRK49663597"/>
    <n v="9"/>
  </r>
  <r>
    <s v="ORD201051"/>
    <d v="2025-03-05T00:00:00"/>
    <s v="C35043"/>
    <x v="0"/>
    <n v="5"/>
    <n v="26.43"/>
    <s v="820 Main St"/>
    <x v="3"/>
    <x v="0"/>
    <s v="TRK65097450"/>
    <n v="5"/>
  </r>
  <r>
    <s v="ORD201052"/>
    <d v="2023-09-11T00:00:00"/>
    <s v="C12301"/>
    <x v="2"/>
    <n v="1"/>
    <n v="531.74"/>
    <s v="493 Main St"/>
    <x v="1"/>
    <x v="0"/>
    <s v="TRK25145796"/>
    <n v="1"/>
  </r>
  <r>
    <s v="ORD201053"/>
    <d v="2024-09-15T00:00:00"/>
    <s v="C32798"/>
    <x v="1"/>
    <n v="2"/>
    <n v="496.62"/>
    <s v="679 Main St"/>
    <x v="1"/>
    <x v="4"/>
    <s v="TRK37375451"/>
    <n v="2"/>
  </r>
  <r>
    <s v="ORD201054"/>
    <d v="2023-11-29T00:00:00"/>
    <s v="C42949"/>
    <x v="4"/>
    <n v="1"/>
    <n v="660.66"/>
    <s v="447 Main St"/>
    <x v="0"/>
    <x v="3"/>
    <s v="TRK46415143"/>
    <n v="3"/>
  </r>
  <r>
    <s v="ORD201055"/>
    <d v="2023-10-23T00:00:00"/>
    <s v="C10787"/>
    <x v="0"/>
    <n v="4"/>
    <n v="274.82"/>
    <s v="932 Main St"/>
    <x v="0"/>
    <x v="3"/>
    <s v="TRK91512567"/>
    <n v="9"/>
  </r>
  <r>
    <s v="ORD201056"/>
    <d v="2024-06-14T00:00:00"/>
    <s v="C26152"/>
    <x v="1"/>
    <n v="2"/>
    <n v="486.35"/>
    <s v="790 Main St"/>
    <x v="1"/>
    <x v="4"/>
    <s v="TRK49382455"/>
    <n v="6"/>
  </r>
  <r>
    <s v="ORD201057"/>
    <d v="2024-09-24T00:00:00"/>
    <s v="C46210"/>
    <x v="5"/>
    <n v="3"/>
    <n v="428.88"/>
    <s v="535 Main St"/>
    <x v="0"/>
    <x v="0"/>
    <s v="TRK81611937"/>
    <n v="3"/>
  </r>
  <r>
    <s v="ORD201058"/>
    <d v="2023-09-08T00:00:00"/>
    <s v="C32943"/>
    <x v="6"/>
    <n v="2"/>
    <n v="412.14"/>
    <s v="127 Main St"/>
    <x v="2"/>
    <x v="2"/>
    <s v="TRK26949106"/>
    <n v="2"/>
  </r>
  <r>
    <s v="ORD201059"/>
    <d v="2024-09-22T00:00:00"/>
    <s v="C73629"/>
    <x v="6"/>
    <n v="1"/>
    <n v="265.64"/>
    <s v="601 Main St"/>
    <x v="2"/>
    <x v="2"/>
    <s v="TRK11492924"/>
    <n v="3"/>
  </r>
  <r>
    <s v="ORD201060"/>
    <d v="2024-05-07T00:00:00"/>
    <s v="C38024"/>
    <x v="2"/>
    <n v="2"/>
    <n v="273.43"/>
    <s v="824 Main St"/>
    <x v="4"/>
    <x v="0"/>
    <s v="TRK93370912"/>
    <n v="7"/>
  </r>
  <r>
    <s v="ORD201061"/>
    <d v="2025-01-29T00:00:00"/>
    <s v="C25445"/>
    <x v="5"/>
    <n v="5"/>
    <n v="131.69999999999999"/>
    <s v="830 Main St"/>
    <x v="4"/>
    <x v="0"/>
    <s v="TRK12402431"/>
    <n v="8"/>
  </r>
  <r>
    <s v="ORD201062"/>
    <d v="2023-08-23T00:00:00"/>
    <s v="C13501"/>
    <x v="3"/>
    <n v="5"/>
    <n v="85.52"/>
    <s v="301 Main St"/>
    <x v="3"/>
    <x v="1"/>
    <s v="TRK65149372"/>
    <n v="5"/>
  </r>
  <r>
    <s v="ORD201063"/>
    <d v="2024-06-19T00:00:00"/>
    <s v="C42108"/>
    <x v="6"/>
    <n v="2"/>
    <n v="320.68"/>
    <s v="336 Main St"/>
    <x v="2"/>
    <x v="0"/>
    <s v="TRK58407918"/>
    <n v="5"/>
  </r>
  <r>
    <s v="ORD201064"/>
    <d v="2025-02-12T00:00:00"/>
    <s v="C32121"/>
    <x v="5"/>
    <n v="4"/>
    <n v="198.81"/>
    <s v="654 Main St"/>
    <x v="4"/>
    <x v="2"/>
    <s v="TRK96074264"/>
    <n v="9"/>
  </r>
  <r>
    <s v="ORD201065"/>
    <d v="2023-10-30T00:00:00"/>
    <s v="C47778"/>
    <x v="4"/>
    <n v="5"/>
    <n v="666.8"/>
    <s v="488 Main St"/>
    <x v="0"/>
    <x v="3"/>
    <s v="TRK79504329"/>
    <n v="7"/>
  </r>
  <r>
    <s v="ORD201066"/>
    <d v="2023-12-20T00:00:00"/>
    <s v="C10791"/>
    <x v="6"/>
    <n v="1"/>
    <n v="355.09"/>
    <s v="674 Main St"/>
    <x v="0"/>
    <x v="1"/>
    <s v="TRK20321248"/>
    <n v="5"/>
  </r>
  <r>
    <s v="ORD201067"/>
    <d v="2023-06-06T00:00:00"/>
    <s v="C78959"/>
    <x v="1"/>
    <n v="2"/>
    <n v="316.2"/>
    <s v="384 Main St"/>
    <x v="1"/>
    <x v="2"/>
    <s v="TRK37426359"/>
    <n v="2"/>
  </r>
  <r>
    <s v="ORD201068"/>
    <d v="2024-08-03T00:00:00"/>
    <s v="C29914"/>
    <x v="5"/>
    <n v="1"/>
    <n v="133.38999999999999"/>
    <s v="469 Main St"/>
    <x v="0"/>
    <x v="0"/>
    <s v="TRK22073506"/>
    <n v="2"/>
  </r>
  <r>
    <s v="ORD201069"/>
    <d v="2023-02-25T00:00:00"/>
    <s v="C70506"/>
    <x v="0"/>
    <n v="1"/>
    <n v="454.23"/>
    <s v="255 Main St"/>
    <x v="3"/>
    <x v="2"/>
    <s v="TRK12518384"/>
    <n v="3"/>
  </r>
  <r>
    <s v="ORD201070"/>
    <d v="2024-09-06T00:00:00"/>
    <s v="C46873"/>
    <x v="6"/>
    <n v="4"/>
    <n v="491.29"/>
    <s v="496 Main St"/>
    <x v="0"/>
    <x v="4"/>
    <s v="TRK10926575"/>
    <n v="6"/>
  </r>
  <r>
    <s v="ORD201071"/>
    <d v="2025-06-24T00:00:00"/>
    <s v="C94037"/>
    <x v="1"/>
    <n v="2"/>
    <n v="255.14"/>
    <s v="216 Main St"/>
    <x v="4"/>
    <x v="0"/>
    <s v="TRK47536985"/>
    <n v="2"/>
  </r>
  <r>
    <s v="ORD201072"/>
    <d v="2023-02-26T00:00:00"/>
    <s v="C88644"/>
    <x v="0"/>
    <n v="1"/>
    <n v="392.61"/>
    <s v="977 Main St"/>
    <x v="3"/>
    <x v="1"/>
    <s v="TRK14900878"/>
    <n v="4"/>
  </r>
  <r>
    <s v="ORD201073"/>
    <d v="2024-10-11T00:00:00"/>
    <s v="C69471"/>
    <x v="2"/>
    <n v="4"/>
    <n v="362.06"/>
    <s v="294 Main St"/>
    <x v="0"/>
    <x v="2"/>
    <s v="TRK11107152"/>
    <n v="4"/>
  </r>
  <r>
    <s v="ORD201074"/>
    <d v="2024-05-10T00:00:00"/>
    <s v="C21437"/>
    <x v="1"/>
    <n v="1"/>
    <n v="222.73"/>
    <s v="120 Main St"/>
    <x v="1"/>
    <x v="2"/>
    <s v="TRK81624772"/>
    <n v="4"/>
  </r>
  <r>
    <s v="ORD201075"/>
    <d v="2024-08-31T00:00:00"/>
    <s v="C40949"/>
    <x v="0"/>
    <n v="2"/>
    <n v="552.63"/>
    <s v="609 Main St"/>
    <x v="0"/>
    <x v="3"/>
    <s v="TRK43066749"/>
    <n v="7"/>
  </r>
  <r>
    <s v="ORD201076"/>
    <d v="2023-05-08T00:00:00"/>
    <s v="C99116"/>
    <x v="5"/>
    <n v="4"/>
    <n v="686.61"/>
    <s v="176 Main St"/>
    <x v="4"/>
    <x v="0"/>
    <s v="TRK52711973"/>
    <n v="6"/>
  </r>
  <r>
    <s v="ORD201077"/>
    <d v="2025-03-07T00:00:00"/>
    <s v="C57861"/>
    <x v="4"/>
    <n v="3"/>
    <n v="305.16000000000003"/>
    <s v="115 Main St"/>
    <x v="2"/>
    <x v="1"/>
    <s v="TRK47775217"/>
    <n v="8"/>
  </r>
  <r>
    <s v="ORD201078"/>
    <d v="2023-03-18T00:00:00"/>
    <s v="C62627"/>
    <x v="6"/>
    <n v="1"/>
    <n v="41.09"/>
    <s v="881 Main St"/>
    <x v="1"/>
    <x v="2"/>
    <s v="TRK90060232"/>
    <n v="4"/>
  </r>
  <r>
    <s v="ORD201079"/>
    <d v="2024-06-20T00:00:00"/>
    <s v="C89979"/>
    <x v="1"/>
    <n v="5"/>
    <n v="634"/>
    <s v="144 Main St"/>
    <x v="3"/>
    <x v="3"/>
    <s v="TRK99055909"/>
    <n v="8"/>
  </r>
  <r>
    <s v="ORD201080"/>
    <d v="2023-01-20T00:00:00"/>
    <s v="C70613"/>
    <x v="5"/>
    <n v="5"/>
    <n v="464.74"/>
    <s v="438 Main St"/>
    <x v="3"/>
    <x v="3"/>
    <s v="TRK33140293"/>
    <n v="7"/>
  </r>
  <r>
    <s v="ORD201081"/>
    <d v="2023-04-21T00:00:00"/>
    <s v="C55636"/>
    <x v="0"/>
    <n v="4"/>
    <n v="425.6"/>
    <s v="494 Main St"/>
    <x v="2"/>
    <x v="4"/>
    <s v="TRK85897054"/>
    <n v="5"/>
  </r>
  <r>
    <s v="ORD201082"/>
    <d v="2023-10-06T00:00:00"/>
    <s v="C96595"/>
    <x v="3"/>
    <n v="3"/>
    <n v="573.22"/>
    <s v="177 Main St"/>
    <x v="0"/>
    <x v="4"/>
    <s v="TRK59779174"/>
    <n v="5"/>
  </r>
  <r>
    <s v="ORD201083"/>
    <d v="2024-07-09T00:00:00"/>
    <s v="C68508"/>
    <x v="3"/>
    <n v="1"/>
    <n v="123.28"/>
    <s v="895 Main St"/>
    <x v="2"/>
    <x v="3"/>
    <s v="TRK98960285"/>
    <n v="3"/>
  </r>
  <r>
    <s v="ORD201084"/>
    <d v="2023-01-08T00:00:00"/>
    <s v="C45175"/>
    <x v="1"/>
    <n v="1"/>
    <n v="70.819999999999993"/>
    <s v="128 Main St"/>
    <x v="3"/>
    <x v="4"/>
    <s v="TRK41792296"/>
    <n v="1"/>
  </r>
  <r>
    <s v="ORD201085"/>
    <d v="2023-05-21T00:00:00"/>
    <s v="C28049"/>
    <x v="4"/>
    <n v="2"/>
    <n v="646.69000000000005"/>
    <s v="404 Main St"/>
    <x v="0"/>
    <x v="0"/>
    <s v="TRK91426444"/>
    <n v="7"/>
  </r>
  <r>
    <s v="ORD201086"/>
    <d v="2023-12-23T00:00:00"/>
    <s v="C46967"/>
    <x v="2"/>
    <n v="2"/>
    <n v="513.41999999999996"/>
    <s v="401 Main St"/>
    <x v="1"/>
    <x v="4"/>
    <s v="TRK91439791"/>
    <n v="5"/>
  </r>
  <r>
    <s v="ORD201087"/>
    <d v="2025-03-23T00:00:00"/>
    <s v="C84134"/>
    <x v="5"/>
    <n v="4"/>
    <n v="693.07"/>
    <s v="530 Main St"/>
    <x v="1"/>
    <x v="0"/>
    <s v="TRK48659380"/>
    <n v="8"/>
  </r>
  <r>
    <s v="ORD201088"/>
    <d v="2023-11-30T00:00:00"/>
    <s v="C49831"/>
    <x v="6"/>
    <n v="3"/>
    <n v="491.43"/>
    <s v="213 Main St"/>
    <x v="3"/>
    <x v="0"/>
    <s v="TRK21232601"/>
    <n v="6"/>
  </r>
  <r>
    <s v="ORD201089"/>
    <d v="2025-03-15T00:00:00"/>
    <s v="C13324"/>
    <x v="2"/>
    <n v="2"/>
    <n v="599.74"/>
    <s v="440 Main St"/>
    <x v="3"/>
    <x v="0"/>
    <s v="TRK66967997"/>
    <n v="2"/>
  </r>
  <r>
    <s v="ORD201090"/>
    <d v="2023-02-25T00:00:00"/>
    <s v="C61225"/>
    <x v="0"/>
    <n v="2"/>
    <n v="650.25"/>
    <s v="996 Main St"/>
    <x v="3"/>
    <x v="2"/>
    <s v="TRK37022954"/>
    <n v="6"/>
  </r>
  <r>
    <s v="ORD201091"/>
    <d v="2024-10-08T00:00:00"/>
    <s v="C16400"/>
    <x v="5"/>
    <n v="3"/>
    <n v="209.48"/>
    <s v="123 Main St"/>
    <x v="0"/>
    <x v="4"/>
    <s v="TRK57771859"/>
    <n v="4"/>
  </r>
  <r>
    <s v="ORD201092"/>
    <d v="2023-08-21T00:00:00"/>
    <s v="C38642"/>
    <x v="5"/>
    <n v="5"/>
    <n v="209.2"/>
    <s v="930 Main St"/>
    <x v="0"/>
    <x v="3"/>
    <s v="TRK47744396"/>
    <n v="6"/>
  </r>
  <r>
    <s v="ORD201093"/>
    <d v="2023-06-09T00:00:00"/>
    <s v="C86773"/>
    <x v="1"/>
    <n v="4"/>
    <n v="197.36"/>
    <s v="557 Main St"/>
    <x v="3"/>
    <x v="2"/>
    <s v="TRK22612240"/>
    <n v="9"/>
  </r>
  <r>
    <s v="ORD201094"/>
    <d v="2023-06-28T00:00:00"/>
    <s v="C66093"/>
    <x v="4"/>
    <n v="4"/>
    <n v="648.91"/>
    <s v="615 Main St"/>
    <x v="2"/>
    <x v="0"/>
    <s v="TRK54950785"/>
    <n v="6"/>
  </r>
  <r>
    <s v="ORD201095"/>
    <d v="2024-04-23T00:00:00"/>
    <s v="C33051"/>
    <x v="1"/>
    <n v="2"/>
    <n v="441.54"/>
    <s v="397 Main St"/>
    <x v="1"/>
    <x v="3"/>
    <s v="TRK92929755"/>
    <n v="2"/>
  </r>
  <r>
    <s v="ORD201096"/>
    <d v="2025-05-03T00:00:00"/>
    <s v="C18169"/>
    <x v="2"/>
    <n v="2"/>
    <n v="464.92"/>
    <s v="782 Main St"/>
    <x v="0"/>
    <x v="2"/>
    <s v="TRK49482923"/>
    <n v="2"/>
  </r>
  <r>
    <s v="ORD201097"/>
    <d v="2024-12-26T00:00:00"/>
    <s v="C81370"/>
    <x v="0"/>
    <n v="5"/>
    <n v="506.45"/>
    <s v="344 Main St"/>
    <x v="3"/>
    <x v="0"/>
    <s v="TRK99682998"/>
    <n v="7"/>
  </r>
  <r>
    <s v="ORD201098"/>
    <d v="2023-06-17T00:00:00"/>
    <s v="C91103"/>
    <x v="0"/>
    <n v="4"/>
    <n v="255.86"/>
    <s v="155 Main St"/>
    <x v="2"/>
    <x v="3"/>
    <s v="TRK91653000"/>
    <n v="7"/>
  </r>
  <r>
    <s v="ORD201099"/>
    <d v="2024-09-19T00:00:00"/>
    <s v="C21953"/>
    <x v="5"/>
    <n v="2"/>
    <n v="125.23"/>
    <s v="272 Main St"/>
    <x v="4"/>
    <x v="1"/>
    <s v="TRK60774796"/>
    <n v="3"/>
  </r>
  <r>
    <s v="ORD201100"/>
    <d v="2023-08-17T00:00:00"/>
    <s v="C15146"/>
    <x v="5"/>
    <n v="5"/>
    <n v="38.11"/>
    <s v="428 Main St"/>
    <x v="0"/>
    <x v="1"/>
    <s v="TRK79790530"/>
    <n v="6"/>
  </r>
  <r>
    <s v="ORD201101"/>
    <d v="2025-06-08T00:00:00"/>
    <s v="C43546"/>
    <x v="0"/>
    <n v="3"/>
    <n v="161.97"/>
    <s v="904 Main St"/>
    <x v="4"/>
    <x v="4"/>
    <s v="TRK85871121"/>
    <n v="4"/>
  </r>
  <r>
    <s v="ORD201102"/>
    <d v="2024-06-03T00:00:00"/>
    <s v="C98474"/>
    <x v="3"/>
    <n v="4"/>
    <n v="347.17"/>
    <s v="997 Main St"/>
    <x v="0"/>
    <x v="0"/>
    <s v="TRK86192984"/>
    <n v="8"/>
  </r>
  <r>
    <s v="ORD201103"/>
    <d v="2023-04-24T00:00:00"/>
    <s v="C90292"/>
    <x v="5"/>
    <n v="4"/>
    <n v="276.32"/>
    <s v="129 Main St"/>
    <x v="1"/>
    <x v="3"/>
    <s v="TRK26270357"/>
    <n v="5"/>
  </r>
  <r>
    <s v="ORD201104"/>
    <d v="2024-07-25T00:00:00"/>
    <s v="C17075"/>
    <x v="2"/>
    <n v="4"/>
    <n v="314.76"/>
    <s v="850 Main St"/>
    <x v="1"/>
    <x v="0"/>
    <s v="TRK63547510"/>
    <n v="8"/>
  </r>
  <r>
    <s v="ORD201105"/>
    <d v="2024-01-08T00:00:00"/>
    <s v="C12487"/>
    <x v="2"/>
    <n v="3"/>
    <n v="475.69"/>
    <s v="884 Main St"/>
    <x v="3"/>
    <x v="1"/>
    <s v="TRK23324770"/>
    <n v="3"/>
  </r>
  <r>
    <s v="ORD201106"/>
    <d v="2023-03-12T00:00:00"/>
    <s v="C34555"/>
    <x v="3"/>
    <n v="1"/>
    <n v="372.8"/>
    <s v="903 Main St"/>
    <x v="4"/>
    <x v="1"/>
    <s v="TRK72859458"/>
    <n v="6"/>
  </r>
  <r>
    <s v="ORD201107"/>
    <d v="2025-06-30T00:00:00"/>
    <s v="C25110"/>
    <x v="2"/>
    <n v="2"/>
    <n v="63.21"/>
    <s v="282 Main St"/>
    <x v="1"/>
    <x v="1"/>
    <s v="TRK80963328"/>
    <n v="4"/>
  </r>
  <r>
    <s v="ORD201108"/>
    <d v="2023-03-20T00:00:00"/>
    <s v="C35136"/>
    <x v="5"/>
    <n v="1"/>
    <n v="634.94000000000005"/>
    <s v="462 Main St"/>
    <x v="1"/>
    <x v="1"/>
    <s v="TRK49753703"/>
    <n v="5"/>
  </r>
  <r>
    <s v="ORD201109"/>
    <d v="2024-04-08T00:00:00"/>
    <s v="C62277"/>
    <x v="4"/>
    <n v="4"/>
    <n v="77.47"/>
    <s v="474 Main St"/>
    <x v="3"/>
    <x v="2"/>
    <s v="TRK32026174"/>
    <n v="7"/>
  </r>
  <r>
    <s v="ORD201110"/>
    <d v="2024-02-25T00:00:00"/>
    <s v="C12472"/>
    <x v="3"/>
    <n v="3"/>
    <n v="84.31"/>
    <s v="912 Main St"/>
    <x v="2"/>
    <x v="0"/>
    <s v="TRK36103184"/>
    <n v="3"/>
  </r>
  <r>
    <s v="ORD201111"/>
    <d v="2023-05-06T00:00:00"/>
    <s v="C24047"/>
    <x v="0"/>
    <n v="4"/>
    <n v="234.45"/>
    <s v="362 Main St"/>
    <x v="1"/>
    <x v="1"/>
    <s v="TRK91338580"/>
    <n v="9"/>
  </r>
  <r>
    <s v="ORD201112"/>
    <d v="2023-10-13T00:00:00"/>
    <s v="C76929"/>
    <x v="6"/>
    <n v="1"/>
    <n v="356.81"/>
    <s v="563 Main St"/>
    <x v="1"/>
    <x v="3"/>
    <s v="TRK80694400"/>
    <n v="1"/>
  </r>
  <r>
    <s v="ORD201113"/>
    <d v="2023-03-19T00:00:00"/>
    <s v="C52914"/>
    <x v="6"/>
    <n v="4"/>
    <n v="209.99"/>
    <s v="168 Main St"/>
    <x v="4"/>
    <x v="3"/>
    <s v="TRK80819053"/>
    <n v="8"/>
  </r>
  <r>
    <s v="ORD201114"/>
    <d v="2023-03-16T00:00:00"/>
    <s v="C55164"/>
    <x v="2"/>
    <n v="3"/>
    <n v="659.88"/>
    <s v="609 Main St"/>
    <x v="3"/>
    <x v="1"/>
    <s v="TRK79610967"/>
    <n v="3"/>
  </r>
  <r>
    <s v="ORD201115"/>
    <d v="2025-06-20T00:00:00"/>
    <s v="C70426"/>
    <x v="5"/>
    <n v="2"/>
    <n v="336.32"/>
    <s v="562 Main St"/>
    <x v="1"/>
    <x v="2"/>
    <s v="TRK89687816"/>
    <n v="3"/>
  </r>
  <r>
    <s v="ORD201116"/>
    <d v="2023-10-14T00:00:00"/>
    <s v="C69149"/>
    <x v="4"/>
    <n v="2"/>
    <n v="531.49"/>
    <s v="562 Main St"/>
    <x v="2"/>
    <x v="3"/>
    <s v="TRK61265132"/>
    <n v="7"/>
  </r>
  <r>
    <s v="ORD201117"/>
    <d v="2024-05-20T00:00:00"/>
    <s v="C78684"/>
    <x v="3"/>
    <n v="3"/>
    <n v="588.44000000000005"/>
    <s v="858 Main St"/>
    <x v="3"/>
    <x v="0"/>
    <s v="TRK95779073"/>
    <n v="8"/>
  </r>
  <r>
    <s v="ORD201118"/>
    <d v="2024-05-24T00:00:00"/>
    <s v="C58168"/>
    <x v="1"/>
    <n v="3"/>
    <n v="251.48"/>
    <s v="359 Main St"/>
    <x v="2"/>
    <x v="2"/>
    <s v="TRK99102265"/>
    <n v="4"/>
  </r>
  <r>
    <s v="ORD201119"/>
    <d v="2024-11-24T00:00:00"/>
    <s v="C99024"/>
    <x v="5"/>
    <n v="1"/>
    <n v="684.65"/>
    <s v="250 Main St"/>
    <x v="2"/>
    <x v="3"/>
    <s v="TRK24675988"/>
    <n v="1"/>
  </r>
  <r>
    <s v="ORD201120"/>
    <d v="2025-05-10T00:00:00"/>
    <s v="C22919"/>
    <x v="2"/>
    <n v="1"/>
    <n v="195.86"/>
    <s v="267 Main St"/>
    <x v="1"/>
    <x v="4"/>
    <s v="TRK82416295"/>
    <n v="3"/>
  </r>
  <r>
    <s v="ORD201121"/>
    <d v="2023-05-28T00:00:00"/>
    <s v="C98354"/>
    <x v="1"/>
    <n v="3"/>
    <n v="50.34"/>
    <s v="393 Main St"/>
    <x v="3"/>
    <x v="2"/>
    <s v="TRK43070888"/>
    <n v="3"/>
  </r>
  <r>
    <s v="ORD201122"/>
    <d v="2023-06-07T00:00:00"/>
    <s v="C38840"/>
    <x v="0"/>
    <n v="5"/>
    <n v="678.19"/>
    <s v="766 Main St"/>
    <x v="1"/>
    <x v="2"/>
    <s v="TRK32496970"/>
    <n v="8"/>
  </r>
  <r>
    <s v="ORD201123"/>
    <d v="2023-04-14T00:00:00"/>
    <s v="C68936"/>
    <x v="2"/>
    <n v="3"/>
    <n v="554.25"/>
    <s v="843 Main St"/>
    <x v="0"/>
    <x v="0"/>
    <s v="TRK73163634"/>
    <n v="6"/>
  </r>
  <r>
    <s v="ORD201124"/>
    <d v="2023-05-09T00:00:00"/>
    <s v="C33744"/>
    <x v="3"/>
    <n v="4"/>
    <n v="576.87"/>
    <s v="888 Main St"/>
    <x v="3"/>
    <x v="2"/>
    <s v="TRK40245983"/>
    <n v="5"/>
  </r>
  <r>
    <s v="ORD201125"/>
    <d v="2023-10-16T00:00:00"/>
    <s v="C23555"/>
    <x v="6"/>
    <n v="4"/>
    <n v="408.36"/>
    <s v="156 Main St"/>
    <x v="3"/>
    <x v="1"/>
    <s v="TRK67210247"/>
    <n v="4"/>
  </r>
  <r>
    <s v="ORD201126"/>
    <d v="2024-07-22T00:00:00"/>
    <s v="C34337"/>
    <x v="1"/>
    <n v="5"/>
    <n v="190.11"/>
    <s v="325 Main St"/>
    <x v="4"/>
    <x v="3"/>
    <s v="TRK36195559"/>
    <n v="7"/>
  </r>
  <r>
    <s v="ORD201127"/>
    <d v="2025-03-15T00:00:00"/>
    <s v="C69396"/>
    <x v="4"/>
    <n v="3"/>
    <n v="602.75"/>
    <s v="920 Main St"/>
    <x v="2"/>
    <x v="0"/>
    <s v="TRK33155049"/>
    <n v="6"/>
  </r>
  <r>
    <s v="ORD201128"/>
    <d v="2023-08-17T00:00:00"/>
    <s v="C49198"/>
    <x v="0"/>
    <n v="3"/>
    <n v="646.79"/>
    <s v="447 Main St"/>
    <x v="4"/>
    <x v="1"/>
    <s v="TRK10883354"/>
    <n v="5"/>
  </r>
  <r>
    <s v="ORD201129"/>
    <d v="2023-06-11T00:00:00"/>
    <s v="C43911"/>
    <x v="3"/>
    <n v="4"/>
    <n v="418.71"/>
    <s v="239 Main St"/>
    <x v="4"/>
    <x v="4"/>
    <s v="TRK37495481"/>
    <n v="8"/>
  </r>
  <r>
    <s v="ORD201130"/>
    <d v="2025-02-16T00:00:00"/>
    <s v="C24347"/>
    <x v="5"/>
    <n v="2"/>
    <n v="323.45"/>
    <s v="533 Main St"/>
    <x v="2"/>
    <x v="2"/>
    <s v="TRK27233265"/>
    <n v="5"/>
  </r>
  <r>
    <s v="ORD201131"/>
    <d v="2024-07-18T00:00:00"/>
    <s v="C21043"/>
    <x v="1"/>
    <n v="1"/>
    <n v="694.5"/>
    <s v="195 Main St"/>
    <x v="2"/>
    <x v="4"/>
    <s v="TRK41691086"/>
    <n v="3"/>
  </r>
  <r>
    <s v="ORD201132"/>
    <d v="2024-12-02T00:00:00"/>
    <s v="C58858"/>
    <x v="3"/>
    <n v="2"/>
    <n v="337.32"/>
    <s v="948 Main St"/>
    <x v="2"/>
    <x v="1"/>
    <s v="TRK30406357"/>
    <n v="4"/>
  </r>
  <r>
    <s v="ORD201133"/>
    <d v="2024-04-09T00:00:00"/>
    <s v="C20670"/>
    <x v="4"/>
    <n v="2"/>
    <n v="467.91"/>
    <s v="432 Main St"/>
    <x v="3"/>
    <x v="2"/>
    <s v="TRK76731303"/>
    <n v="5"/>
  </r>
  <r>
    <s v="ORD201134"/>
    <d v="2024-06-08T00:00:00"/>
    <s v="C90993"/>
    <x v="6"/>
    <n v="4"/>
    <n v="38.28"/>
    <s v="950 Main St"/>
    <x v="0"/>
    <x v="1"/>
    <s v="TRK53964711"/>
    <n v="4"/>
  </r>
  <r>
    <s v="ORD201135"/>
    <d v="2023-12-28T00:00:00"/>
    <s v="C11473"/>
    <x v="4"/>
    <n v="2"/>
    <n v="73.41"/>
    <s v="562 Main St"/>
    <x v="1"/>
    <x v="0"/>
    <s v="TRK97793275"/>
    <n v="2"/>
  </r>
  <r>
    <s v="ORD201136"/>
    <d v="2023-09-24T00:00:00"/>
    <s v="C71899"/>
    <x v="2"/>
    <n v="3"/>
    <n v="668.33"/>
    <s v="799 Main St"/>
    <x v="3"/>
    <x v="4"/>
    <s v="TRK34856025"/>
    <n v="4"/>
  </r>
  <r>
    <s v="ORD201137"/>
    <d v="2024-07-29T00:00:00"/>
    <s v="C48577"/>
    <x v="4"/>
    <n v="4"/>
    <n v="410.21"/>
    <s v="841 Main St"/>
    <x v="4"/>
    <x v="4"/>
    <s v="TRK59911645"/>
    <n v="5"/>
  </r>
  <r>
    <s v="ORD201138"/>
    <d v="2023-12-18T00:00:00"/>
    <s v="C13100"/>
    <x v="6"/>
    <n v="4"/>
    <n v="294.41000000000003"/>
    <s v="188 Main St"/>
    <x v="0"/>
    <x v="4"/>
    <s v="TRK55565668"/>
    <n v="4"/>
  </r>
  <r>
    <s v="ORD201139"/>
    <d v="2025-03-01T00:00:00"/>
    <s v="C70659"/>
    <x v="3"/>
    <n v="3"/>
    <n v="501.82"/>
    <s v="568 Main St"/>
    <x v="3"/>
    <x v="1"/>
    <s v="TRK28290825"/>
    <n v="4"/>
  </r>
  <r>
    <s v="ORD201140"/>
    <d v="2024-06-24T00:00:00"/>
    <s v="C49838"/>
    <x v="4"/>
    <n v="2"/>
    <n v="552.83000000000004"/>
    <s v="904 Main St"/>
    <x v="2"/>
    <x v="1"/>
    <s v="TRK38297718"/>
    <n v="3"/>
  </r>
  <r>
    <s v="ORD201141"/>
    <d v="2025-02-16T00:00:00"/>
    <s v="C11998"/>
    <x v="3"/>
    <n v="3"/>
    <n v="498.66"/>
    <s v="382 Main St"/>
    <x v="4"/>
    <x v="1"/>
    <s v="TRK26707221"/>
    <n v="6"/>
  </r>
  <r>
    <s v="ORD201142"/>
    <d v="2024-08-23T00:00:00"/>
    <s v="C23405"/>
    <x v="1"/>
    <n v="4"/>
    <n v="695.1"/>
    <s v="484 Main St"/>
    <x v="0"/>
    <x v="2"/>
    <s v="TRK83678708"/>
    <n v="8"/>
  </r>
  <r>
    <s v="ORD201143"/>
    <d v="2023-04-03T00:00:00"/>
    <s v="C41132"/>
    <x v="3"/>
    <n v="1"/>
    <n v="381.61"/>
    <s v="114 Main St"/>
    <x v="0"/>
    <x v="4"/>
    <s v="TRK51040137"/>
    <n v="5"/>
  </r>
  <r>
    <s v="ORD201144"/>
    <d v="2023-02-16T00:00:00"/>
    <s v="C88463"/>
    <x v="6"/>
    <n v="5"/>
    <n v="507.94"/>
    <s v="292 Main St"/>
    <x v="1"/>
    <x v="1"/>
    <s v="TRK88749996"/>
    <n v="9"/>
  </r>
  <r>
    <s v="ORD201145"/>
    <d v="2025-05-12T00:00:00"/>
    <s v="C28152"/>
    <x v="6"/>
    <n v="3"/>
    <n v="571.53"/>
    <s v="821 Main St"/>
    <x v="0"/>
    <x v="3"/>
    <s v="TRK59642814"/>
    <n v="6"/>
  </r>
  <r>
    <s v="ORD201146"/>
    <d v="2024-10-03T00:00:00"/>
    <s v="C36383"/>
    <x v="0"/>
    <n v="5"/>
    <n v="421.44"/>
    <s v="286 Main St"/>
    <x v="4"/>
    <x v="4"/>
    <s v="TRK93336357"/>
    <n v="5"/>
  </r>
  <r>
    <s v="ORD201147"/>
    <d v="2025-01-02T00:00:00"/>
    <s v="C19759"/>
    <x v="3"/>
    <n v="2"/>
    <n v="588.29999999999995"/>
    <s v="234 Main St"/>
    <x v="1"/>
    <x v="4"/>
    <s v="TRK22515454"/>
    <n v="2"/>
  </r>
  <r>
    <s v="ORD201148"/>
    <d v="2024-06-25T00:00:00"/>
    <s v="C54886"/>
    <x v="1"/>
    <n v="1"/>
    <n v="355.15"/>
    <s v="442 Main St"/>
    <x v="4"/>
    <x v="2"/>
    <s v="TRK66241930"/>
    <n v="2"/>
  </r>
  <r>
    <s v="ORD201149"/>
    <d v="2024-07-25T00:00:00"/>
    <s v="C27305"/>
    <x v="3"/>
    <n v="2"/>
    <n v="695.29"/>
    <s v="957 Main St"/>
    <x v="2"/>
    <x v="4"/>
    <s v="TRK28789916"/>
    <n v="6"/>
  </r>
  <r>
    <s v="ORD201150"/>
    <d v="2023-02-20T00:00:00"/>
    <s v="C17921"/>
    <x v="6"/>
    <n v="4"/>
    <n v="302.64999999999998"/>
    <s v="119 Main St"/>
    <x v="2"/>
    <x v="1"/>
    <s v="TRK79291524"/>
    <n v="8"/>
  </r>
  <r>
    <s v="ORD201151"/>
    <d v="2023-01-29T00:00:00"/>
    <s v="C94381"/>
    <x v="3"/>
    <n v="2"/>
    <n v="608.04"/>
    <s v="962 Main St"/>
    <x v="4"/>
    <x v="1"/>
    <s v="TRK69804304"/>
    <n v="4"/>
  </r>
  <r>
    <s v="ORD201152"/>
    <d v="2023-11-09T00:00:00"/>
    <s v="C25162"/>
    <x v="2"/>
    <n v="2"/>
    <n v="344.18"/>
    <s v="533 Main St"/>
    <x v="2"/>
    <x v="0"/>
    <s v="TRK42183078"/>
    <n v="7"/>
  </r>
  <r>
    <s v="ORD201153"/>
    <d v="2024-12-16T00:00:00"/>
    <s v="C98317"/>
    <x v="0"/>
    <n v="4"/>
    <n v="696.71"/>
    <s v="276 Main St"/>
    <x v="0"/>
    <x v="0"/>
    <s v="TRK37172138"/>
    <n v="4"/>
  </r>
  <r>
    <s v="ORD201154"/>
    <d v="2025-06-11T00:00:00"/>
    <s v="C53631"/>
    <x v="0"/>
    <n v="3"/>
    <n v="198.63"/>
    <s v="593 Main St"/>
    <x v="4"/>
    <x v="4"/>
    <s v="TRK67589167"/>
    <n v="8"/>
  </r>
  <r>
    <s v="ORD201155"/>
    <d v="2023-08-13T00:00:00"/>
    <s v="C41478"/>
    <x v="4"/>
    <n v="4"/>
    <n v="534.57000000000005"/>
    <s v="667 Main St"/>
    <x v="2"/>
    <x v="3"/>
    <s v="TRK62068126"/>
    <n v="6"/>
  </r>
  <r>
    <s v="ORD201156"/>
    <d v="2023-07-19T00:00:00"/>
    <s v="C20512"/>
    <x v="5"/>
    <n v="4"/>
    <n v="690.78"/>
    <s v="980 Main St"/>
    <x v="2"/>
    <x v="0"/>
    <s v="TRK98234737"/>
    <n v="9"/>
  </r>
  <r>
    <s v="ORD201157"/>
    <d v="2024-05-29T00:00:00"/>
    <s v="C25841"/>
    <x v="0"/>
    <n v="3"/>
    <n v="301.55"/>
    <s v="242 Main St"/>
    <x v="0"/>
    <x v="3"/>
    <s v="TRK21451375"/>
    <n v="5"/>
  </r>
  <r>
    <s v="ORD201158"/>
    <d v="2023-04-20T00:00:00"/>
    <s v="C82781"/>
    <x v="0"/>
    <n v="4"/>
    <n v="27.42"/>
    <s v="661 Main St"/>
    <x v="0"/>
    <x v="4"/>
    <s v="TRK20605418"/>
    <n v="4"/>
  </r>
  <r>
    <s v="ORD201159"/>
    <d v="2024-02-23T00:00:00"/>
    <s v="C66112"/>
    <x v="6"/>
    <n v="4"/>
    <n v="466.7"/>
    <s v="874 Main St"/>
    <x v="0"/>
    <x v="2"/>
    <s v="TRK60955607"/>
    <n v="8"/>
  </r>
  <r>
    <s v="ORD201160"/>
    <d v="2024-09-04T00:00:00"/>
    <s v="C40466"/>
    <x v="6"/>
    <n v="1"/>
    <n v="541.64"/>
    <s v="449 Main St"/>
    <x v="0"/>
    <x v="0"/>
    <s v="TRK70255168"/>
    <n v="5"/>
  </r>
  <r>
    <s v="ORD201161"/>
    <d v="2023-10-16T00:00:00"/>
    <s v="C32570"/>
    <x v="1"/>
    <n v="1"/>
    <n v="11.39"/>
    <s v="826 Main St"/>
    <x v="4"/>
    <x v="1"/>
    <s v="TRK35969968"/>
    <n v="6"/>
  </r>
  <r>
    <s v="ORD201162"/>
    <d v="2025-03-11T00:00:00"/>
    <s v="C29405"/>
    <x v="1"/>
    <n v="2"/>
    <n v="224.37"/>
    <s v="251 Main St"/>
    <x v="0"/>
    <x v="3"/>
    <s v="TRK33125798"/>
    <n v="3"/>
  </r>
  <r>
    <s v="ORD201163"/>
    <d v="2024-06-11T00:00:00"/>
    <s v="C30643"/>
    <x v="5"/>
    <n v="3"/>
    <n v="306.29000000000002"/>
    <s v="966 Main St"/>
    <x v="2"/>
    <x v="2"/>
    <s v="TRK19477485"/>
    <n v="7"/>
  </r>
  <r>
    <s v="ORD201164"/>
    <d v="2024-01-08T00:00:00"/>
    <s v="C65890"/>
    <x v="2"/>
    <n v="5"/>
    <n v="315.57"/>
    <s v="340 Main St"/>
    <x v="0"/>
    <x v="3"/>
    <s v="TRK64530489"/>
    <n v="6"/>
  </r>
  <r>
    <s v="ORD201165"/>
    <d v="2023-07-14T00:00:00"/>
    <s v="C36992"/>
    <x v="3"/>
    <n v="3"/>
    <n v="223.79"/>
    <s v="617 Main St"/>
    <x v="0"/>
    <x v="4"/>
    <s v="TRK63460217"/>
    <n v="3"/>
  </r>
  <r>
    <s v="ORD201166"/>
    <d v="2023-07-31T00:00:00"/>
    <s v="C95568"/>
    <x v="3"/>
    <n v="3"/>
    <n v="324.47000000000003"/>
    <s v="971 Main St"/>
    <x v="4"/>
    <x v="3"/>
    <s v="TRK37075292"/>
    <n v="4"/>
  </r>
  <r>
    <s v="ORD201167"/>
    <d v="2023-10-17T00:00:00"/>
    <s v="C17966"/>
    <x v="4"/>
    <n v="2"/>
    <n v="92.87"/>
    <s v="360 Main St"/>
    <x v="2"/>
    <x v="4"/>
    <s v="TRK31169396"/>
    <n v="5"/>
  </r>
  <r>
    <s v="ORD201168"/>
    <d v="2023-04-08T00:00:00"/>
    <s v="C89559"/>
    <x v="5"/>
    <n v="2"/>
    <n v="331.42"/>
    <s v="297 Main St"/>
    <x v="2"/>
    <x v="3"/>
    <s v="TRK82838108"/>
    <n v="6"/>
  </r>
  <r>
    <s v="ORD201169"/>
    <d v="2024-12-23T00:00:00"/>
    <s v="C15849"/>
    <x v="3"/>
    <n v="1"/>
    <n v="525.42999999999995"/>
    <s v="643 Main St"/>
    <x v="4"/>
    <x v="1"/>
    <s v="TRK26794546"/>
    <n v="2"/>
  </r>
  <r>
    <s v="ORD201170"/>
    <d v="2023-08-03T00:00:00"/>
    <s v="C94257"/>
    <x v="4"/>
    <n v="2"/>
    <n v="697.19"/>
    <s v="762 Main St"/>
    <x v="4"/>
    <x v="2"/>
    <s v="TRK40220743"/>
    <n v="7"/>
  </r>
  <r>
    <s v="ORD201171"/>
    <d v="2023-08-28T00:00:00"/>
    <s v="C39911"/>
    <x v="1"/>
    <n v="4"/>
    <n v="518.4"/>
    <s v="699 Main St"/>
    <x v="2"/>
    <x v="3"/>
    <s v="TRK80431998"/>
    <n v="7"/>
  </r>
  <r>
    <s v="ORD201172"/>
    <d v="2025-02-04T00:00:00"/>
    <s v="C28828"/>
    <x v="6"/>
    <n v="3"/>
    <n v="131.96"/>
    <s v="745 Main St"/>
    <x v="2"/>
    <x v="4"/>
    <s v="TRK32550359"/>
    <n v="8"/>
  </r>
  <r>
    <s v="ORD201173"/>
    <d v="2024-10-04T00:00:00"/>
    <s v="C82921"/>
    <x v="0"/>
    <n v="1"/>
    <n v="208.36"/>
    <s v="703 Main St"/>
    <x v="1"/>
    <x v="0"/>
    <s v="TRK31079911"/>
    <n v="4"/>
  </r>
  <r>
    <s v="ORD201174"/>
    <d v="2023-11-27T00:00:00"/>
    <s v="C50159"/>
    <x v="4"/>
    <n v="3"/>
    <n v="222.34"/>
    <s v="105 Main St"/>
    <x v="2"/>
    <x v="2"/>
    <s v="TRK53737452"/>
    <n v="5"/>
  </r>
  <r>
    <s v="ORD201175"/>
    <d v="2024-09-10T00:00:00"/>
    <s v="C62512"/>
    <x v="4"/>
    <n v="3"/>
    <n v="91.74"/>
    <s v="368 Main St"/>
    <x v="0"/>
    <x v="2"/>
    <s v="TRK24139954"/>
    <n v="8"/>
  </r>
  <r>
    <s v="ORD201176"/>
    <d v="2023-08-13T00:00:00"/>
    <s v="C39260"/>
    <x v="2"/>
    <n v="2"/>
    <n v="213.83"/>
    <s v="374 Main St"/>
    <x v="0"/>
    <x v="1"/>
    <s v="TRK55587314"/>
    <n v="2"/>
  </r>
  <r>
    <s v="ORD201177"/>
    <d v="2023-04-27T00:00:00"/>
    <s v="C23917"/>
    <x v="4"/>
    <n v="1"/>
    <n v="127.55"/>
    <s v="433 Main St"/>
    <x v="4"/>
    <x v="0"/>
    <s v="TRK44434536"/>
    <n v="3"/>
  </r>
  <r>
    <s v="ORD201178"/>
    <d v="2024-09-08T00:00:00"/>
    <s v="C65107"/>
    <x v="0"/>
    <n v="1"/>
    <n v="70.239999999999995"/>
    <s v="456 Main St"/>
    <x v="2"/>
    <x v="1"/>
    <s v="TRK10261578"/>
    <n v="4"/>
  </r>
  <r>
    <s v="ORD201179"/>
    <d v="2023-01-08T00:00:00"/>
    <s v="C84630"/>
    <x v="5"/>
    <n v="5"/>
    <n v="518.54999999999995"/>
    <s v="907 Main St"/>
    <x v="2"/>
    <x v="1"/>
    <s v="TRK48054997"/>
    <n v="6"/>
  </r>
  <r>
    <s v="ORD201180"/>
    <d v="2023-10-31T00:00:00"/>
    <s v="C42235"/>
    <x v="3"/>
    <n v="4"/>
    <n v="298.36"/>
    <s v="722 Main St"/>
    <x v="0"/>
    <x v="4"/>
    <s v="TRK49379882"/>
    <n v="8"/>
  </r>
  <r>
    <s v="ORD201181"/>
    <d v="2023-07-27T00:00:00"/>
    <s v="C70246"/>
    <x v="6"/>
    <n v="3"/>
    <n v="158.74"/>
    <s v="293 Main St"/>
    <x v="1"/>
    <x v="4"/>
    <s v="TRK45708320"/>
    <n v="7"/>
  </r>
  <r>
    <s v="ORD201182"/>
    <d v="2025-06-14T00:00:00"/>
    <s v="C18473"/>
    <x v="3"/>
    <n v="2"/>
    <n v="420.29"/>
    <s v="700 Main St"/>
    <x v="3"/>
    <x v="2"/>
    <s v="TRK97834202"/>
    <n v="3"/>
  </r>
  <r>
    <s v="ORD201183"/>
    <d v="2023-04-05T00:00:00"/>
    <s v="C12607"/>
    <x v="6"/>
    <n v="1"/>
    <n v="281.52"/>
    <s v="460 Main St"/>
    <x v="3"/>
    <x v="0"/>
    <s v="TRK83653396"/>
    <n v="6"/>
  </r>
  <r>
    <s v="ORD201184"/>
    <d v="2023-09-27T00:00:00"/>
    <s v="C10222"/>
    <x v="5"/>
    <n v="1"/>
    <n v="204.08"/>
    <s v="979 Main St"/>
    <x v="3"/>
    <x v="2"/>
    <s v="TRK86297895"/>
    <n v="4"/>
  </r>
  <r>
    <s v="ORD201185"/>
    <d v="2024-07-08T00:00:00"/>
    <s v="C77344"/>
    <x v="3"/>
    <n v="1"/>
    <n v="343.31"/>
    <s v="777 Main St"/>
    <x v="3"/>
    <x v="2"/>
    <s v="TRK20605055"/>
    <n v="6"/>
  </r>
  <r>
    <s v="ORD201186"/>
    <d v="2023-11-18T00:00:00"/>
    <s v="C65497"/>
    <x v="0"/>
    <n v="1"/>
    <n v="163.32"/>
    <s v="676 Main St"/>
    <x v="4"/>
    <x v="0"/>
    <s v="TRK83702761"/>
    <n v="6"/>
  </r>
  <r>
    <s v="ORD201187"/>
    <d v="2024-03-13T00:00:00"/>
    <s v="C26340"/>
    <x v="6"/>
    <n v="2"/>
    <n v="184.6"/>
    <s v="562 Main St"/>
    <x v="3"/>
    <x v="3"/>
    <s v="TRK59962703"/>
    <n v="7"/>
  </r>
  <r>
    <s v="ORD201188"/>
    <d v="2023-10-07T00:00:00"/>
    <s v="C75619"/>
    <x v="4"/>
    <n v="2"/>
    <n v="371.29"/>
    <s v="924 Main St"/>
    <x v="3"/>
    <x v="0"/>
    <s v="TRK23086941"/>
    <n v="5"/>
  </r>
  <r>
    <s v="ORD201189"/>
    <d v="2024-08-17T00:00:00"/>
    <s v="C96136"/>
    <x v="2"/>
    <n v="5"/>
    <n v="389.22"/>
    <s v="149 Main St"/>
    <x v="4"/>
    <x v="1"/>
    <s v="TRK60856682"/>
    <n v="7"/>
  </r>
  <r>
    <s v="ORD201190"/>
    <d v="2025-06-08T00:00:00"/>
    <s v="C46886"/>
    <x v="6"/>
    <n v="3"/>
    <n v="616.39"/>
    <s v="754 Main St"/>
    <x v="2"/>
    <x v="0"/>
    <s v="TRK82791646"/>
    <n v="6"/>
  </r>
  <r>
    <s v="ORD201191"/>
    <d v="2025-02-10T00:00:00"/>
    <s v="C44148"/>
    <x v="6"/>
    <n v="4"/>
    <n v="376.43"/>
    <s v="809 Main St"/>
    <x v="3"/>
    <x v="4"/>
    <s v="TRK67872709"/>
    <n v="5"/>
  </r>
  <r>
    <s v="ORD201192"/>
    <d v="2024-02-28T00:00:00"/>
    <s v="C72007"/>
    <x v="3"/>
    <n v="3"/>
    <n v="432.85"/>
    <s v="999 Main St"/>
    <x v="1"/>
    <x v="4"/>
    <s v="TRK16240916"/>
    <n v="4"/>
  </r>
  <r>
    <s v="ORD201193"/>
    <d v="2025-06-16T00:00:00"/>
    <s v="C45104"/>
    <x v="2"/>
    <n v="1"/>
    <n v="687.89"/>
    <s v="348 Main St"/>
    <x v="4"/>
    <x v="2"/>
    <s v="TRK38559816"/>
    <n v="1"/>
  </r>
  <r>
    <s v="ORD201194"/>
    <d v="2023-11-19T00:00:00"/>
    <s v="C29885"/>
    <x v="4"/>
    <n v="3"/>
    <n v="189.44"/>
    <s v="725 Main St"/>
    <x v="4"/>
    <x v="4"/>
    <s v="TRK62067865"/>
    <n v="4"/>
  </r>
  <r>
    <s v="ORD201195"/>
    <d v="2024-06-20T00:00:00"/>
    <s v="C21126"/>
    <x v="6"/>
    <n v="1"/>
    <n v="107.04"/>
    <s v="392 Main St"/>
    <x v="2"/>
    <x v="1"/>
    <s v="TRK38009181"/>
    <n v="6"/>
  </r>
  <r>
    <s v="ORD201196"/>
    <d v="2024-03-04T00:00:00"/>
    <s v="C20095"/>
    <x v="0"/>
    <n v="2"/>
    <n v="662.53"/>
    <s v="778 Main St"/>
    <x v="1"/>
    <x v="1"/>
    <s v="TRK69207593"/>
    <n v="5"/>
  </r>
  <r>
    <s v="ORD201197"/>
    <d v="2023-07-13T00:00:00"/>
    <s v="C79674"/>
    <x v="2"/>
    <n v="2"/>
    <n v="436.84"/>
    <s v="275 Main St"/>
    <x v="1"/>
    <x v="3"/>
    <s v="TRK88039356"/>
    <n v="2"/>
  </r>
  <r>
    <s v="ORD201198"/>
    <d v="2024-08-22T00:00:00"/>
    <s v="C64753"/>
    <x v="3"/>
    <n v="4"/>
    <n v="262.52"/>
    <s v="509 Main St"/>
    <x v="0"/>
    <x v="1"/>
    <s v="TRK71683331"/>
    <n v="4"/>
  </r>
  <r>
    <s v="ORD201199"/>
    <d v="2023-06-11T00:00:00"/>
    <s v="C57502"/>
    <x v="2"/>
    <n v="4"/>
    <n v="560.58000000000004"/>
    <s v="201 Main St"/>
    <x v="3"/>
    <x v="2"/>
    <s v="TRK51116746"/>
    <n v="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d v="2023-01-04T00:00:00"/>
    <s v="C72649"/>
    <s v="Monitor"/>
    <n v="5"/>
    <n v="570.62"/>
    <s v="928 Main St"/>
    <x v="0"/>
    <s v="Shipped"/>
    <s v="TRK37947903"/>
    <n v="7"/>
    <x v="0"/>
    <x v="0"/>
    <n v="2853.1"/>
  </r>
  <r>
    <s v="ORD200001"/>
    <d v="2024-08-23T00:00:00"/>
    <s v="C75739"/>
    <s v="Phone"/>
    <n v="2"/>
    <n v="151.35"/>
    <s v="823 Main St"/>
    <x v="1"/>
    <s v="Shipped"/>
    <s v="TRK91186779"/>
    <n v="3"/>
    <x v="0"/>
    <x v="1"/>
    <n v="302.7"/>
  </r>
  <r>
    <s v="ORD200002"/>
    <d v="2024-02-27T00:00:00"/>
    <s v="C81728"/>
    <s v="Tablet"/>
    <n v="5"/>
    <n v="550.67999999999995"/>
    <s v="512 Main St"/>
    <x v="2"/>
    <s v="Cancelled"/>
    <s v="TRK42903982"/>
    <n v="8"/>
    <x v="1"/>
    <x v="2"/>
    <n v="2753.4"/>
  </r>
  <r>
    <s v="ORD200003"/>
    <d v="2023-10-15T00:00:00"/>
    <s v="C33540"/>
    <s v="Chair"/>
    <n v="1"/>
    <n v="273.19"/>
    <s v="275 Main St"/>
    <x v="0"/>
    <s v="Returned"/>
    <s v="TRK62788070"/>
    <n v="5"/>
    <x v="0"/>
    <x v="3"/>
    <n v="273.19"/>
  </r>
  <r>
    <s v="ORD200004"/>
    <d v="2025-05-08T00:00:00"/>
    <s v="C81840"/>
    <s v="Printer"/>
    <n v="4"/>
    <n v="626.01"/>
    <s v="668 Main St"/>
    <x v="1"/>
    <s v="Delivered"/>
    <s v="TRK29241424"/>
    <n v="8"/>
    <x v="0"/>
    <x v="2"/>
    <n v="2504.04"/>
  </r>
  <r>
    <s v="ORD200005"/>
    <d v="2023-10-23T00:00:00"/>
    <s v="C37249"/>
    <s v="Phone"/>
    <n v="2"/>
    <n v="245.86"/>
    <s v="934 Main St"/>
    <x v="2"/>
    <s v="Shipped"/>
    <s v="TRK72976927"/>
    <n v="4"/>
    <x v="0"/>
    <x v="0"/>
    <n v="491.72"/>
  </r>
  <r>
    <s v="ORD200006"/>
    <d v="2025-06-17T00:00:00"/>
    <s v="C83492"/>
    <s v="Laptop"/>
    <n v="1"/>
    <n v="664.42"/>
    <s v="986 Main St"/>
    <x v="3"/>
    <s v="Returned"/>
    <s v="TRK96417362"/>
    <n v="6"/>
    <x v="0"/>
    <x v="3"/>
    <n v="664.42"/>
  </r>
  <r>
    <s v="ORD200007"/>
    <d v="2023-05-12T00:00:00"/>
    <s v="C41460"/>
    <s v="Monitor"/>
    <n v="5"/>
    <n v="149.55000000000001"/>
    <s v="706 Main St"/>
    <x v="4"/>
    <s v="Shipped"/>
    <s v="TRK78809193"/>
    <n v="9"/>
    <x v="1"/>
    <x v="3"/>
    <n v="747.75"/>
  </r>
  <r>
    <s v="ORD200008"/>
    <d v="2025-04-02T00:00:00"/>
    <s v="C26817"/>
    <s v="Phone"/>
    <n v="2"/>
    <n v="134.28"/>
    <s v="904 Main St"/>
    <x v="3"/>
    <s v="Cancelled"/>
    <s v="TRK61042692"/>
    <n v="2"/>
    <x v="2"/>
    <x v="2"/>
    <n v="268.56"/>
  </r>
  <r>
    <s v="ORD200009"/>
    <d v="2023-11-21T00:00:00"/>
    <s v="C31946"/>
    <s v="Desk"/>
    <n v="4"/>
    <n v="509.38"/>
    <s v="102 Main St"/>
    <x v="2"/>
    <s v="Shipped"/>
    <s v="TRK33478363"/>
    <n v="6"/>
    <x v="0"/>
    <x v="4"/>
    <n v="2037.52"/>
  </r>
  <r>
    <s v="ORD200010"/>
    <d v="2023-12-29T00:00:00"/>
    <s v="C43443"/>
    <s v="Tablet"/>
    <n v="5"/>
    <n v="625.97"/>
    <s v="333 Main St"/>
    <x v="2"/>
    <s v="Returned"/>
    <s v="TRK98859248"/>
    <n v="9"/>
    <x v="3"/>
    <x v="0"/>
    <n v="3129.85"/>
  </r>
  <r>
    <s v="ORD200011"/>
    <d v="2024-02-17T00:00:00"/>
    <s v="C93861"/>
    <s v="Monitor"/>
    <n v="3"/>
    <n v="49.14"/>
    <s v="831 Main St"/>
    <x v="1"/>
    <s v="Returned"/>
    <s v="TRK48234646"/>
    <n v="7"/>
    <x v="0"/>
    <x v="2"/>
    <n v="147.41999999999999"/>
  </r>
  <r>
    <s v="ORD200012"/>
    <d v="2024-10-15T00:00:00"/>
    <s v="C38785"/>
    <s v="Monitor"/>
    <n v="2"/>
    <n v="180.5"/>
    <s v="179 Main St"/>
    <x v="0"/>
    <s v="Pending"/>
    <s v="TRK20419991"/>
    <n v="6"/>
    <x v="1"/>
    <x v="1"/>
    <n v="361"/>
  </r>
  <r>
    <s v="ORD200013"/>
    <d v="2023-08-30T00:00:00"/>
    <s v="C88348"/>
    <s v="Laptop"/>
    <n v="3"/>
    <n v="201.49"/>
    <s v="903 Main St"/>
    <x v="2"/>
    <s v="Returned"/>
    <s v="TRK81913874"/>
    <n v="4"/>
    <x v="1"/>
    <x v="3"/>
    <n v="604.47"/>
  </r>
  <r>
    <s v="ORD200014"/>
    <d v="2023-03-27T00:00:00"/>
    <s v="C98474"/>
    <s v="Tablet"/>
    <n v="2"/>
    <n v="393.33"/>
    <s v="980 Main St"/>
    <x v="0"/>
    <s v="Pending"/>
    <s v="TRK79186539"/>
    <n v="3"/>
    <x v="0"/>
    <x v="0"/>
    <n v="786.66"/>
  </r>
  <r>
    <s v="ORD200015"/>
    <d v="2023-07-17T00:00:00"/>
    <s v="C39416"/>
    <s v="Printer"/>
    <n v="1"/>
    <n v="473.96"/>
    <s v="942 Main St"/>
    <x v="4"/>
    <s v="Delivered"/>
    <s v="TRK54930938"/>
    <n v="3"/>
    <x v="2"/>
    <x v="4"/>
    <n v="473.96"/>
  </r>
  <r>
    <s v="ORD200016"/>
    <d v="2023-01-24T00:00:00"/>
    <s v="C28976"/>
    <s v="Printer"/>
    <n v="2"/>
    <n v="533.80999999999995"/>
    <s v="914 Main St"/>
    <x v="2"/>
    <s v="Pending"/>
    <s v="TRK13194259"/>
    <n v="3"/>
    <x v="1"/>
    <x v="2"/>
    <n v="1067.6199999999999"/>
  </r>
  <r>
    <s v="ORD200017"/>
    <d v="2024-03-02T00:00:00"/>
    <s v="C60672"/>
    <s v="Tablet"/>
    <n v="1"/>
    <n v="423.4"/>
    <s v="382 Main St"/>
    <x v="0"/>
    <s v="Shipped"/>
    <s v="TRK11972116"/>
    <n v="3"/>
    <x v="2"/>
    <x v="1"/>
    <n v="423.4"/>
  </r>
  <r>
    <s v="ORD200018"/>
    <d v="2025-03-26T00:00:00"/>
    <s v="C84329"/>
    <s v="Desk"/>
    <n v="1"/>
    <n v="431.44"/>
    <s v="891 Main St"/>
    <x v="3"/>
    <s v="Pending"/>
    <s v="TRK65191045"/>
    <n v="3"/>
    <x v="0"/>
    <x v="3"/>
    <n v="431.44"/>
  </r>
  <r>
    <s v="ORD200019"/>
    <d v="2023-01-23T00:00:00"/>
    <s v="C14552"/>
    <s v="Monitor"/>
    <n v="5"/>
    <n v="224"/>
    <s v="273 Main St"/>
    <x v="4"/>
    <s v="Returned"/>
    <s v="TRK59101365"/>
    <n v="9"/>
    <x v="0"/>
    <x v="4"/>
    <n v="1120"/>
  </r>
  <r>
    <s v="ORD200020"/>
    <d v="2023-05-08T00:00:00"/>
    <s v="C54829"/>
    <s v="Chair"/>
    <n v="5"/>
    <n v="62.51"/>
    <s v="587 Main St"/>
    <x v="4"/>
    <s v="Pending"/>
    <s v="TRK16718651"/>
    <n v="9"/>
    <x v="3"/>
    <x v="0"/>
    <n v="312.55"/>
  </r>
  <r>
    <s v="ORD200021"/>
    <d v="2024-11-17T00:00:00"/>
    <s v="C99023"/>
    <s v="Monitor"/>
    <n v="4"/>
    <n v="342.95"/>
    <s v="569 Main St"/>
    <x v="4"/>
    <s v="Delivered"/>
    <s v="TRK52646983"/>
    <n v="6"/>
    <x v="2"/>
    <x v="4"/>
    <n v="1371.8"/>
  </r>
  <r>
    <s v="ORD200022"/>
    <d v="2023-01-29T00:00:00"/>
    <s v="C34416"/>
    <s v="Monitor"/>
    <n v="2"/>
    <n v="49.62"/>
    <s v="633 Main St"/>
    <x v="1"/>
    <s v="Pending"/>
    <s v="TRK75937350"/>
    <n v="2"/>
    <x v="0"/>
    <x v="4"/>
    <n v="99.24"/>
  </r>
  <r>
    <s v="ORD200023"/>
    <d v="2025-04-09T00:00:00"/>
    <s v="C42372"/>
    <s v="Phone"/>
    <n v="4"/>
    <n v="273.25"/>
    <s v="755 Main St"/>
    <x v="0"/>
    <s v="Cancelled"/>
    <s v="TRK36168083"/>
    <n v="5"/>
    <x v="1"/>
    <x v="1"/>
    <n v="1093"/>
  </r>
  <r>
    <s v="ORD200024"/>
    <d v="2024-10-30T00:00:00"/>
    <s v="C17470"/>
    <s v="Laptop"/>
    <n v="2"/>
    <n v="230.95"/>
    <s v="956 Main St"/>
    <x v="1"/>
    <s v="Delivered"/>
    <s v="TRK28775057"/>
    <n v="3"/>
    <x v="3"/>
    <x v="1"/>
    <n v="461.9"/>
  </r>
  <r>
    <s v="ORD200025"/>
    <d v="2024-07-24T00:00:00"/>
    <s v="C42577"/>
    <s v="Monitor"/>
    <n v="1"/>
    <n v="399.98"/>
    <s v="709 Main St"/>
    <x v="0"/>
    <s v="Delivered"/>
    <s v="TRK69423327"/>
    <n v="3"/>
    <x v="3"/>
    <x v="2"/>
    <n v="399.98"/>
  </r>
  <r>
    <s v="ORD200026"/>
    <d v="2024-03-06T00:00:00"/>
    <s v="C21944"/>
    <s v="Laptop"/>
    <n v="5"/>
    <n v="59.55"/>
    <s v="296 Main St"/>
    <x v="1"/>
    <s v="Delivered"/>
    <s v="TRK80276812"/>
    <n v="6"/>
    <x v="2"/>
    <x v="1"/>
    <n v="297.75"/>
  </r>
  <r>
    <s v="ORD200027"/>
    <d v="2024-02-22T00:00:00"/>
    <s v="C97593"/>
    <s v="Printer"/>
    <n v="1"/>
    <n v="472.74"/>
    <s v="881 Main St"/>
    <x v="1"/>
    <s v="Shipped"/>
    <s v="TRK89117573"/>
    <n v="6"/>
    <x v="3"/>
    <x v="4"/>
    <n v="472.74"/>
  </r>
  <r>
    <s v="ORD200028"/>
    <d v="2023-11-21T00:00:00"/>
    <s v="C59823"/>
    <s v="Phone"/>
    <n v="4"/>
    <n v="160.07"/>
    <s v="568 Main St"/>
    <x v="1"/>
    <s v="Pending"/>
    <s v="TRK65895539"/>
    <n v="5"/>
    <x v="2"/>
    <x v="2"/>
    <n v="640.28"/>
  </r>
  <r>
    <s v="ORD200029"/>
    <d v="2024-09-20T00:00:00"/>
    <s v="C33260"/>
    <s v="Desk"/>
    <n v="3"/>
    <n v="423.53"/>
    <s v="930 Main St"/>
    <x v="2"/>
    <s v="Delivered"/>
    <s v="TRK59744090"/>
    <n v="6"/>
    <x v="0"/>
    <x v="1"/>
    <n v="1270.5899999999999"/>
  </r>
  <r>
    <s v="ORD200030"/>
    <d v="2025-03-22T00:00:00"/>
    <s v="C44267"/>
    <s v="Monitor"/>
    <n v="2"/>
    <n v="426.7"/>
    <s v="895 Main St"/>
    <x v="1"/>
    <s v="Pending"/>
    <s v="TRK54751444"/>
    <n v="5"/>
    <x v="0"/>
    <x v="1"/>
    <n v="853.4"/>
  </r>
  <r>
    <s v="ORD200031"/>
    <d v="2023-06-30T00:00:00"/>
    <s v="C26445"/>
    <s v="Chair"/>
    <n v="3"/>
    <n v="500.08"/>
    <s v="996 Main St"/>
    <x v="0"/>
    <s v="Returned"/>
    <s v="TRK31229981"/>
    <n v="6"/>
    <x v="2"/>
    <x v="3"/>
    <n v="1500.24"/>
  </r>
  <r>
    <s v="ORD200032"/>
    <d v="2023-05-01T00:00:00"/>
    <s v="C12388"/>
    <s v="Tablet"/>
    <n v="5"/>
    <n v="536.72"/>
    <s v="830 Main St"/>
    <x v="4"/>
    <s v="Delivered"/>
    <s v="TRK99261395"/>
    <n v="10"/>
    <x v="2"/>
    <x v="2"/>
    <n v="2683.6"/>
  </r>
  <r>
    <s v="ORD200033"/>
    <d v="2023-06-05T00:00:00"/>
    <s v="C52184"/>
    <s v="Chair"/>
    <n v="1"/>
    <n v="162.77000000000001"/>
    <s v="912 Main St"/>
    <x v="1"/>
    <s v="Cancelled"/>
    <s v="TRK73312471"/>
    <n v="4"/>
    <x v="3"/>
    <x v="3"/>
    <n v="162.77000000000001"/>
  </r>
  <r>
    <s v="ORD200034"/>
    <d v="2023-01-07T00:00:00"/>
    <s v="C67195"/>
    <s v="Chair"/>
    <n v="4"/>
    <n v="576.52"/>
    <s v="926 Main St"/>
    <x v="2"/>
    <s v="Pending"/>
    <s v="TRK55467915"/>
    <n v="5"/>
    <x v="3"/>
    <x v="3"/>
    <n v="2306.08"/>
  </r>
  <r>
    <s v="ORD200035"/>
    <d v="2024-12-07T00:00:00"/>
    <s v="C50304"/>
    <s v="Monitor"/>
    <n v="2"/>
    <n v="465.15"/>
    <s v="128 Main St"/>
    <x v="1"/>
    <s v="Shipped"/>
    <s v="TRK46850888"/>
    <n v="2"/>
    <x v="0"/>
    <x v="3"/>
    <n v="930.3"/>
  </r>
  <r>
    <s v="ORD200036"/>
    <d v="2025-05-08T00:00:00"/>
    <s v="C59337"/>
    <s v="Laptop"/>
    <n v="2"/>
    <n v="534.42999999999995"/>
    <s v="465 Main St"/>
    <x v="0"/>
    <s v="Pending"/>
    <s v="TRK50961250"/>
    <n v="5"/>
    <x v="2"/>
    <x v="3"/>
    <n v="1068.8599999999999"/>
  </r>
  <r>
    <s v="ORD200037"/>
    <d v="2024-10-14T00:00:00"/>
    <s v="C10054"/>
    <s v="Laptop"/>
    <n v="2"/>
    <n v="76.739999999999995"/>
    <s v="409 Main St"/>
    <x v="4"/>
    <s v="Returned"/>
    <s v="TRK94005261"/>
    <n v="7"/>
    <x v="0"/>
    <x v="0"/>
    <n v="153.47999999999999"/>
  </r>
  <r>
    <s v="ORD200038"/>
    <d v="2024-12-19T00:00:00"/>
    <s v="C15924"/>
    <s v="Laptop"/>
    <n v="1"/>
    <n v="245.89"/>
    <s v="549 Main St"/>
    <x v="0"/>
    <s v="Delivered"/>
    <s v="TRK14835975"/>
    <n v="3"/>
    <x v="0"/>
    <x v="4"/>
    <n v="245.89"/>
  </r>
  <r>
    <s v="ORD200039"/>
    <d v="2025-02-27T00:00:00"/>
    <s v="C96664"/>
    <s v="Printer"/>
    <n v="3"/>
    <n v="256.45999999999998"/>
    <s v="666 Main St"/>
    <x v="2"/>
    <s v="Delivered"/>
    <s v="TRK85508960"/>
    <n v="4"/>
    <x v="0"/>
    <x v="1"/>
    <n v="769.37999999999988"/>
  </r>
  <r>
    <s v="ORD200040"/>
    <d v="2023-08-20T00:00:00"/>
    <s v="C84766"/>
    <s v="Desk"/>
    <n v="2"/>
    <n v="344.02"/>
    <s v="267 Main St"/>
    <x v="1"/>
    <s v="Delivered"/>
    <s v="TRK78967923"/>
    <n v="4"/>
    <x v="1"/>
    <x v="0"/>
    <n v="688.04"/>
  </r>
  <r>
    <s v="ORD200041"/>
    <d v="2023-12-05T00:00:00"/>
    <s v="C20212"/>
    <s v="Monitor"/>
    <n v="3"/>
    <n v="611.45000000000005"/>
    <s v="657 Main St"/>
    <x v="3"/>
    <s v="Pending"/>
    <s v="TRK69733327"/>
    <n v="4"/>
    <x v="1"/>
    <x v="0"/>
    <n v="1834.35"/>
  </r>
  <r>
    <s v="ORD200042"/>
    <d v="2024-05-06T00:00:00"/>
    <s v="C28712"/>
    <s v="Printer"/>
    <n v="2"/>
    <n v="151.66"/>
    <s v="980 Main St"/>
    <x v="4"/>
    <s v="Cancelled"/>
    <s v="TRK40772558"/>
    <n v="6"/>
    <x v="2"/>
    <x v="0"/>
    <n v="303.32"/>
  </r>
  <r>
    <s v="ORD200043"/>
    <d v="2023-12-14T00:00:00"/>
    <s v="C60572"/>
    <s v="Chair"/>
    <n v="3"/>
    <n v="499.21"/>
    <s v="871 Main St"/>
    <x v="1"/>
    <s v="Cancelled"/>
    <s v="TRK20351666"/>
    <n v="8"/>
    <x v="2"/>
    <x v="0"/>
    <n v="1497.63"/>
  </r>
  <r>
    <s v="ORD200044"/>
    <d v="2025-04-21T00:00:00"/>
    <s v="C73225"/>
    <s v="Phone"/>
    <n v="2"/>
    <n v="550.17999999999995"/>
    <s v="996 Main St"/>
    <x v="3"/>
    <s v="Returned"/>
    <s v="TRK73848522"/>
    <n v="3"/>
    <x v="1"/>
    <x v="1"/>
    <n v="1100.3599999999999"/>
  </r>
  <r>
    <s v="ORD200045"/>
    <d v="2024-02-10T00:00:00"/>
    <s v="C17388"/>
    <s v="Chair"/>
    <n v="1"/>
    <n v="317.25"/>
    <s v="157 Main St"/>
    <x v="0"/>
    <s v="Returned"/>
    <s v="TRK47077395"/>
    <n v="1"/>
    <x v="0"/>
    <x v="3"/>
    <n v="317.25"/>
  </r>
  <r>
    <s v="ORD200046"/>
    <d v="2024-06-26T00:00:00"/>
    <s v="C43212"/>
    <s v="Monitor"/>
    <n v="4"/>
    <n v="550.14"/>
    <s v="223 Main St"/>
    <x v="0"/>
    <s v="Pending"/>
    <s v="TRK25100762"/>
    <n v="4"/>
    <x v="1"/>
    <x v="0"/>
    <n v="2200.56"/>
  </r>
  <r>
    <s v="ORD200047"/>
    <d v="2023-07-19T00:00:00"/>
    <s v="C38134"/>
    <s v="Desk"/>
    <n v="2"/>
    <n v="209.94"/>
    <s v="323 Main St"/>
    <x v="2"/>
    <s v="Returned"/>
    <s v="TRK42450754"/>
    <n v="3"/>
    <x v="1"/>
    <x v="2"/>
    <n v="419.88"/>
  </r>
  <r>
    <s v="ORD200048"/>
    <d v="2023-08-26T00:00:00"/>
    <s v="C12408"/>
    <s v="Monitor"/>
    <n v="2"/>
    <n v="80.77"/>
    <s v="464 Main St"/>
    <x v="0"/>
    <s v="Shipped"/>
    <s v="TRK38938858"/>
    <n v="4"/>
    <x v="2"/>
    <x v="4"/>
    <n v="161.54"/>
  </r>
  <r>
    <s v="ORD200049"/>
    <d v="2023-10-07T00:00:00"/>
    <s v="C11985"/>
    <s v="Printer"/>
    <n v="1"/>
    <n v="30.44"/>
    <s v="633 Main St"/>
    <x v="2"/>
    <s v="Shipped"/>
    <s v="TRK53272402"/>
    <n v="1"/>
    <x v="0"/>
    <x v="2"/>
    <n v="30.44"/>
  </r>
  <r>
    <s v="ORD200050"/>
    <d v="2023-07-31T00:00:00"/>
    <s v="C96494"/>
    <s v="Tablet"/>
    <n v="1"/>
    <n v="179.22"/>
    <s v="446 Main St"/>
    <x v="1"/>
    <s v="Cancelled"/>
    <s v="TRK14675049"/>
    <n v="6"/>
    <x v="1"/>
    <x v="0"/>
    <n v="179.22"/>
  </r>
  <r>
    <s v="ORD200051"/>
    <d v="2024-12-30T00:00:00"/>
    <s v="C36778"/>
    <s v="Tablet"/>
    <n v="1"/>
    <n v="388.33"/>
    <s v="434 Main St"/>
    <x v="4"/>
    <s v="Returned"/>
    <s v="TRK67610289"/>
    <n v="2"/>
    <x v="0"/>
    <x v="3"/>
    <n v="388.33"/>
  </r>
  <r>
    <s v="ORD200052"/>
    <d v="2024-09-08T00:00:00"/>
    <s v="C30513"/>
    <s v="Tablet"/>
    <n v="1"/>
    <n v="586.44000000000005"/>
    <s v="232 Main St"/>
    <x v="1"/>
    <s v="Returned"/>
    <s v="TRK64320429"/>
    <n v="5"/>
    <x v="0"/>
    <x v="3"/>
    <n v="586.44000000000005"/>
  </r>
  <r>
    <s v="ORD200053"/>
    <d v="2024-05-18T00:00:00"/>
    <s v="C67551"/>
    <s v="Phone"/>
    <n v="4"/>
    <n v="488.78"/>
    <s v="512 Main St"/>
    <x v="1"/>
    <s v="Returned"/>
    <s v="TRK94992552"/>
    <n v="5"/>
    <x v="1"/>
    <x v="4"/>
    <n v="1955.12"/>
  </r>
  <r>
    <s v="ORD200054"/>
    <d v="2025-03-27T00:00:00"/>
    <s v="C48120"/>
    <s v="Chair"/>
    <n v="1"/>
    <n v="280.25"/>
    <s v="623 Main St"/>
    <x v="1"/>
    <s v="Pending"/>
    <s v="TRK11014449"/>
    <n v="5"/>
    <x v="3"/>
    <x v="2"/>
    <n v="280.25"/>
  </r>
  <r>
    <s v="ORD200055"/>
    <d v="2025-06-24T00:00:00"/>
    <s v="C95984"/>
    <s v="Printer"/>
    <n v="3"/>
    <n v="344.4"/>
    <s v="565 Main St"/>
    <x v="1"/>
    <s v="Cancelled"/>
    <s v="TRK67434829"/>
    <n v="3"/>
    <x v="2"/>
    <x v="3"/>
    <n v="1033.2"/>
  </r>
  <r>
    <s v="ORD200056"/>
    <d v="2023-05-21T00:00:00"/>
    <s v="C54298"/>
    <s v="Tablet"/>
    <n v="3"/>
    <n v="479.21"/>
    <s v="566 Main St"/>
    <x v="4"/>
    <s v="Cancelled"/>
    <s v="TRK62902341"/>
    <n v="5"/>
    <x v="3"/>
    <x v="1"/>
    <n v="1437.63"/>
  </r>
  <r>
    <s v="ORD200057"/>
    <d v="2023-01-22T00:00:00"/>
    <s v="C88036"/>
    <s v="Printer"/>
    <n v="5"/>
    <n v="314.27"/>
    <s v="842 Main St"/>
    <x v="4"/>
    <s v="Returned"/>
    <s v="TRK52470128"/>
    <n v="6"/>
    <x v="0"/>
    <x v="0"/>
    <n v="1571.35"/>
  </r>
  <r>
    <s v="ORD200058"/>
    <d v="2023-01-15T00:00:00"/>
    <s v="C60190"/>
    <s v="Phone"/>
    <n v="4"/>
    <n v="474.69"/>
    <s v="202 Main St"/>
    <x v="3"/>
    <s v="Cancelled"/>
    <s v="TRK70857868"/>
    <n v="6"/>
    <x v="0"/>
    <x v="4"/>
    <n v="1898.76"/>
  </r>
  <r>
    <s v="ORD200059"/>
    <d v="2024-09-11T00:00:00"/>
    <s v="C97603"/>
    <s v="Chair"/>
    <n v="4"/>
    <n v="593.27"/>
    <s v="811 Main St"/>
    <x v="1"/>
    <s v="Shipped"/>
    <s v="TRK47055028"/>
    <n v="5"/>
    <x v="2"/>
    <x v="3"/>
    <n v="2373.08"/>
  </r>
  <r>
    <s v="ORD200060"/>
    <d v="2024-08-21T00:00:00"/>
    <s v="C39256"/>
    <s v="Desk"/>
    <n v="1"/>
    <n v="417.1"/>
    <s v="634 Main St"/>
    <x v="0"/>
    <s v="Returned"/>
    <s v="TRK23412025"/>
    <n v="3"/>
    <x v="1"/>
    <x v="1"/>
    <n v="417.1"/>
  </r>
  <r>
    <s v="ORD200061"/>
    <d v="2024-03-24T00:00:00"/>
    <s v="C61618"/>
    <s v="Desk"/>
    <n v="4"/>
    <n v="122.2"/>
    <s v="104 Main St"/>
    <x v="4"/>
    <s v="Delivered"/>
    <s v="TRK43458485"/>
    <n v="7"/>
    <x v="1"/>
    <x v="3"/>
    <n v="488.8"/>
  </r>
  <r>
    <s v="ORD200062"/>
    <d v="2023-08-22T00:00:00"/>
    <s v="C36497"/>
    <s v="Desk"/>
    <n v="2"/>
    <n v="43.15"/>
    <s v="691 Main St"/>
    <x v="0"/>
    <s v="Pending"/>
    <s v="TRK12102911"/>
    <n v="3"/>
    <x v="3"/>
    <x v="2"/>
    <n v="86.3"/>
  </r>
  <r>
    <s v="ORD200063"/>
    <d v="2025-02-02T00:00:00"/>
    <s v="C96695"/>
    <s v="Chair"/>
    <n v="1"/>
    <n v="564.86"/>
    <s v="813 Main St"/>
    <x v="0"/>
    <s v="Shipped"/>
    <s v="TRK64283851"/>
    <n v="6"/>
    <x v="3"/>
    <x v="1"/>
    <n v="564.86"/>
  </r>
  <r>
    <s v="ORD200064"/>
    <d v="2025-06-25T00:00:00"/>
    <s v="C49720"/>
    <s v="Printer"/>
    <n v="3"/>
    <n v="130.61000000000001"/>
    <s v="752 Main St"/>
    <x v="0"/>
    <s v="Cancelled"/>
    <s v="TRK55785217"/>
    <n v="4"/>
    <x v="1"/>
    <x v="3"/>
    <n v="391.83"/>
  </r>
  <r>
    <s v="ORD200065"/>
    <d v="2023-12-30T00:00:00"/>
    <s v="C97735"/>
    <s v="Monitor"/>
    <n v="5"/>
    <n v="81.7"/>
    <s v="385 Main St"/>
    <x v="2"/>
    <s v="Delivered"/>
    <s v="TRK13743703"/>
    <n v="6"/>
    <x v="2"/>
    <x v="0"/>
    <n v="408.5"/>
  </r>
  <r>
    <s v="ORD200066"/>
    <d v="2024-11-15T00:00:00"/>
    <s v="C18104"/>
    <s v="Chair"/>
    <n v="5"/>
    <n v="127.18"/>
    <s v="715 Main St"/>
    <x v="4"/>
    <s v="Cancelled"/>
    <s v="TRK15488568"/>
    <n v="9"/>
    <x v="0"/>
    <x v="1"/>
    <n v="635.90000000000009"/>
  </r>
  <r>
    <s v="ORD200067"/>
    <d v="2024-12-09T00:00:00"/>
    <s v="C25587"/>
    <s v="Printer"/>
    <n v="4"/>
    <n v="12.1"/>
    <s v="440 Main St"/>
    <x v="0"/>
    <s v="Cancelled"/>
    <s v="TRK55105323"/>
    <n v="8"/>
    <x v="2"/>
    <x v="4"/>
    <n v="48.4"/>
  </r>
  <r>
    <s v="ORD200068"/>
    <d v="2023-12-11T00:00:00"/>
    <s v="C41598"/>
    <s v="Chair"/>
    <n v="3"/>
    <n v="490.92"/>
    <s v="709 Main St"/>
    <x v="2"/>
    <s v="Pending"/>
    <s v="TRK81665940"/>
    <n v="5"/>
    <x v="1"/>
    <x v="2"/>
    <n v="1472.76"/>
  </r>
  <r>
    <s v="ORD200069"/>
    <d v="2023-05-11T00:00:00"/>
    <s v="C43338"/>
    <s v="Monitor"/>
    <n v="3"/>
    <n v="478.65"/>
    <s v="552 Main St"/>
    <x v="1"/>
    <s v="Shipped"/>
    <s v="TRK35241775"/>
    <n v="4"/>
    <x v="2"/>
    <x v="1"/>
    <n v="1435.95"/>
  </r>
  <r>
    <s v="ORD200070"/>
    <d v="2023-05-26T00:00:00"/>
    <s v="C25123"/>
    <s v="Desk"/>
    <n v="1"/>
    <n v="629.21"/>
    <s v="384 Main St"/>
    <x v="3"/>
    <s v="Pending"/>
    <s v="TRK27812282"/>
    <n v="2"/>
    <x v="1"/>
    <x v="0"/>
    <n v="629.21"/>
  </r>
  <r>
    <s v="ORD200071"/>
    <d v="2025-06-10T00:00:00"/>
    <s v="C37454"/>
    <s v="Monitor"/>
    <n v="3"/>
    <n v="434.45"/>
    <s v="923 Main St"/>
    <x v="2"/>
    <s v="Pending"/>
    <s v="TRK28252730"/>
    <n v="4"/>
    <x v="2"/>
    <x v="1"/>
    <n v="1303.3499999999999"/>
  </r>
  <r>
    <s v="ORD200072"/>
    <d v="2024-12-22T00:00:00"/>
    <s v="C19451"/>
    <s v="Tablet"/>
    <n v="4"/>
    <n v="589.44000000000005"/>
    <s v="942 Main St"/>
    <x v="3"/>
    <s v="Returned"/>
    <s v="TRK87787793"/>
    <n v="5"/>
    <x v="2"/>
    <x v="3"/>
    <n v="2357.7600000000002"/>
  </r>
  <r>
    <s v="ORD200073"/>
    <d v="2023-05-03T00:00:00"/>
    <s v="C17269"/>
    <s v="Monitor"/>
    <n v="4"/>
    <n v="433.45"/>
    <s v="129 Main St"/>
    <x v="3"/>
    <s v="Cancelled"/>
    <s v="TRK79608389"/>
    <n v="4"/>
    <x v="2"/>
    <x v="3"/>
    <n v="1733.8"/>
  </r>
  <r>
    <s v="ORD200074"/>
    <d v="2023-06-24T00:00:00"/>
    <s v="C25382"/>
    <s v="Phone"/>
    <n v="5"/>
    <n v="90.87"/>
    <s v="622 Main St"/>
    <x v="4"/>
    <s v="Pending"/>
    <s v="TRK64691287"/>
    <n v="5"/>
    <x v="2"/>
    <x v="0"/>
    <n v="454.35"/>
  </r>
  <r>
    <s v="ORD200075"/>
    <d v="2023-09-26T00:00:00"/>
    <s v="C80651"/>
    <s v="Tablet"/>
    <n v="3"/>
    <n v="398.17"/>
    <s v="917 Main St"/>
    <x v="0"/>
    <s v="Delivered"/>
    <s v="TRK14846720"/>
    <n v="5"/>
    <x v="0"/>
    <x v="2"/>
    <n v="1194.51"/>
  </r>
  <r>
    <s v="ORD200076"/>
    <d v="2024-03-31T00:00:00"/>
    <s v="C58638"/>
    <s v="Laptop"/>
    <n v="4"/>
    <n v="382.88"/>
    <s v="239 Main St"/>
    <x v="4"/>
    <s v="Cancelled"/>
    <s v="TRK38224871"/>
    <n v="6"/>
    <x v="3"/>
    <x v="2"/>
    <n v="1531.52"/>
  </r>
  <r>
    <s v="ORD200077"/>
    <d v="2024-05-24T00:00:00"/>
    <s v="C50121"/>
    <s v="Phone"/>
    <n v="1"/>
    <n v="583.17999999999995"/>
    <s v="348 Main St"/>
    <x v="2"/>
    <s v="Returned"/>
    <s v="TRK79810059"/>
    <n v="5"/>
    <x v="2"/>
    <x v="4"/>
    <n v="583.17999999999995"/>
  </r>
  <r>
    <s v="ORD200078"/>
    <d v="2024-08-06T00:00:00"/>
    <s v="C32029"/>
    <s v="Printer"/>
    <n v="4"/>
    <n v="175.36"/>
    <s v="146 Main St"/>
    <x v="0"/>
    <s v="Delivered"/>
    <s v="TRK68535532"/>
    <n v="4"/>
    <x v="1"/>
    <x v="0"/>
    <n v="701.44"/>
  </r>
  <r>
    <s v="ORD200079"/>
    <d v="2025-03-10T00:00:00"/>
    <s v="C76700"/>
    <s v="Tablet"/>
    <n v="2"/>
    <n v="311.91000000000003"/>
    <s v="103 Main St"/>
    <x v="1"/>
    <s v="Shipped"/>
    <s v="TRK13036341"/>
    <n v="2"/>
    <x v="2"/>
    <x v="3"/>
    <n v="623.82000000000005"/>
  </r>
  <r>
    <s v="ORD200080"/>
    <d v="2023-06-27T00:00:00"/>
    <s v="C29041"/>
    <s v="Phone"/>
    <n v="3"/>
    <n v="589.55999999999995"/>
    <s v="591 Main St"/>
    <x v="1"/>
    <s v="Returned"/>
    <s v="TRK28840655"/>
    <n v="6"/>
    <x v="2"/>
    <x v="3"/>
    <n v="1768.68"/>
  </r>
  <r>
    <s v="ORD200081"/>
    <d v="2023-06-08T00:00:00"/>
    <s v="C29314"/>
    <s v="Monitor"/>
    <n v="2"/>
    <n v="394.3"/>
    <s v="496 Main St"/>
    <x v="4"/>
    <s v="Shipped"/>
    <s v="TRK59876213"/>
    <n v="6"/>
    <x v="1"/>
    <x v="2"/>
    <n v="788.6"/>
  </r>
  <r>
    <s v="ORD200082"/>
    <d v="2024-01-05T00:00:00"/>
    <s v="C65799"/>
    <s v="Tablet"/>
    <n v="4"/>
    <n v="565.20000000000005"/>
    <s v="971 Main St"/>
    <x v="0"/>
    <s v="Shipped"/>
    <s v="TRK66906607"/>
    <n v="9"/>
    <x v="0"/>
    <x v="4"/>
    <n v="2260.8000000000002"/>
  </r>
  <r>
    <s v="ORD200083"/>
    <d v="2023-08-22T00:00:00"/>
    <s v="C15681"/>
    <s v="Laptop"/>
    <n v="4"/>
    <n v="540.41"/>
    <s v="989 Main St"/>
    <x v="2"/>
    <s v="Cancelled"/>
    <s v="TRK75112172"/>
    <n v="6"/>
    <x v="2"/>
    <x v="1"/>
    <n v="2161.64"/>
  </r>
  <r>
    <s v="ORD200084"/>
    <d v="2023-08-28T00:00:00"/>
    <s v="C64160"/>
    <s v="Monitor"/>
    <n v="2"/>
    <n v="165.49"/>
    <s v="967 Main St"/>
    <x v="1"/>
    <s v="Shipped"/>
    <s v="TRK34121529"/>
    <n v="4"/>
    <x v="3"/>
    <x v="0"/>
    <n v="330.98"/>
  </r>
  <r>
    <s v="ORD200085"/>
    <d v="2024-09-09T00:00:00"/>
    <s v="C14553"/>
    <s v="Tablet"/>
    <n v="3"/>
    <n v="146.72999999999999"/>
    <s v="768 Main St"/>
    <x v="4"/>
    <s v="Delivered"/>
    <s v="TRK93538334"/>
    <n v="8"/>
    <x v="1"/>
    <x v="2"/>
    <n v="440.18999999999988"/>
  </r>
  <r>
    <s v="ORD200086"/>
    <d v="2024-06-19T00:00:00"/>
    <s v="C88205"/>
    <s v="Printer"/>
    <n v="5"/>
    <n v="643.03"/>
    <s v="447 Main St"/>
    <x v="1"/>
    <s v="Cancelled"/>
    <s v="TRK93504166"/>
    <n v="5"/>
    <x v="1"/>
    <x v="1"/>
    <n v="3215.15"/>
  </r>
  <r>
    <s v="ORD200087"/>
    <d v="2024-10-10T00:00:00"/>
    <s v="C91245"/>
    <s v="Tablet"/>
    <n v="3"/>
    <n v="225.11"/>
    <s v="915 Main St"/>
    <x v="4"/>
    <s v="Shipped"/>
    <s v="TRK46976391"/>
    <n v="4"/>
    <x v="0"/>
    <x v="3"/>
    <n v="675.33"/>
  </r>
  <r>
    <s v="ORD200088"/>
    <d v="2025-06-05T00:00:00"/>
    <s v="C75439"/>
    <s v="Desk"/>
    <n v="3"/>
    <n v="114.81"/>
    <s v="318 Main St"/>
    <x v="3"/>
    <s v="Cancelled"/>
    <s v="TRK19831653"/>
    <n v="7"/>
    <x v="2"/>
    <x v="4"/>
    <n v="344.43"/>
  </r>
  <r>
    <s v="ORD200089"/>
    <d v="2025-02-25T00:00:00"/>
    <s v="C17181"/>
    <s v="Printer"/>
    <n v="5"/>
    <n v="455.33"/>
    <s v="291 Main St"/>
    <x v="2"/>
    <s v="Cancelled"/>
    <s v="TRK78912978"/>
    <n v="8"/>
    <x v="1"/>
    <x v="4"/>
    <n v="2276.65"/>
  </r>
  <r>
    <s v="ORD200090"/>
    <d v="2023-09-18T00:00:00"/>
    <s v="C36540"/>
    <s v="Chair"/>
    <n v="4"/>
    <n v="182.08"/>
    <s v="611 Main St"/>
    <x v="3"/>
    <s v="Delivered"/>
    <s v="TRK35828122"/>
    <n v="4"/>
    <x v="0"/>
    <x v="2"/>
    <n v="728.32"/>
  </r>
  <r>
    <s v="ORD200091"/>
    <d v="2023-03-15T00:00:00"/>
    <s v="C98216"/>
    <s v="Laptop"/>
    <n v="5"/>
    <n v="492.75"/>
    <s v="196 Main St"/>
    <x v="4"/>
    <s v="Shipped"/>
    <s v="TRK40986666"/>
    <n v="6"/>
    <x v="3"/>
    <x v="1"/>
    <n v="2463.75"/>
  </r>
  <r>
    <s v="ORD200092"/>
    <d v="2024-06-10T00:00:00"/>
    <s v="C29568"/>
    <s v="Printer"/>
    <n v="4"/>
    <n v="48.61"/>
    <s v="203 Main St"/>
    <x v="1"/>
    <s v="Shipped"/>
    <s v="TRK46531075"/>
    <n v="7"/>
    <x v="1"/>
    <x v="3"/>
    <n v="194.44"/>
  </r>
  <r>
    <s v="ORD200093"/>
    <d v="2023-01-14T00:00:00"/>
    <s v="C97262"/>
    <s v="Desk"/>
    <n v="4"/>
    <n v="431.01"/>
    <s v="837 Main St"/>
    <x v="2"/>
    <s v="Returned"/>
    <s v="TRK65990229"/>
    <n v="7"/>
    <x v="2"/>
    <x v="1"/>
    <n v="1724.04"/>
  </r>
  <r>
    <s v="ORD200094"/>
    <d v="2023-02-11T00:00:00"/>
    <s v="C79821"/>
    <s v="Chair"/>
    <n v="1"/>
    <n v="531.17999999999995"/>
    <s v="781 Main St"/>
    <x v="3"/>
    <s v="Returned"/>
    <s v="TRK12780193"/>
    <n v="6"/>
    <x v="3"/>
    <x v="0"/>
    <n v="531.17999999999995"/>
  </r>
  <r>
    <s v="ORD200095"/>
    <d v="2023-03-24T00:00:00"/>
    <s v="C76761"/>
    <s v="Printer"/>
    <n v="4"/>
    <n v="117.51"/>
    <s v="839 Main St"/>
    <x v="0"/>
    <s v="Returned"/>
    <s v="TRK60179774"/>
    <n v="7"/>
    <x v="2"/>
    <x v="1"/>
    <n v="470.04"/>
  </r>
  <r>
    <s v="ORD200096"/>
    <d v="2024-06-01T00:00:00"/>
    <s v="C93007"/>
    <s v="Phone"/>
    <n v="2"/>
    <n v="232.83"/>
    <s v="103 Main St"/>
    <x v="3"/>
    <s v="Delivered"/>
    <s v="TRK85696091"/>
    <n v="7"/>
    <x v="2"/>
    <x v="0"/>
    <n v="465.66"/>
  </r>
  <r>
    <s v="ORD200097"/>
    <d v="2025-01-21T00:00:00"/>
    <s v="C15624"/>
    <s v="Tablet"/>
    <n v="5"/>
    <n v="619.52"/>
    <s v="922 Main St"/>
    <x v="0"/>
    <s v="Pending"/>
    <s v="TRK40621141"/>
    <n v="9"/>
    <x v="2"/>
    <x v="2"/>
    <n v="3097.6"/>
  </r>
  <r>
    <s v="ORD200098"/>
    <d v="2023-01-14T00:00:00"/>
    <s v="C70921"/>
    <s v="Printer"/>
    <n v="2"/>
    <n v="228.54"/>
    <s v="533 Main St"/>
    <x v="0"/>
    <s v="Pending"/>
    <s v="TRK54983109"/>
    <n v="3"/>
    <x v="2"/>
    <x v="2"/>
    <n v="457.08"/>
  </r>
  <r>
    <s v="ORD200099"/>
    <d v="2025-04-12T00:00:00"/>
    <s v="C30477"/>
    <s v="Printer"/>
    <n v="1"/>
    <n v="201.58"/>
    <s v="717 Main St"/>
    <x v="0"/>
    <s v="Cancelled"/>
    <s v="TRK51829648"/>
    <n v="2"/>
    <x v="3"/>
    <x v="2"/>
    <n v="201.58"/>
  </r>
  <r>
    <s v="ORD200100"/>
    <d v="2023-02-17T00:00:00"/>
    <s v="C74866"/>
    <s v="Phone"/>
    <n v="3"/>
    <n v="664.79"/>
    <s v="743 Main St"/>
    <x v="1"/>
    <s v="Delivered"/>
    <s v="TRK53783265"/>
    <n v="6"/>
    <x v="2"/>
    <x v="3"/>
    <n v="1994.37"/>
  </r>
  <r>
    <s v="ORD200101"/>
    <d v="2023-11-25T00:00:00"/>
    <s v="C15283"/>
    <s v="Printer"/>
    <n v="1"/>
    <n v="381.02"/>
    <s v="152 Main St"/>
    <x v="4"/>
    <s v="Shipped"/>
    <s v="TRK19286291"/>
    <n v="6"/>
    <x v="2"/>
    <x v="4"/>
    <n v="381.02"/>
  </r>
  <r>
    <s v="ORD200102"/>
    <d v="2023-03-08T00:00:00"/>
    <s v="C18037"/>
    <s v="Laptop"/>
    <n v="2"/>
    <n v="70.34"/>
    <s v="944 Main St"/>
    <x v="3"/>
    <s v="Cancelled"/>
    <s v="TRK47362236"/>
    <n v="3"/>
    <x v="1"/>
    <x v="2"/>
    <n v="140.68"/>
  </r>
  <r>
    <s v="ORD200103"/>
    <d v="2025-01-25T00:00:00"/>
    <s v="C62656"/>
    <s v="Phone"/>
    <n v="4"/>
    <n v="218.43"/>
    <s v="514 Main St"/>
    <x v="2"/>
    <s v="Cancelled"/>
    <s v="TRK86296459"/>
    <n v="9"/>
    <x v="0"/>
    <x v="2"/>
    <n v="873.72"/>
  </r>
  <r>
    <s v="ORD200104"/>
    <d v="2024-07-30T00:00:00"/>
    <s v="C65744"/>
    <s v="Phone"/>
    <n v="1"/>
    <n v="582.04"/>
    <s v="647 Main St"/>
    <x v="3"/>
    <s v="Delivered"/>
    <s v="TRK39906058"/>
    <n v="1"/>
    <x v="1"/>
    <x v="2"/>
    <n v="582.04"/>
  </r>
  <r>
    <s v="ORD200105"/>
    <d v="2024-10-24T00:00:00"/>
    <s v="C72290"/>
    <s v="Printer"/>
    <n v="3"/>
    <n v="185.4"/>
    <s v="810 Main St"/>
    <x v="3"/>
    <s v="Cancelled"/>
    <s v="TRK68792129"/>
    <n v="7"/>
    <x v="2"/>
    <x v="3"/>
    <n v="556.20000000000005"/>
  </r>
  <r>
    <s v="ORD200106"/>
    <d v="2023-09-08T00:00:00"/>
    <s v="C73514"/>
    <s v="Desk"/>
    <n v="3"/>
    <n v="465.05"/>
    <s v="126 Main St"/>
    <x v="2"/>
    <s v="Cancelled"/>
    <s v="TRK96777924"/>
    <n v="3"/>
    <x v="0"/>
    <x v="2"/>
    <n v="1395.15"/>
  </r>
  <r>
    <s v="ORD200107"/>
    <d v="2023-03-27T00:00:00"/>
    <s v="C16775"/>
    <s v="Printer"/>
    <n v="5"/>
    <n v="670.75"/>
    <s v="848 Main St"/>
    <x v="3"/>
    <s v="Shipped"/>
    <s v="TRK34392124"/>
    <n v="8"/>
    <x v="1"/>
    <x v="0"/>
    <n v="3353.75"/>
  </r>
  <r>
    <s v="ORD200108"/>
    <d v="2024-12-28T00:00:00"/>
    <s v="C33099"/>
    <s v="Laptop"/>
    <n v="5"/>
    <n v="48.38"/>
    <s v="522 Main St"/>
    <x v="3"/>
    <s v="Delivered"/>
    <s v="TRK28522330"/>
    <n v="9"/>
    <x v="3"/>
    <x v="2"/>
    <n v="241.9"/>
  </r>
  <r>
    <s v="ORD200109"/>
    <d v="2023-09-17T00:00:00"/>
    <s v="C51157"/>
    <s v="Desk"/>
    <n v="3"/>
    <n v="592.87"/>
    <s v="131 Main St"/>
    <x v="3"/>
    <s v="Shipped"/>
    <s v="TRK18674578"/>
    <n v="3"/>
    <x v="1"/>
    <x v="1"/>
    <n v="1778.61"/>
  </r>
  <r>
    <s v="ORD200110"/>
    <d v="2024-04-21T00:00:00"/>
    <s v="C74562"/>
    <s v="Tablet"/>
    <n v="1"/>
    <n v="220.77"/>
    <s v="388 Main St"/>
    <x v="3"/>
    <s v="Pending"/>
    <s v="TRK32062079"/>
    <n v="5"/>
    <x v="1"/>
    <x v="0"/>
    <n v="220.77"/>
  </r>
  <r>
    <s v="ORD200111"/>
    <d v="2025-05-07T00:00:00"/>
    <s v="C95271"/>
    <s v="Desk"/>
    <n v="3"/>
    <n v="309.22000000000003"/>
    <s v="620 Main St"/>
    <x v="1"/>
    <s v="Cancelled"/>
    <s v="TRK74904969"/>
    <n v="7"/>
    <x v="1"/>
    <x v="4"/>
    <n v="927.66000000000008"/>
  </r>
  <r>
    <s v="ORD200112"/>
    <d v="2023-01-01T00:00:00"/>
    <s v="C81366"/>
    <s v="Monitor"/>
    <n v="1"/>
    <n v="410.6"/>
    <s v="423 Main St"/>
    <x v="1"/>
    <s v="Cancelled"/>
    <s v="TRK17062206"/>
    <n v="2"/>
    <x v="3"/>
    <x v="1"/>
    <n v="410.6"/>
  </r>
  <r>
    <s v="ORD200113"/>
    <d v="2024-01-17T00:00:00"/>
    <s v="C65905"/>
    <s v="Laptop"/>
    <n v="5"/>
    <n v="190.08"/>
    <s v="605 Main St"/>
    <x v="4"/>
    <s v="Shipped"/>
    <s v="TRK73954365"/>
    <n v="9"/>
    <x v="1"/>
    <x v="0"/>
    <n v="950.40000000000009"/>
  </r>
  <r>
    <s v="ORD200114"/>
    <d v="2025-01-27T00:00:00"/>
    <s v="C77272"/>
    <s v="Monitor"/>
    <n v="5"/>
    <n v="498.48"/>
    <s v="115 Main St"/>
    <x v="1"/>
    <s v="Pending"/>
    <s v="TRK29708128"/>
    <n v="8"/>
    <x v="0"/>
    <x v="4"/>
    <n v="2492.4"/>
  </r>
  <r>
    <s v="ORD200115"/>
    <d v="2023-11-27T00:00:00"/>
    <s v="C32580"/>
    <s v="Phone"/>
    <n v="5"/>
    <n v="374.99"/>
    <s v="122 Main St"/>
    <x v="1"/>
    <s v="Shipped"/>
    <s v="TRK23670394"/>
    <n v="9"/>
    <x v="0"/>
    <x v="3"/>
    <n v="1874.95"/>
  </r>
  <r>
    <s v="ORD200116"/>
    <d v="2023-03-19T00:00:00"/>
    <s v="C47761"/>
    <s v="Printer"/>
    <n v="4"/>
    <n v="291.35000000000002"/>
    <s v="109 Main St"/>
    <x v="2"/>
    <s v="Cancelled"/>
    <s v="TRK66669207"/>
    <n v="6"/>
    <x v="3"/>
    <x v="3"/>
    <n v="1165.4000000000001"/>
  </r>
  <r>
    <s v="ORD200117"/>
    <d v="2023-03-08T00:00:00"/>
    <s v="C49187"/>
    <s v="Tablet"/>
    <n v="1"/>
    <n v="535.5"/>
    <s v="593 Main St"/>
    <x v="3"/>
    <s v="Cancelled"/>
    <s v="TRK81888598"/>
    <n v="5"/>
    <x v="3"/>
    <x v="1"/>
    <n v="535.5"/>
  </r>
  <r>
    <s v="ORD200118"/>
    <d v="2023-10-09T00:00:00"/>
    <s v="C27898"/>
    <s v="Printer"/>
    <n v="5"/>
    <n v="502.71"/>
    <s v="807 Main St"/>
    <x v="3"/>
    <s v="Shipped"/>
    <s v="TRK61957665"/>
    <n v="7"/>
    <x v="1"/>
    <x v="4"/>
    <n v="2513.5500000000002"/>
  </r>
  <r>
    <s v="ORD200119"/>
    <d v="2025-06-11T00:00:00"/>
    <s v="C14683"/>
    <s v="Desk"/>
    <n v="2"/>
    <n v="534.66999999999996"/>
    <s v="187 Main St"/>
    <x v="0"/>
    <s v="Shipped"/>
    <s v="TRK47373682"/>
    <n v="7"/>
    <x v="1"/>
    <x v="1"/>
    <n v="1069.3399999999999"/>
  </r>
  <r>
    <s v="ORD200120"/>
    <d v="2023-04-11T00:00:00"/>
    <s v="C58108"/>
    <s v="Tablet"/>
    <n v="4"/>
    <n v="629.34"/>
    <s v="986 Main St"/>
    <x v="4"/>
    <s v="Cancelled"/>
    <s v="TRK66218053"/>
    <n v="4"/>
    <x v="3"/>
    <x v="0"/>
    <n v="2517.36"/>
  </r>
  <r>
    <s v="ORD200121"/>
    <d v="2023-11-30T00:00:00"/>
    <s v="C89822"/>
    <s v="Desk"/>
    <n v="1"/>
    <n v="410.78"/>
    <s v="673 Main St"/>
    <x v="4"/>
    <s v="Cancelled"/>
    <s v="TRK24138598"/>
    <n v="1"/>
    <x v="1"/>
    <x v="0"/>
    <n v="410.78"/>
  </r>
  <r>
    <s v="ORD200122"/>
    <d v="2024-04-15T00:00:00"/>
    <s v="C96787"/>
    <s v="Laptop"/>
    <n v="2"/>
    <n v="533.02"/>
    <s v="588 Main St"/>
    <x v="3"/>
    <s v="Shipped"/>
    <s v="TRK30422853"/>
    <n v="2"/>
    <x v="2"/>
    <x v="3"/>
    <n v="1066.04"/>
  </r>
  <r>
    <s v="ORD200123"/>
    <d v="2023-07-06T00:00:00"/>
    <s v="C86064"/>
    <s v="Desk"/>
    <n v="3"/>
    <n v="278.04000000000002"/>
    <s v="727 Main St"/>
    <x v="1"/>
    <s v="Delivered"/>
    <s v="TRK62182901"/>
    <n v="5"/>
    <x v="2"/>
    <x v="0"/>
    <n v="834.12000000000012"/>
  </r>
  <r>
    <s v="ORD200124"/>
    <d v="2024-07-28T00:00:00"/>
    <s v="C97148"/>
    <s v="Printer"/>
    <n v="4"/>
    <n v="283.79000000000002"/>
    <s v="563 Main St"/>
    <x v="1"/>
    <s v="Pending"/>
    <s v="TRK85321126"/>
    <n v="8"/>
    <x v="2"/>
    <x v="4"/>
    <n v="1135.1600000000001"/>
  </r>
  <r>
    <s v="ORD200125"/>
    <d v="2024-11-06T00:00:00"/>
    <s v="C91099"/>
    <s v="Phone"/>
    <n v="2"/>
    <n v="512.65"/>
    <s v="758 Main St"/>
    <x v="2"/>
    <s v="Shipped"/>
    <s v="TRK81846174"/>
    <n v="5"/>
    <x v="0"/>
    <x v="2"/>
    <n v="1025.3"/>
  </r>
  <r>
    <s v="ORD200126"/>
    <d v="2025-05-03T00:00:00"/>
    <s v="C55606"/>
    <s v="Desk"/>
    <n v="4"/>
    <n v="275.5"/>
    <s v="353 Main St"/>
    <x v="3"/>
    <s v="Shipped"/>
    <s v="TRK68250319"/>
    <n v="8"/>
    <x v="1"/>
    <x v="4"/>
    <n v="1102"/>
  </r>
  <r>
    <s v="ORD200127"/>
    <d v="2023-08-10T00:00:00"/>
    <s v="C71486"/>
    <s v="Desk"/>
    <n v="3"/>
    <n v="469.32"/>
    <s v="365 Main St"/>
    <x v="0"/>
    <s v="Shipped"/>
    <s v="TRK73929833"/>
    <n v="3"/>
    <x v="2"/>
    <x v="4"/>
    <n v="1407.96"/>
  </r>
  <r>
    <s v="ORD200128"/>
    <d v="2023-02-17T00:00:00"/>
    <s v="C86408"/>
    <s v="Tablet"/>
    <n v="4"/>
    <n v="21.07"/>
    <s v="244 Main St"/>
    <x v="3"/>
    <s v="Delivered"/>
    <s v="TRK41432648"/>
    <n v="4"/>
    <x v="1"/>
    <x v="4"/>
    <n v="84.28"/>
  </r>
  <r>
    <s v="ORD200129"/>
    <d v="2023-10-27T00:00:00"/>
    <s v="C52751"/>
    <s v="Laptop"/>
    <n v="4"/>
    <n v="263.93"/>
    <s v="427 Main St"/>
    <x v="0"/>
    <s v="Shipped"/>
    <s v="TRK72481234"/>
    <n v="4"/>
    <x v="1"/>
    <x v="3"/>
    <n v="1055.72"/>
  </r>
  <r>
    <s v="ORD200130"/>
    <d v="2025-01-22T00:00:00"/>
    <s v="C29059"/>
    <s v="Desk"/>
    <n v="3"/>
    <n v="501.3"/>
    <s v="513 Main St"/>
    <x v="1"/>
    <s v="Cancelled"/>
    <s v="TRK88360704"/>
    <n v="3"/>
    <x v="3"/>
    <x v="3"/>
    <n v="1503.9"/>
  </r>
  <r>
    <s v="ORD200131"/>
    <d v="2023-01-08T00:00:00"/>
    <s v="C72862"/>
    <s v="Tablet"/>
    <n v="1"/>
    <n v="84.8"/>
    <s v="606 Main St"/>
    <x v="3"/>
    <s v="Pending"/>
    <s v="TRK51648833"/>
    <n v="5"/>
    <x v="2"/>
    <x v="0"/>
    <n v="84.8"/>
  </r>
  <r>
    <s v="ORD200132"/>
    <d v="2023-03-28T00:00:00"/>
    <s v="C96257"/>
    <s v="Tablet"/>
    <n v="4"/>
    <n v="450.75"/>
    <s v="583 Main St"/>
    <x v="2"/>
    <s v="Shipped"/>
    <s v="TRK13137948"/>
    <n v="6"/>
    <x v="3"/>
    <x v="2"/>
    <n v="1803"/>
  </r>
  <r>
    <s v="ORD200133"/>
    <d v="2025-06-20T00:00:00"/>
    <s v="C87432"/>
    <s v="Chair"/>
    <n v="4"/>
    <n v="302.05"/>
    <s v="636 Main St"/>
    <x v="0"/>
    <s v="Cancelled"/>
    <s v="TRK68969625"/>
    <n v="6"/>
    <x v="0"/>
    <x v="4"/>
    <n v="1208.2"/>
  </r>
  <r>
    <s v="ORD200134"/>
    <d v="2025-06-23T00:00:00"/>
    <s v="C16253"/>
    <s v="Laptop"/>
    <n v="2"/>
    <n v="199.7"/>
    <s v="583 Main St"/>
    <x v="4"/>
    <s v="Pending"/>
    <s v="TRK17354894"/>
    <n v="4"/>
    <x v="2"/>
    <x v="2"/>
    <n v="399.4"/>
  </r>
  <r>
    <s v="ORD200135"/>
    <d v="2023-08-04T00:00:00"/>
    <s v="C79909"/>
    <s v="Printer"/>
    <n v="2"/>
    <n v="68.81"/>
    <s v="642 Main St"/>
    <x v="3"/>
    <s v="Shipped"/>
    <s v="TRK86742257"/>
    <n v="5"/>
    <x v="0"/>
    <x v="1"/>
    <n v="137.62"/>
  </r>
  <r>
    <s v="ORD200136"/>
    <d v="2024-04-27T00:00:00"/>
    <s v="C73370"/>
    <s v="Laptop"/>
    <n v="1"/>
    <n v="44.35"/>
    <s v="595 Main St"/>
    <x v="3"/>
    <s v="Cancelled"/>
    <s v="TRK67820278"/>
    <n v="1"/>
    <x v="0"/>
    <x v="0"/>
    <n v="44.35"/>
  </r>
  <r>
    <s v="ORD200137"/>
    <d v="2024-11-26T00:00:00"/>
    <s v="C50682"/>
    <s v="Monitor"/>
    <n v="2"/>
    <n v="250.98"/>
    <s v="598 Main St"/>
    <x v="2"/>
    <s v="Delivered"/>
    <s v="TRK12242337"/>
    <n v="5"/>
    <x v="2"/>
    <x v="4"/>
    <n v="501.96"/>
  </r>
  <r>
    <s v="ORD200138"/>
    <d v="2023-12-21T00:00:00"/>
    <s v="C21905"/>
    <s v="Tablet"/>
    <n v="1"/>
    <n v="298.06"/>
    <s v="478 Main St"/>
    <x v="0"/>
    <s v="Pending"/>
    <s v="TRK31863841"/>
    <n v="3"/>
    <x v="3"/>
    <x v="4"/>
    <n v="298.06"/>
  </r>
  <r>
    <s v="ORD200139"/>
    <d v="2023-04-10T00:00:00"/>
    <s v="C61440"/>
    <s v="Phone"/>
    <n v="1"/>
    <n v="583.9"/>
    <s v="714 Main St"/>
    <x v="4"/>
    <s v="Returned"/>
    <s v="TRK33114521"/>
    <n v="1"/>
    <x v="2"/>
    <x v="2"/>
    <n v="583.9"/>
  </r>
  <r>
    <s v="ORD200140"/>
    <d v="2025-05-31T00:00:00"/>
    <s v="C33110"/>
    <s v="Chair"/>
    <n v="3"/>
    <n v="528.14"/>
    <s v="388 Main St"/>
    <x v="1"/>
    <s v="Delivered"/>
    <s v="TRK38624225"/>
    <n v="3"/>
    <x v="1"/>
    <x v="2"/>
    <n v="1584.42"/>
  </r>
  <r>
    <s v="ORD200141"/>
    <d v="2023-11-18T00:00:00"/>
    <s v="C80004"/>
    <s v="Printer"/>
    <n v="3"/>
    <n v="684.14"/>
    <s v="151 Main St"/>
    <x v="4"/>
    <s v="Cancelled"/>
    <s v="TRK66230753"/>
    <n v="3"/>
    <x v="3"/>
    <x v="0"/>
    <n v="2052.42"/>
  </r>
  <r>
    <s v="ORD200142"/>
    <d v="2023-09-06T00:00:00"/>
    <s v="C86374"/>
    <s v="Desk"/>
    <n v="5"/>
    <n v="272.77"/>
    <s v="573 Main St"/>
    <x v="4"/>
    <s v="Pending"/>
    <s v="TRK79451491"/>
    <n v="7"/>
    <x v="3"/>
    <x v="2"/>
    <n v="1363.85"/>
  </r>
  <r>
    <s v="ORD200143"/>
    <d v="2024-06-13T00:00:00"/>
    <s v="C66521"/>
    <s v="Chair"/>
    <n v="4"/>
    <n v="400.07"/>
    <s v="933 Main St"/>
    <x v="1"/>
    <s v="Shipped"/>
    <s v="TRK34654244"/>
    <n v="5"/>
    <x v="2"/>
    <x v="1"/>
    <n v="1600.28"/>
  </r>
  <r>
    <s v="ORD200144"/>
    <d v="2023-08-04T00:00:00"/>
    <s v="C63365"/>
    <s v="Desk"/>
    <n v="5"/>
    <n v="219.78"/>
    <s v="895 Main St"/>
    <x v="2"/>
    <s v="Pending"/>
    <s v="TRK80100887"/>
    <n v="8"/>
    <x v="2"/>
    <x v="3"/>
    <n v="1098.9000000000001"/>
  </r>
  <r>
    <s v="ORD200145"/>
    <d v="2024-03-02T00:00:00"/>
    <s v="C85929"/>
    <s v="Printer"/>
    <n v="3"/>
    <n v="146.91"/>
    <s v="798 Main St"/>
    <x v="2"/>
    <s v="Delivered"/>
    <s v="TRK29318610"/>
    <n v="6"/>
    <x v="1"/>
    <x v="4"/>
    <n v="440.73"/>
  </r>
  <r>
    <s v="ORD200146"/>
    <d v="2025-04-30T00:00:00"/>
    <s v="C84645"/>
    <s v="Tablet"/>
    <n v="2"/>
    <n v="411.49"/>
    <s v="404 Main St"/>
    <x v="2"/>
    <s v="Returned"/>
    <s v="TRK68893369"/>
    <n v="4"/>
    <x v="2"/>
    <x v="0"/>
    <n v="822.98"/>
  </r>
  <r>
    <s v="ORD200147"/>
    <d v="2025-05-06T00:00:00"/>
    <s v="C46316"/>
    <s v="Laptop"/>
    <n v="2"/>
    <n v="465.18"/>
    <s v="893 Main St"/>
    <x v="2"/>
    <s v="Cancelled"/>
    <s v="TRK16196000"/>
    <n v="2"/>
    <x v="0"/>
    <x v="4"/>
    <n v="930.36"/>
  </r>
  <r>
    <s v="ORD200148"/>
    <d v="2024-12-15T00:00:00"/>
    <s v="C35100"/>
    <s v="Phone"/>
    <n v="2"/>
    <n v="319.91000000000003"/>
    <s v="139 Main St"/>
    <x v="2"/>
    <s v="Cancelled"/>
    <s v="TRK56853491"/>
    <n v="3"/>
    <x v="3"/>
    <x v="4"/>
    <n v="639.82000000000005"/>
  </r>
  <r>
    <s v="ORD200149"/>
    <d v="2023-12-27T00:00:00"/>
    <s v="C39671"/>
    <s v="Laptop"/>
    <n v="1"/>
    <n v="217.56"/>
    <s v="174 Main St"/>
    <x v="0"/>
    <s v="Delivered"/>
    <s v="TRK47153818"/>
    <n v="3"/>
    <x v="2"/>
    <x v="3"/>
    <n v="217.56"/>
  </r>
  <r>
    <s v="ORD200150"/>
    <d v="2023-12-13T00:00:00"/>
    <s v="C25503"/>
    <s v="Phone"/>
    <n v="2"/>
    <n v="105.57"/>
    <s v="981 Main St"/>
    <x v="0"/>
    <s v="Returned"/>
    <s v="TRK29878837"/>
    <n v="5"/>
    <x v="3"/>
    <x v="4"/>
    <n v="211.14"/>
  </r>
  <r>
    <s v="ORD200151"/>
    <d v="2023-12-01T00:00:00"/>
    <s v="C32960"/>
    <s v="Printer"/>
    <n v="5"/>
    <n v="444.76"/>
    <s v="947 Main St"/>
    <x v="0"/>
    <s v="Returned"/>
    <s v="TRK91226500"/>
    <n v="7"/>
    <x v="2"/>
    <x v="2"/>
    <n v="2223.8000000000002"/>
  </r>
  <r>
    <s v="ORD200152"/>
    <d v="2025-01-02T00:00:00"/>
    <s v="C77736"/>
    <s v="Chair"/>
    <n v="2"/>
    <n v="399.04"/>
    <s v="659 Main St"/>
    <x v="4"/>
    <s v="Cancelled"/>
    <s v="TRK90329250"/>
    <n v="3"/>
    <x v="1"/>
    <x v="1"/>
    <n v="798.08"/>
  </r>
  <r>
    <s v="ORD200153"/>
    <d v="2024-12-18T00:00:00"/>
    <s v="C71570"/>
    <s v="Chair"/>
    <n v="4"/>
    <n v="534.48"/>
    <s v="437 Main St"/>
    <x v="1"/>
    <s v="Returned"/>
    <s v="TRK95992269"/>
    <n v="9"/>
    <x v="3"/>
    <x v="0"/>
    <n v="2137.92"/>
  </r>
  <r>
    <s v="ORD200154"/>
    <d v="2023-07-20T00:00:00"/>
    <s v="C73587"/>
    <s v="Phone"/>
    <n v="4"/>
    <n v="408.21"/>
    <s v="727 Main St"/>
    <x v="2"/>
    <s v="Pending"/>
    <s v="TRK13955543"/>
    <n v="9"/>
    <x v="2"/>
    <x v="0"/>
    <n v="1632.84"/>
  </r>
  <r>
    <s v="ORD200155"/>
    <d v="2023-02-27T00:00:00"/>
    <s v="C62740"/>
    <s v="Phone"/>
    <n v="1"/>
    <n v="424.4"/>
    <s v="446 Main St"/>
    <x v="1"/>
    <s v="Shipped"/>
    <s v="TRK20706408"/>
    <n v="6"/>
    <x v="3"/>
    <x v="1"/>
    <n v="424.4"/>
  </r>
  <r>
    <s v="ORD200156"/>
    <d v="2024-11-08T00:00:00"/>
    <s v="C58808"/>
    <s v="Chair"/>
    <n v="2"/>
    <n v="269.83"/>
    <s v="651 Main St"/>
    <x v="1"/>
    <s v="Delivered"/>
    <s v="TRK24451893"/>
    <n v="4"/>
    <x v="0"/>
    <x v="2"/>
    <n v="539.66"/>
  </r>
  <r>
    <s v="ORD200157"/>
    <d v="2025-02-21T00:00:00"/>
    <s v="C50422"/>
    <s v="Monitor"/>
    <n v="2"/>
    <n v="564.58000000000004"/>
    <s v="636 Main St"/>
    <x v="1"/>
    <s v="Returned"/>
    <s v="TRK71227815"/>
    <n v="4"/>
    <x v="3"/>
    <x v="3"/>
    <n v="1129.1600000000001"/>
  </r>
  <r>
    <s v="ORD200158"/>
    <d v="2024-05-16T00:00:00"/>
    <s v="C23334"/>
    <s v="Tablet"/>
    <n v="1"/>
    <n v="331.06"/>
    <s v="737 Main St"/>
    <x v="2"/>
    <s v="Pending"/>
    <s v="TRK46335144"/>
    <n v="5"/>
    <x v="3"/>
    <x v="0"/>
    <n v="331.06"/>
  </r>
  <r>
    <s v="ORD200159"/>
    <d v="2023-10-31T00:00:00"/>
    <s v="C48965"/>
    <s v="Printer"/>
    <n v="1"/>
    <n v="299.35000000000002"/>
    <s v="819 Main St"/>
    <x v="2"/>
    <s v="Cancelled"/>
    <s v="TRK50921780"/>
    <n v="5"/>
    <x v="3"/>
    <x v="2"/>
    <n v="299.35000000000002"/>
  </r>
  <r>
    <s v="ORD200160"/>
    <d v="2023-02-17T00:00:00"/>
    <s v="C38669"/>
    <s v="Monitor"/>
    <n v="4"/>
    <n v="101.32"/>
    <s v="240 Main St"/>
    <x v="4"/>
    <s v="Pending"/>
    <s v="TRK81738254"/>
    <n v="7"/>
    <x v="2"/>
    <x v="1"/>
    <n v="405.28"/>
  </r>
  <r>
    <s v="ORD200161"/>
    <d v="2024-03-29T00:00:00"/>
    <s v="C35091"/>
    <s v="Monitor"/>
    <n v="1"/>
    <n v="211.14"/>
    <s v="513 Main St"/>
    <x v="2"/>
    <s v="Cancelled"/>
    <s v="TRK53784452"/>
    <n v="1"/>
    <x v="0"/>
    <x v="3"/>
    <n v="211.14"/>
  </r>
  <r>
    <s v="ORD200162"/>
    <d v="2023-07-27T00:00:00"/>
    <s v="C82313"/>
    <s v="Chair"/>
    <n v="3"/>
    <n v="65.86"/>
    <s v="917 Main St"/>
    <x v="1"/>
    <s v="Pending"/>
    <s v="TRK79854624"/>
    <n v="8"/>
    <x v="3"/>
    <x v="4"/>
    <n v="197.58"/>
  </r>
  <r>
    <s v="ORD200163"/>
    <d v="2025-06-24T00:00:00"/>
    <s v="C99589"/>
    <s v="Tablet"/>
    <n v="1"/>
    <n v="641.39"/>
    <s v="277 Main St"/>
    <x v="1"/>
    <s v="Cancelled"/>
    <s v="TRK16695001"/>
    <n v="1"/>
    <x v="2"/>
    <x v="1"/>
    <n v="641.39"/>
  </r>
  <r>
    <s v="ORD200164"/>
    <d v="2023-12-28T00:00:00"/>
    <s v="C70566"/>
    <s v="Desk"/>
    <n v="5"/>
    <n v="536.58000000000004"/>
    <s v="667 Main St"/>
    <x v="3"/>
    <s v="Pending"/>
    <s v="TRK49673411"/>
    <n v="5"/>
    <x v="0"/>
    <x v="4"/>
    <n v="2682.9"/>
  </r>
  <r>
    <s v="ORD200165"/>
    <d v="2024-09-14T00:00:00"/>
    <s v="C60355"/>
    <s v="Monitor"/>
    <n v="2"/>
    <n v="500.29"/>
    <s v="226 Main St"/>
    <x v="1"/>
    <s v="Returned"/>
    <s v="TRK30155194"/>
    <n v="7"/>
    <x v="3"/>
    <x v="4"/>
    <n v="1000.58"/>
  </r>
  <r>
    <s v="ORD200166"/>
    <d v="2025-03-04T00:00:00"/>
    <s v="C28889"/>
    <s v="Chair"/>
    <n v="3"/>
    <n v="86.29"/>
    <s v="565 Main St"/>
    <x v="4"/>
    <s v="Delivered"/>
    <s v="TRK23791726"/>
    <n v="6"/>
    <x v="3"/>
    <x v="0"/>
    <n v="258.87"/>
  </r>
  <r>
    <s v="ORD200167"/>
    <d v="2023-05-27T00:00:00"/>
    <s v="C88304"/>
    <s v="Chair"/>
    <n v="2"/>
    <n v="384.14"/>
    <s v="219 Main St"/>
    <x v="1"/>
    <s v="Returned"/>
    <s v="TRK44268941"/>
    <n v="2"/>
    <x v="3"/>
    <x v="2"/>
    <n v="768.28"/>
  </r>
  <r>
    <s v="ORD200168"/>
    <d v="2025-01-04T00:00:00"/>
    <s v="C49517"/>
    <s v="Printer"/>
    <n v="1"/>
    <n v="594.96"/>
    <s v="878 Main St"/>
    <x v="4"/>
    <s v="Returned"/>
    <s v="TRK78551375"/>
    <n v="6"/>
    <x v="2"/>
    <x v="3"/>
    <n v="594.96"/>
  </r>
  <r>
    <s v="ORD200169"/>
    <d v="2024-04-07T00:00:00"/>
    <s v="C35785"/>
    <s v="Printer"/>
    <n v="1"/>
    <n v="427.82"/>
    <s v="732 Main St"/>
    <x v="1"/>
    <s v="Delivered"/>
    <s v="TRK78923089"/>
    <n v="2"/>
    <x v="3"/>
    <x v="2"/>
    <n v="427.82"/>
  </r>
  <r>
    <s v="ORD200170"/>
    <d v="2025-04-04T00:00:00"/>
    <s v="C80223"/>
    <s v="Desk"/>
    <n v="4"/>
    <n v="662.94"/>
    <s v="535 Main St"/>
    <x v="4"/>
    <s v="Cancelled"/>
    <s v="TRK68632951"/>
    <n v="8"/>
    <x v="0"/>
    <x v="0"/>
    <n v="2651.76"/>
  </r>
  <r>
    <s v="ORD200171"/>
    <d v="2023-08-15T00:00:00"/>
    <s v="C20448"/>
    <s v="Tablet"/>
    <n v="2"/>
    <n v="148.22"/>
    <s v="336 Main St"/>
    <x v="2"/>
    <s v="Delivered"/>
    <s v="TRK67379895"/>
    <n v="7"/>
    <x v="3"/>
    <x v="0"/>
    <n v="296.44"/>
  </r>
  <r>
    <s v="ORD200172"/>
    <d v="2025-04-06T00:00:00"/>
    <s v="C34134"/>
    <s v="Printer"/>
    <n v="1"/>
    <n v="254.12"/>
    <s v="365 Main St"/>
    <x v="1"/>
    <s v="Delivered"/>
    <s v="TRK43074303"/>
    <n v="1"/>
    <x v="3"/>
    <x v="2"/>
    <n v="254.12"/>
  </r>
  <r>
    <s v="ORD200173"/>
    <d v="2024-03-24T00:00:00"/>
    <s v="C95901"/>
    <s v="Phone"/>
    <n v="3"/>
    <n v="664.46"/>
    <s v="806 Main St"/>
    <x v="1"/>
    <s v="Delivered"/>
    <s v="TRK56989066"/>
    <n v="4"/>
    <x v="1"/>
    <x v="4"/>
    <n v="1993.38"/>
  </r>
  <r>
    <s v="ORD200174"/>
    <d v="2024-04-16T00:00:00"/>
    <s v="C51145"/>
    <s v="Printer"/>
    <n v="4"/>
    <n v="600.80999999999995"/>
    <s v="790 Main St"/>
    <x v="0"/>
    <s v="Delivered"/>
    <s v="TRK59154274"/>
    <n v="9"/>
    <x v="0"/>
    <x v="2"/>
    <n v="2403.2399999999998"/>
  </r>
  <r>
    <s v="ORD200175"/>
    <d v="2025-02-08T00:00:00"/>
    <s v="C78170"/>
    <s v="Chair"/>
    <n v="5"/>
    <n v="68.34"/>
    <s v="332 Main St"/>
    <x v="0"/>
    <s v="Pending"/>
    <s v="TRK71410605"/>
    <n v="6"/>
    <x v="3"/>
    <x v="1"/>
    <n v="341.7"/>
  </r>
  <r>
    <s v="ORD200176"/>
    <d v="2025-06-28T00:00:00"/>
    <s v="C80151"/>
    <s v="Tablet"/>
    <n v="4"/>
    <n v="430.83"/>
    <s v="553 Main St"/>
    <x v="3"/>
    <s v="Pending"/>
    <s v="TRK88251529"/>
    <n v="8"/>
    <x v="3"/>
    <x v="1"/>
    <n v="1723.32"/>
  </r>
  <r>
    <s v="ORD200177"/>
    <d v="2023-08-05T00:00:00"/>
    <s v="C55632"/>
    <s v="Chair"/>
    <n v="5"/>
    <n v="431.69"/>
    <s v="354 Main St"/>
    <x v="2"/>
    <s v="Pending"/>
    <s v="TRK13003066"/>
    <n v="10"/>
    <x v="2"/>
    <x v="3"/>
    <n v="2158.4499999999998"/>
  </r>
  <r>
    <s v="ORD200178"/>
    <d v="2024-04-11T00:00:00"/>
    <s v="C53070"/>
    <s v="Chair"/>
    <n v="4"/>
    <n v="512.05999999999995"/>
    <s v="283 Main St"/>
    <x v="1"/>
    <s v="Delivered"/>
    <s v="TRK49791755"/>
    <n v="5"/>
    <x v="0"/>
    <x v="4"/>
    <n v="2048.2399999999998"/>
  </r>
  <r>
    <s v="ORD200179"/>
    <d v="2024-11-24T00:00:00"/>
    <s v="C27401"/>
    <s v="Laptop"/>
    <n v="3"/>
    <n v="539.91"/>
    <s v="500 Main St"/>
    <x v="2"/>
    <s v="Delivered"/>
    <s v="TRK14332053"/>
    <n v="8"/>
    <x v="2"/>
    <x v="2"/>
    <n v="1619.73"/>
  </r>
  <r>
    <s v="ORD200180"/>
    <d v="2023-03-18T00:00:00"/>
    <s v="C87216"/>
    <s v="Tablet"/>
    <n v="5"/>
    <n v="316.07"/>
    <s v="970 Main St"/>
    <x v="4"/>
    <s v="Returned"/>
    <s v="TRK18713727"/>
    <n v="10"/>
    <x v="2"/>
    <x v="4"/>
    <n v="1580.35"/>
  </r>
  <r>
    <s v="ORD200181"/>
    <d v="2024-08-31T00:00:00"/>
    <s v="C38966"/>
    <s v="Printer"/>
    <n v="5"/>
    <n v="404.39"/>
    <s v="247 Main St"/>
    <x v="1"/>
    <s v="Shipped"/>
    <s v="TRK17205146"/>
    <n v="10"/>
    <x v="2"/>
    <x v="1"/>
    <n v="2021.95"/>
  </r>
  <r>
    <s v="ORD200182"/>
    <d v="2025-03-19T00:00:00"/>
    <s v="C16612"/>
    <s v="Desk"/>
    <n v="1"/>
    <n v="600.54"/>
    <s v="596 Main St"/>
    <x v="0"/>
    <s v="Pending"/>
    <s v="TRK96188223"/>
    <n v="4"/>
    <x v="3"/>
    <x v="4"/>
    <n v="600.54"/>
  </r>
  <r>
    <s v="ORD200183"/>
    <d v="2024-04-18T00:00:00"/>
    <s v="C39246"/>
    <s v="Monitor"/>
    <n v="5"/>
    <n v="186.28"/>
    <s v="258 Main St"/>
    <x v="0"/>
    <s v="Delivered"/>
    <s v="TRK16658182"/>
    <n v="8"/>
    <x v="0"/>
    <x v="2"/>
    <n v="931.4"/>
  </r>
  <r>
    <s v="ORD200184"/>
    <d v="2024-04-04T00:00:00"/>
    <s v="C65180"/>
    <s v="Tablet"/>
    <n v="4"/>
    <n v="214.54"/>
    <s v="231 Main St"/>
    <x v="3"/>
    <s v="Cancelled"/>
    <s v="TRK39255469"/>
    <n v="7"/>
    <x v="2"/>
    <x v="1"/>
    <n v="858.16"/>
  </r>
  <r>
    <s v="ORD200185"/>
    <d v="2025-02-02T00:00:00"/>
    <s v="C46877"/>
    <s v="Laptop"/>
    <n v="1"/>
    <n v="210.7"/>
    <s v="572 Main St"/>
    <x v="1"/>
    <s v="Shipped"/>
    <s v="TRK96935978"/>
    <n v="2"/>
    <x v="3"/>
    <x v="1"/>
    <n v="210.7"/>
  </r>
  <r>
    <s v="ORD200186"/>
    <d v="2023-12-07T00:00:00"/>
    <s v="C30334"/>
    <s v="Phone"/>
    <n v="2"/>
    <n v="133.55000000000001"/>
    <s v="322 Main St"/>
    <x v="4"/>
    <s v="Pending"/>
    <s v="TRK66388885"/>
    <n v="7"/>
    <x v="1"/>
    <x v="3"/>
    <n v="267.10000000000002"/>
  </r>
  <r>
    <s v="ORD200187"/>
    <d v="2023-02-08T00:00:00"/>
    <s v="C21227"/>
    <s v="Chair"/>
    <n v="1"/>
    <n v="590.87"/>
    <s v="689 Main St"/>
    <x v="3"/>
    <s v="Returned"/>
    <s v="TRK79129657"/>
    <n v="6"/>
    <x v="1"/>
    <x v="1"/>
    <n v="590.87"/>
  </r>
  <r>
    <s v="ORD200188"/>
    <d v="2025-03-15T00:00:00"/>
    <s v="C97715"/>
    <s v="Chair"/>
    <n v="2"/>
    <n v="363.91"/>
    <s v="927 Main St"/>
    <x v="3"/>
    <s v="Shipped"/>
    <s v="TRK19515949"/>
    <n v="2"/>
    <x v="1"/>
    <x v="1"/>
    <n v="727.82"/>
  </r>
  <r>
    <s v="ORD200189"/>
    <d v="2023-07-05T00:00:00"/>
    <s v="C48939"/>
    <s v="Printer"/>
    <n v="5"/>
    <n v="429.45"/>
    <s v="597 Main St"/>
    <x v="3"/>
    <s v="Cancelled"/>
    <s v="TRK62786764"/>
    <n v="5"/>
    <x v="3"/>
    <x v="2"/>
    <n v="2147.25"/>
  </r>
  <r>
    <s v="ORD200190"/>
    <d v="2024-08-31T00:00:00"/>
    <s v="C35483"/>
    <s v="Printer"/>
    <n v="3"/>
    <n v="223.7"/>
    <s v="725 Main St"/>
    <x v="4"/>
    <s v="Returned"/>
    <s v="TRK79638203"/>
    <n v="3"/>
    <x v="0"/>
    <x v="2"/>
    <n v="671.09999999999991"/>
  </r>
  <r>
    <s v="ORD200191"/>
    <d v="2025-03-08T00:00:00"/>
    <s v="C51494"/>
    <s v="Laptop"/>
    <n v="2"/>
    <n v="488.87"/>
    <s v="505 Main St"/>
    <x v="1"/>
    <s v="Cancelled"/>
    <s v="TRK58520306"/>
    <n v="4"/>
    <x v="1"/>
    <x v="4"/>
    <n v="977.74"/>
  </r>
  <r>
    <s v="ORD200192"/>
    <d v="2023-08-11T00:00:00"/>
    <s v="C58410"/>
    <s v="Desk"/>
    <n v="1"/>
    <n v="645.46"/>
    <s v="151 Main St"/>
    <x v="3"/>
    <s v="Cancelled"/>
    <s v="TRK19749672"/>
    <n v="5"/>
    <x v="0"/>
    <x v="4"/>
    <n v="645.46"/>
  </r>
  <r>
    <s v="ORD200193"/>
    <d v="2023-07-21T00:00:00"/>
    <s v="C11644"/>
    <s v="Printer"/>
    <n v="1"/>
    <n v="46.66"/>
    <s v="429 Main St"/>
    <x v="4"/>
    <s v="Cancelled"/>
    <s v="TRK81320339"/>
    <n v="6"/>
    <x v="2"/>
    <x v="4"/>
    <n v="46.66"/>
  </r>
  <r>
    <s v="ORD200194"/>
    <d v="2024-06-08T00:00:00"/>
    <s v="C53501"/>
    <s v="Monitor"/>
    <n v="1"/>
    <n v="249.57"/>
    <s v="899 Main St"/>
    <x v="4"/>
    <s v="Shipped"/>
    <s v="TRK90144892"/>
    <n v="3"/>
    <x v="1"/>
    <x v="4"/>
    <n v="249.57"/>
  </r>
  <r>
    <s v="ORD200195"/>
    <d v="2024-04-22T00:00:00"/>
    <s v="C63619"/>
    <s v="Chair"/>
    <n v="3"/>
    <n v="619.21"/>
    <s v="801 Main St"/>
    <x v="0"/>
    <s v="Cancelled"/>
    <s v="TRK65385674"/>
    <n v="6"/>
    <x v="2"/>
    <x v="2"/>
    <n v="1857.63"/>
  </r>
  <r>
    <s v="ORD200196"/>
    <d v="2025-01-24T00:00:00"/>
    <s v="C40882"/>
    <s v="Desk"/>
    <n v="4"/>
    <n v="217.13"/>
    <s v="719 Main St"/>
    <x v="4"/>
    <s v="Delivered"/>
    <s v="TRK64165503"/>
    <n v="8"/>
    <x v="3"/>
    <x v="2"/>
    <n v="868.52"/>
  </r>
  <r>
    <s v="ORD200197"/>
    <d v="2023-08-27T00:00:00"/>
    <s v="C80135"/>
    <s v="Laptop"/>
    <n v="5"/>
    <n v="221.51"/>
    <s v="723 Main St"/>
    <x v="4"/>
    <s v="Returned"/>
    <s v="TRK95222269"/>
    <n v="5"/>
    <x v="3"/>
    <x v="1"/>
    <n v="1107.55"/>
  </r>
  <r>
    <s v="ORD200198"/>
    <d v="2024-06-11T00:00:00"/>
    <s v="C37594"/>
    <s v="Laptop"/>
    <n v="4"/>
    <n v="340.3"/>
    <s v="926 Main St"/>
    <x v="4"/>
    <s v="Cancelled"/>
    <s v="TRK94405162"/>
    <n v="8"/>
    <x v="0"/>
    <x v="1"/>
    <n v="1361.2"/>
  </r>
  <r>
    <s v="ORD200199"/>
    <d v="2025-01-23T00:00:00"/>
    <s v="C87524"/>
    <s v="Phone"/>
    <n v="1"/>
    <n v="625"/>
    <s v="358 Main St"/>
    <x v="1"/>
    <s v="Returned"/>
    <s v="TRK21114341"/>
    <n v="5"/>
    <x v="3"/>
    <x v="4"/>
    <n v="625"/>
  </r>
  <r>
    <s v="ORD200200"/>
    <d v="2025-06-07T00:00:00"/>
    <s v="C97681"/>
    <s v="Tablet"/>
    <n v="5"/>
    <n v="433.26"/>
    <s v="895 Main St"/>
    <x v="2"/>
    <s v="Delivered"/>
    <s v="TRK37531040"/>
    <n v="9"/>
    <x v="0"/>
    <x v="4"/>
    <n v="2166.3000000000002"/>
  </r>
  <r>
    <s v="ORD200201"/>
    <d v="2023-06-18T00:00:00"/>
    <s v="C10126"/>
    <s v="Monitor"/>
    <n v="2"/>
    <n v="674.9"/>
    <s v="146 Main St"/>
    <x v="1"/>
    <s v="Shipped"/>
    <s v="TRK75607531"/>
    <n v="4"/>
    <x v="0"/>
    <x v="3"/>
    <n v="1349.8"/>
  </r>
  <r>
    <s v="ORD200202"/>
    <d v="2025-02-06T00:00:00"/>
    <s v="C36938"/>
    <s v="Monitor"/>
    <n v="3"/>
    <n v="253.98"/>
    <s v="636 Main St"/>
    <x v="2"/>
    <s v="Cancelled"/>
    <s v="TRK52522904"/>
    <n v="3"/>
    <x v="1"/>
    <x v="2"/>
    <n v="761.93999999999994"/>
  </r>
  <r>
    <s v="ORD200203"/>
    <d v="2025-01-21T00:00:00"/>
    <s v="C99173"/>
    <s v="Printer"/>
    <n v="3"/>
    <n v="356.84"/>
    <s v="172 Main St"/>
    <x v="1"/>
    <s v="Shipped"/>
    <s v="TRK89849342"/>
    <n v="5"/>
    <x v="0"/>
    <x v="0"/>
    <n v="1070.52"/>
  </r>
  <r>
    <s v="ORD200204"/>
    <d v="2023-09-05T00:00:00"/>
    <s v="C99775"/>
    <s v="Laptop"/>
    <n v="4"/>
    <n v="413.71"/>
    <s v="478 Main St"/>
    <x v="3"/>
    <s v="Cancelled"/>
    <s v="TRK21638425"/>
    <n v="9"/>
    <x v="1"/>
    <x v="3"/>
    <n v="1654.84"/>
  </r>
  <r>
    <s v="ORD200205"/>
    <d v="2023-03-04T00:00:00"/>
    <s v="C19266"/>
    <s v="Desk"/>
    <n v="3"/>
    <n v="147.38999999999999"/>
    <s v="609 Main St"/>
    <x v="0"/>
    <s v="Returned"/>
    <s v="TRK58357269"/>
    <n v="3"/>
    <x v="2"/>
    <x v="2"/>
    <n v="442.17"/>
  </r>
  <r>
    <s v="ORD200206"/>
    <d v="2024-04-16T00:00:00"/>
    <s v="C31072"/>
    <s v="Laptop"/>
    <n v="4"/>
    <n v="229.1"/>
    <s v="729 Main St"/>
    <x v="3"/>
    <s v="Returned"/>
    <s v="TRK77172975"/>
    <n v="8"/>
    <x v="3"/>
    <x v="2"/>
    <n v="916.4"/>
  </r>
  <r>
    <s v="ORD200207"/>
    <d v="2025-03-18T00:00:00"/>
    <s v="C54595"/>
    <s v="Phone"/>
    <n v="1"/>
    <n v="121.96"/>
    <s v="999 Main St"/>
    <x v="0"/>
    <s v="Delivered"/>
    <s v="TRK44416659"/>
    <n v="3"/>
    <x v="2"/>
    <x v="4"/>
    <n v="121.96"/>
  </r>
  <r>
    <s v="ORD200208"/>
    <d v="2024-10-08T00:00:00"/>
    <s v="C87777"/>
    <s v="Desk"/>
    <n v="2"/>
    <n v="408.32"/>
    <s v="597 Main St"/>
    <x v="1"/>
    <s v="Shipped"/>
    <s v="TRK29003608"/>
    <n v="3"/>
    <x v="1"/>
    <x v="3"/>
    <n v="816.64"/>
  </r>
  <r>
    <s v="ORD200209"/>
    <d v="2023-08-29T00:00:00"/>
    <s v="C35854"/>
    <s v="Tablet"/>
    <n v="5"/>
    <n v="187.97"/>
    <s v="706 Main St"/>
    <x v="4"/>
    <s v="Returned"/>
    <s v="TRK30615168"/>
    <n v="9"/>
    <x v="0"/>
    <x v="4"/>
    <n v="939.85"/>
  </r>
  <r>
    <s v="ORD200210"/>
    <d v="2024-12-05T00:00:00"/>
    <s v="C93821"/>
    <s v="Chair"/>
    <n v="3"/>
    <n v="358.48"/>
    <s v="513 Main St"/>
    <x v="3"/>
    <s v="Delivered"/>
    <s v="TRK10658539"/>
    <n v="7"/>
    <x v="1"/>
    <x v="3"/>
    <n v="1075.44"/>
  </r>
  <r>
    <s v="ORD200211"/>
    <d v="2025-01-03T00:00:00"/>
    <s v="C54390"/>
    <s v="Printer"/>
    <n v="3"/>
    <n v="193.58"/>
    <s v="185 Main St"/>
    <x v="3"/>
    <s v="Pending"/>
    <s v="TRK83853742"/>
    <n v="7"/>
    <x v="1"/>
    <x v="2"/>
    <n v="580.74"/>
  </r>
  <r>
    <s v="ORD200212"/>
    <d v="2023-06-20T00:00:00"/>
    <s v="C53215"/>
    <s v="Monitor"/>
    <n v="1"/>
    <n v="265.38"/>
    <s v="367 Main St"/>
    <x v="2"/>
    <s v="Cancelled"/>
    <s v="TRK34751835"/>
    <n v="6"/>
    <x v="3"/>
    <x v="2"/>
    <n v="265.38"/>
  </r>
  <r>
    <s v="ORD200213"/>
    <d v="2023-04-20T00:00:00"/>
    <s v="C71122"/>
    <s v="Laptop"/>
    <n v="1"/>
    <n v="634.4"/>
    <s v="317 Main St"/>
    <x v="4"/>
    <s v="Cancelled"/>
    <s v="TRK54757882"/>
    <n v="6"/>
    <x v="0"/>
    <x v="2"/>
    <n v="634.4"/>
  </r>
  <r>
    <s v="ORD200214"/>
    <d v="2024-08-21T00:00:00"/>
    <s v="C29483"/>
    <s v="Desk"/>
    <n v="4"/>
    <n v="305.72000000000003"/>
    <s v="673 Main St"/>
    <x v="1"/>
    <s v="Delivered"/>
    <s v="TRK89423603"/>
    <n v="5"/>
    <x v="2"/>
    <x v="3"/>
    <n v="1222.8800000000001"/>
  </r>
  <r>
    <s v="ORD200215"/>
    <d v="2023-08-10T00:00:00"/>
    <s v="C26767"/>
    <s v="Printer"/>
    <n v="1"/>
    <n v="303.60000000000002"/>
    <s v="432 Main St"/>
    <x v="4"/>
    <s v="Shipped"/>
    <s v="TRK24585307"/>
    <n v="5"/>
    <x v="1"/>
    <x v="3"/>
    <n v="303.60000000000002"/>
  </r>
  <r>
    <s v="ORD200216"/>
    <d v="2025-04-15T00:00:00"/>
    <s v="C70492"/>
    <s v="Monitor"/>
    <n v="4"/>
    <n v="496"/>
    <s v="811 Main St"/>
    <x v="1"/>
    <s v="Cancelled"/>
    <s v="TRK84625405"/>
    <n v="8"/>
    <x v="3"/>
    <x v="4"/>
    <n v="1984"/>
  </r>
  <r>
    <s v="ORD200217"/>
    <d v="2024-05-20T00:00:00"/>
    <s v="C61549"/>
    <s v="Desk"/>
    <n v="4"/>
    <n v="321.51"/>
    <s v="908 Main St"/>
    <x v="4"/>
    <s v="Returned"/>
    <s v="TRK65596914"/>
    <n v="9"/>
    <x v="2"/>
    <x v="4"/>
    <n v="1286.04"/>
  </r>
  <r>
    <s v="ORD200218"/>
    <d v="2023-04-28T00:00:00"/>
    <s v="C11665"/>
    <s v="Tablet"/>
    <n v="3"/>
    <n v="112.46"/>
    <s v="882 Main St"/>
    <x v="3"/>
    <s v="Shipped"/>
    <s v="TRK10993930"/>
    <n v="6"/>
    <x v="0"/>
    <x v="0"/>
    <n v="337.38"/>
  </r>
  <r>
    <s v="ORD200219"/>
    <d v="2025-05-02T00:00:00"/>
    <s v="C48946"/>
    <s v="Laptop"/>
    <n v="5"/>
    <n v="61.97"/>
    <s v="457 Main St"/>
    <x v="4"/>
    <s v="Delivered"/>
    <s v="TRK99387220"/>
    <n v="6"/>
    <x v="0"/>
    <x v="2"/>
    <n v="309.85000000000002"/>
  </r>
  <r>
    <s v="ORD200220"/>
    <d v="2023-07-18T00:00:00"/>
    <s v="C79506"/>
    <s v="Laptop"/>
    <n v="2"/>
    <n v="373.17"/>
    <s v="497 Main St"/>
    <x v="2"/>
    <s v="Pending"/>
    <s v="TRK95188748"/>
    <n v="6"/>
    <x v="0"/>
    <x v="1"/>
    <n v="746.34"/>
  </r>
  <r>
    <s v="ORD200221"/>
    <d v="2024-02-23T00:00:00"/>
    <s v="C93473"/>
    <s v="Tablet"/>
    <n v="5"/>
    <n v="639.37"/>
    <s v="552 Main St"/>
    <x v="0"/>
    <s v="Pending"/>
    <s v="TRK50003989"/>
    <n v="6"/>
    <x v="0"/>
    <x v="4"/>
    <n v="3196.85"/>
  </r>
  <r>
    <s v="ORD200222"/>
    <d v="2023-05-04T00:00:00"/>
    <s v="C43124"/>
    <s v="Chair"/>
    <n v="4"/>
    <n v="693.36"/>
    <s v="931 Main St"/>
    <x v="1"/>
    <s v="Shipped"/>
    <s v="TRK17293348"/>
    <n v="8"/>
    <x v="2"/>
    <x v="0"/>
    <n v="2773.44"/>
  </r>
  <r>
    <s v="ORD200223"/>
    <d v="2024-09-11T00:00:00"/>
    <s v="C22783"/>
    <s v="Phone"/>
    <n v="4"/>
    <n v="692.91"/>
    <s v="673 Main St"/>
    <x v="2"/>
    <s v="Pending"/>
    <s v="TRK55009149"/>
    <n v="9"/>
    <x v="0"/>
    <x v="0"/>
    <n v="2771.64"/>
  </r>
  <r>
    <s v="ORD200224"/>
    <d v="2023-09-23T00:00:00"/>
    <s v="C18567"/>
    <s v="Printer"/>
    <n v="4"/>
    <n v="91.46"/>
    <s v="507 Main St"/>
    <x v="4"/>
    <s v="Cancelled"/>
    <s v="TRK17554673"/>
    <n v="9"/>
    <x v="0"/>
    <x v="1"/>
    <n v="365.84"/>
  </r>
  <r>
    <s v="ORD200225"/>
    <d v="2024-03-13T00:00:00"/>
    <s v="C99879"/>
    <s v="Phone"/>
    <n v="3"/>
    <n v="273.95999999999998"/>
    <s v="692 Main St"/>
    <x v="0"/>
    <s v="Returned"/>
    <s v="TRK50246700"/>
    <n v="8"/>
    <x v="0"/>
    <x v="4"/>
    <n v="821.87999999999988"/>
  </r>
  <r>
    <s v="ORD200226"/>
    <d v="2025-06-27T00:00:00"/>
    <s v="C31501"/>
    <s v="Desk"/>
    <n v="3"/>
    <n v="588.04999999999995"/>
    <s v="242 Main St"/>
    <x v="3"/>
    <s v="Delivered"/>
    <s v="TRK93063929"/>
    <n v="8"/>
    <x v="2"/>
    <x v="0"/>
    <n v="1764.15"/>
  </r>
  <r>
    <s v="ORD200227"/>
    <d v="2023-11-02T00:00:00"/>
    <s v="C93220"/>
    <s v="Monitor"/>
    <n v="2"/>
    <n v="365.17"/>
    <s v="353 Main St"/>
    <x v="1"/>
    <s v="Cancelled"/>
    <s v="TRK89023251"/>
    <n v="4"/>
    <x v="1"/>
    <x v="3"/>
    <n v="730.34"/>
  </r>
  <r>
    <s v="ORD200228"/>
    <d v="2023-05-17T00:00:00"/>
    <s v="C57867"/>
    <s v="Chair"/>
    <n v="4"/>
    <n v="385.92"/>
    <s v="579 Main St"/>
    <x v="2"/>
    <s v="Cancelled"/>
    <s v="TRK92055007"/>
    <n v="8"/>
    <x v="2"/>
    <x v="0"/>
    <n v="1543.68"/>
  </r>
  <r>
    <s v="ORD200229"/>
    <d v="2025-03-28T00:00:00"/>
    <s v="C62622"/>
    <s v="Tablet"/>
    <n v="1"/>
    <n v="562.61"/>
    <s v="762 Main St"/>
    <x v="2"/>
    <s v="Delivered"/>
    <s v="TRK70997648"/>
    <n v="3"/>
    <x v="3"/>
    <x v="3"/>
    <n v="562.61"/>
  </r>
  <r>
    <s v="ORD200230"/>
    <d v="2023-12-16T00:00:00"/>
    <s v="C94595"/>
    <s v="Desk"/>
    <n v="4"/>
    <n v="61.91"/>
    <s v="948 Main St"/>
    <x v="3"/>
    <s v="Delivered"/>
    <s v="TRK24497305"/>
    <n v="6"/>
    <x v="3"/>
    <x v="2"/>
    <n v="247.64"/>
  </r>
  <r>
    <s v="ORD200231"/>
    <d v="2023-11-05T00:00:00"/>
    <s v="C30955"/>
    <s v="Phone"/>
    <n v="4"/>
    <n v="41.9"/>
    <s v="327 Main St"/>
    <x v="3"/>
    <s v="Pending"/>
    <s v="TRK46898848"/>
    <n v="9"/>
    <x v="1"/>
    <x v="0"/>
    <n v="167.6"/>
  </r>
  <r>
    <s v="ORD200232"/>
    <d v="2023-05-19T00:00:00"/>
    <s v="C20731"/>
    <s v="Printer"/>
    <n v="4"/>
    <n v="444.44"/>
    <s v="610 Main St"/>
    <x v="0"/>
    <s v="Cancelled"/>
    <s v="TRK75568437"/>
    <n v="8"/>
    <x v="3"/>
    <x v="4"/>
    <n v="1777.76"/>
  </r>
  <r>
    <s v="ORD200233"/>
    <d v="2024-08-24T00:00:00"/>
    <s v="C30168"/>
    <s v="Phone"/>
    <n v="3"/>
    <n v="311.33"/>
    <s v="146 Main St"/>
    <x v="4"/>
    <s v="Cancelled"/>
    <s v="TRK73699939"/>
    <n v="3"/>
    <x v="3"/>
    <x v="0"/>
    <n v="933.99"/>
  </r>
  <r>
    <s v="ORD200234"/>
    <d v="2024-11-26T00:00:00"/>
    <s v="C79842"/>
    <s v="Printer"/>
    <n v="4"/>
    <n v="236.41"/>
    <s v="337 Main St"/>
    <x v="0"/>
    <s v="Pending"/>
    <s v="TRK26957950"/>
    <n v="7"/>
    <x v="0"/>
    <x v="4"/>
    <n v="945.64"/>
  </r>
  <r>
    <s v="ORD200235"/>
    <d v="2023-02-20T00:00:00"/>
    <s v="C32854"/>
    <s v="Desk"/>
    <n v="1"/>
    <n v="65.45"/>
    <s v="815 Main St"/>
    <x v="4"/>
    <s v="Pending"/>
    <s v="TRK30009218"/>
    <n v="2"/>
    <x v="3"/>
    <x v="4"/>
    <n v="65.45"/>
  </r>
  <r>
    <s v="ORD200236"/>
    <d v="2023-01-01T00:00:00"/>
    <s v="C14847"/>
    <s v="Monitor"/>
    <n v="1"/>
    <n v="318.81"/>
    <s v="562 Main St"/>
    <x v="0"/>
    <s v="Pending"/>
    <s v="TRK39663243"/>
    <n v="3"/>
    <x v="3"/>
    <x v="2"/>
    <n v="318.81"/>
  </r>
  <r>
    <s v="ORD200237"/>
    <d v="2024-03-14T00:00:00"/>
    <s v="C88645"/>
    <s v="Monitor"/>
    <n v="3"/>
    <n v="583.72"/>
    <s v="783 Main St"/>
    <x v="2"/>
    <s v="Shipped"/>
    <s v="TRK74097570"/>
    <n v="5"/>
    <x v="1"/>
    <x v="3"/>
    <n v="1751.16"/>
  </r>
  <r>
    <s v="ORD200238"/>
    <d v="2024-12-13T00:00:00"/>
    <s v="C66149"/>
    <s v="Desk"/>
    <n v="4"/>
    <n v="384.32"/>
    <s v="770 Main St"/>
    <x v="2"/>
    <s v="Pending"/>
    <s v="TRK76307307"/>
    <n v="6"/>
    <x v="3"/>
    <x v="4"/>
    <n v="1537.28"/>
  </r>
  <r>
    <s v="ORD200239"/>
    <d v="2024-12-11T00:00:00"/>
    <s v="C20256"/>
    <s v="Tablet"/>
    <n v="3"/>
    <n v="538.74"/>
    <s v="456 Main St"/>
    <x v="1"/>
    <s v="Shipped"/>
    <s v="TRK71127943"/>
    <n v="6"/>
    <x v="1"/>
    <x v="2"/>
    <n v="1616.22"/>
  </r>
  <r>
    <s v="ORD200240"/>
    <d v="2023-07-12T00:00:00"/>
    <s v="C14983"/>
    <s v="Tablet"/>
    <n v="1"/>
    <n v="17.239999999999998"/>
    <s v="255 Main St"/>
    <x v="1"/>
    <s v="Pending"/>
    <s v="TRK93444157"/>
    <n v="2"/>
    <x v="1"/>
    <x v="0"/>
    <n v="17.239999999999998"/>
  </r>
  <r>
    <s v="ORD200241"/>
    <d v="2023-05-16T00:00:00"/>
    <s v="C20817"/>
    <s v="Chair"/>
    <n v="5"/>
    <n v="615.66999999999996"/>
    <s v="407 Main St"/>
    <x v="1"/>
    <s v="Pending"/>
    <s v="TRK44164590"/>
    <n v="6"/>
    <x v="0"/>
    <x v="2"/>
    <n v="3078.35"/>
  </r>
  <r>
    <s v="ORD200242"/>
    <d v="2023-05-09T00:00:00"/>
    <s v="C94921"/>
    <s v="Printer"/>
    <n v="2"/>
    <n v="219.1"/>
    <s v="134 Main St"/>
    <x v="1"/>
    <s v="Pending"/>
    <s v="TRK97794327"/>
    <n v="4"/>
    <x v="0"/>
    <x v="1"/>
    <n v="438.2"/>
  </r>
  <r>
    <s v="ORD200243"/>
    <d v="2025-05-09T00:00:00"/>
    <s v="C54725"/>
    <s v="Chair"/>
    <n v="2"/>
    <n v="144.66"/>
    <s v="506 Main St"/>
    <x v="1"/>
    <s v="Cancelled"/>
    <s v="TRK30601940"/>
    <n v="7"/>
    <x v="1"/>
    <x v="4"/>
    <n v="289.32"/>
  </r>
  <r>
    <s v="ORD200244"/>
    <d v="2023-02-16T00:00:00"/>
    <s v="C98096"/>
    <s v="Desk"/>
    <n v="2"/>
    <n v="317.77"/>
    <s v="838 Main St"/>
    <x v="0"/>
    <s v="Cancelled"/>
    <s v="TRK51518631"/>
    <n v="4"/>
    <x v="3"/>
    <x v="3"/>
    <n v="635.54"/>
  </r>
  <r>
    <s v="ORD200245"/>
    <d v="2025-04-20T00:00:00"/>
    <s v="C12667"/>
    <s v="Laptop"/>
    <n v="1"/>
    <n v="223.3"/>
    <s v="306 Main St"/>
    <x v="1"/>
    <s v="Returned"/>
    <s v="TRK25390491"/>
    <n v="1"/>
    <x v="2"/>
    <x v="3"/>
    <n v="223.3"/>
  </r>
  <r>
    <s v="ORD200246"/>
    <d v="2024-08-30T00:00:00"/>
    <s v="C55354"/>
    <s v="Desk"/>
    <n v="2"/>
    <n v="342.11"/>
    <s v="164 Main St"/>
    <x v="3"/>
    <s v="Shipped"/>
    <s v="TRK15439493"/>
    <n v="2"/>
    <x v="3"/>
    <x v="0"/>
    <n v="684.22"/>
  </r>
  <r>
    <s v="ORD200247"/>
    <d v="2023-07-20T00:00:00"/>
    <s v="C14600"/>
    <s v="Printer"/>
    <n v="2"/>
    <n v="220.9"/>
    <s v="785 Main St"/>
    <x v="3"/>
    <s v="Shipped"/>
    <s v="TRK84984764"/>
    <n v="4"/>
    <x v="2"/>
    <x v="2"/>
    <n v="441.8"/>
  </r>
  <r>
    <s v="ORD200248"/>
    <d v="2023-07-02T00:00:00"/>
    <s v="C97187"/>
    <s v="Laptop"/>
    <n v="1"/>
    <n v="670.54"/>
    <s v="471 Main St"/>
    <x v="4"/>
    <s v="Shipped"/>
    <s v="TRK62283713"/>
    <n v="6"/>
    <x v="1"/>
    <x v="1"/>
    <n v="670.54"/>
  </r>
  <r>
    <s v="ORD200249"/>
    <d v="2024-02-07T00:00:00"/>
    <s v="C39106"/>
    <s v="Printer"/>
    <n v="1"/>
    <n v="546.19000000000005"/>
    <s v="245 Main St"/>
    <x v="4"/>
    <s v="Pending"/>
    <s v="TRK35464433"/>
    <n v="5"/>
    <x v="1"/>
    <x v="1"/>
    <n v="546.19000000000005"/>
  </r>
  <r>
    <s v="ORD200250"/>
    <d v="2023-04-05T00:00:00"/>
    <s v="C93379"/>
    <s v="Desk"/>
    <n v="3"/>
    <n v="42.95"/>
    <s v="318 Main St"/>
    <x v="3"/>
    <s v="Returned"/>
    <s v="TRK67954150"/>
    <n v="8"/>
    <x v="0"/>
    <x v="2"/>
    <n v="128.85"/>
  </r>
  <r>
    <s v="ORD200251"/>
    <d v="2025-05-15T00:00:00"/>
    <s v="C93175"/>
    <s v="Monitor"/>
    <n v="4"/>
    <n v="14.69"/>
    <s v="814 Main St"/>
    <x v="4"/>
    <s v="Cancelled"/>
    <s v="TRK32995144"/>
    <n v="9"/>
    <x v="2"/>
    <x v="2"/>
    <n v="58.76"/>
  </r>
  <r>
    <s v="ORD200252"/>
    <d v="2024-09-20T00:00:00"/>
    <s v="C19648"/>
    <s v="Phone"/>
    <n v="4"/>
    <n v="668.36"/>
    <s v="821 Main St"/>
    <x v="3"/>
    <s v="Cancelled"/>
    <s v="TRK51297879"/>
    <n v="5"/>
    <x v="1"/>
    <x v="3"/>
    <n v="2673.44"/>
  </r>
  <r>
    <s v="ORD200253"/>
    <d v="2024-03-23T00:00:00"/>
    <s v="C14891"/>
    <s v="Chair"/>
    <n v="4"/>
    <n v="413.74"/>
    <s v="743 Main St"/>
    <x v="3"/>
    <s v="Returned"/>
    <s v="TRK79471534"/>
    <n v="7"/>
    <x v="1"/>
    <x v="0"/>
    <n v="1654.96"/>
  </r>
  <r>
    <s v="ORD200254"/>
    <d v="2023-12-26T00:00:00"/>
    <s v="C10866"/>
    <s v="Monitor"/>
    <n v="3"/>
    <n v="263.19"/>
    <s v="770 Main St"/>
    <x v="1"/>
    <s v="Delivered"/>
    <s v="TRK34809583"/>
    <n v="5"/>
    <x v="2"/>
    <x v="0"/>
    <n v="789.56999999999994"/>
  </r>
  <r>
    <s v="ORD200255"/>
    <d v="2024-05-13T00:00:00"/>
    <s v="C47283"/>
    <s v="Monitor"/>
    <n v="1"/>
    <n v="263.95999999999998"/>
    <s v="806 Main St"/>
    <x v="3"/>
    <s v="Returned"/>
    <s v="TRK56235117"/>
    <n v="2"/>
    <x v="0"/>
    <x v="4"/>
    <n v="263.95999999999998"/>
  </r>
  <r>
    <s v="ORD200256"/>
    <d v="2025-06-30T00:00:00"/>
    <s v="C94323"/>
    <s v="Chair"/>
    <n v="5"/>
    <n v="75.81"/>
    <s v="463 Main St"/>
    <x v="3"/>
    <s v="Returned"/>
    <s v="TRK22663277"/>
    <n v="10"/>
    <x v="3"/>
    <x v="0"/>
    <n v="379.05"/>
  </r>
  <r>
    <s v="ORD200257"/>
    <d v="2024-04-23T00:00:00"/>
    <s v="C89732"/>
    <s v="Phone"/>
    <n v="1"/>
    <n v="406.22"/>
    <s v="712 Main St"/>
    <x v="2"/>
    <s v="Cancelled"/>
    <s v="TRK41059233"/>
    <n v="5"/>
    <x v="0"/>
    <x v="1"/>
    <n v="406.22"/>
  </r>
  <r>
    <s v="ORD200258"/>
    <d v="2024-02-26T00:00:00"/>
    <s v="C87764"/>
    <s v="Tablet"/>
    <n v="2"/>
    <n v="103.41"/>
    <s v="294 Main St"/>
    <x v="1"/>
    <s v="Shipped"/>
    <s v="TRK94082469"/>
    <n v="2"/>
    <x v="1"/>
    <x v="1"/>
    <n v="206.82"/>
  </r>
  <r>
    <s v="ORD200259"/>
    <d v="2023-06-11T00:00:00"/>
    <s v="C20977"/>
    <s v="Chair"/>
    <n v="4"/>
    <n v="435.12"/>
    <s v="636 Main St"/>
    <x v="2"/>
    <s v="Delivered"/>
    <s v="TRK54991561"/>
    <n v="9"/>
    <x v="0"/>
    <x v="0"/>
    <n v="1740.48"/>
  </r>
  <r>
    <s v="ORD200260"/>
    <d v="2023-05-17T00:00:00"/>
    <s v="C12245"/>
    <s v="Monitor"/>
    <n v="2"/>
    <n v="407.79"/>
    <s v="153 Main St"/>
    <x v="0"/>
    <s v="Shipped"/>
    <s v="TRK22000463"/>
    <n v="3"/>
    <x v="2"/>
    <x v="4"/>
    <n v="815.58"/>
  </r>
  <r>
    <s v="ORD200261"/>
    <d v="2025-05-28T00:00:00"/>
    <s v="C68976"/>
    <s v="Phone"/>
    <n v="5"/>
    <n v="173.65"/>
    <s v="460 Main St"/>
    <x v="3"/>
    <s v="Delivered"/>
    <s v="TRK25491356"/>
    <n v="9"/>
    <x v="0"/>
    <x v="2"/>
    <n v="868.25"/>
  </r>
  <r>
    <s v="ORD200262"/>
    <d v="2023-01-10T00:00:00"/>
    <s v="C69476"/>
    <s v="Phone"/>
    <n v="4"/>
    <n v="249.07"/>
    <s v="642 Main St"/>
    <x v="2"/>
    <s v="Returned"/>
    <s v="TRK65869386"/>
    <n v="5"/>
    <x v="3"/>
    <x v="1"/>
    <n v="996.28"/>
  </r>
  <r>
    <s v="ORD200263"/>
    <d v="2023-03-25T00:00:00"/>
    <s v="C71040"/>
    <s v="Phone"/>
    <n v="4"/>
    <n v="434.85"/>
    <s v="250 Main St"/>
    <x v="2"/>
    <s v="Pending"/>
    <s v="TRK41397604"/>
    <n v="4"/>
    <x v="3"/>
    <x v="4"/>
    <n v="1739.4"/>
  </r>
  <r>
    <s v="ORD200264"/>
    <d v="2024-08-03T00:00:00"/>
    <s v="C71035"/>
    <s v="Tablet"/>
    <n v="1"/>
    <n v="436.77"/>
    <s v="977 Main St"/>
    <x v="4"/>
    <s v="Returned"/>
    <s v="TRK19599578"/>
    <n v="5"/>
    <x v="1"/>
    <x v="4"/>
    <n v="436.77"/>
  </r>
  <r>
    <s v="ORD200265"/>
    <d v="2023-12-22T00:00:00"/>
    <s v="C20752"/>
    <s v="Printer"/>
    <n v="1"/>
    <n v="572.13"/>
    <s v="150 Main St"/>
    <x v="0"/>
    <s v="Cancelled"/>
    <s v="TRK22298450"/>
    <n v="4"/>
    <x v="0"/>
    <x v="4"/>
    <n v="572.13"/>
  </r>
  <r>
    <s v="ORD200266"/>
    <d v="2024-06-08T00:00:00"/>
    <s v="C38840"/>
    <s v="Chair"/>
    <n v="4"/>
    <n v="583.07000000000005"/>
    <s v="589 Main St"/>
    <x v="2"/>
    <s v="Cancelled"/>
    <s v="TRK48484633"/>
    <n v="6"/>
    <x v="1"/>
    <x v="1"/>
    <n v="2332.2800000000002"/>
  </r>
  <r>
    <s v="ORD200267"/>
    <d v="2025-04-17T00:00:00"/>
    <s v="C84480"/>
    <s v="Chair"/>
    <n v="5"/>
    <n v="468.51"/>
    <s v="803 Main St"/>
    <x v="0"/>
    <s v="Delivered"/>
    <s v="TRK62361867"/>
    <n v="9"/>
    <x v="2"/>
    <x v="3"/>
    <n v="2342.5500000000002"/>
  </r>
  <r>
    <s v="ORD200268"/>
    <d v="2023-08-11T00:00:00"/>
    <s v="C37032"/>
    <s v="Phone"/>
    <n v="2"/>
    <n v="423.88"/>
    <s v="655 Main St"/>
    <x v="0"/>
    <s v="Delivered"/>
    <s v="TRK48639226"/>
    <n v="7"/>
    <x v="0"/>
    <x v="1"/>
    <n v="847.76"/>
  </r>
  <r>
    <s v="ORD200269"/>
    <d v="2023-11-25T00:00:00"/>
    <s v="C48942"/>
    <s v="Tablet"/>
    <n v="4"/>
    <n v="663.67"/>
    <s v="129 Main St"/>
    <x v="2"/>
    <s v="Pending"/>
    <s v="TRK29355120"/>
    <n v="7"/>
    <x v="1"/>
    <x v="4"/>
    <n v="2654.68"/>
  </r>
  <r>
    <s v="ORD200270"/>
    <d v="2023-06-04T00:00:00"/>
    <s v="C13540"/>
    <s v="Printer"/>
    <n v="4"/>
    <n v="309.91000000000003"/>
    <s v="127 Main St"/>
    <x v="0"/>
    <s v="Shipped"/>
    <s v="TRK81087373"/>
    <n v="5"/>
    <x v="3"/>
    <x v="4"/>
    <n v="1239.6400000000001"/>
  </r>
  <r>
    <s v="ORD200271"/>
    <d v="2023-03-28T00:00:00"/>
    <s v="C59572"/>
    <s v="Monitor"/>
    <n v="1"/>
    <n v="542.07000000000005"/>
    <s v="791 Main St"/>
    <x v="4"/>
    <s v="Shipped"/>
    <s v="TRK16792991"/>
    <n v="6"/>
    <x v="3"/>
    <x v="1"/>
    <n v="542.07000000000005"/>
  </r>
  <r>
    <s v="ORD200272"/>
    <d v="2023-09-19T00:00:00"/>
    <s v="C29758"/>
    <s v="Chair"/>
    <n v="2"/>
    <n v="399.32"/>
    <s v="119 Main St"/>
    <x v="1"/>
    <s v="Pending"/>
    <s v="TRK12990043"/>
    <n v="6"/>
    <x v="3"/>
    <x v="0"/>
    <n v="798.64"/>
  </r>
  <r>
    <s v="ORD200273"/>
    <d v="2024-10-27T00:00:00"/>
    <s v="C11849"/>
    <s v="Tablet"/>
    <n v="2"/>
    <n v="238.25"/>
    <s v="974 Main St"/>
    <x v="1"/>
    <s v="Cancelled"/>
    <s v="TRK91195261"/>
    <n v="7"/>
    <x v="1"/>
    <x v="2"/>
    <n v="476.5"/>
  </r>
  <r>
    <s v="ORD200274"/>
    <d v="2023-02-04T00:00:00"/>
    <s v="C50967"/>
    <s v="Phone"/>
    <n v="2"/>
    <n v="182.4"/>
    <s v="884 Main St"/>
    <x v="3"/>
    <s v="Cancelled"/>
    <s v="TRK65300814"/>
    <n v="5"/>
    <x v="0"/>
    <x v="1"/>
    <n v="364.8"/>
  </r>
  <r>
    <s v="ORD200275"/>
    <d v="2023-11-04T00:00:00"/>
    <s v="C80735"/>
    <s v="Chair"/>
    <n v="2"/>
    <n v="65.069999999999993"/>
    <s v="360 Main St"/>
    <x v="2"/>
    <s v="Cancelled"/>
    <s v="TRK99880231"/>
    <n v="4"/>
    <x v="0"/>
    <x v="4"/>
    <n v="130.13999999999999"/>
  </r>
  <r>
    <s v="ORD200276"/>
    <d v="2025-03-29T00:00:00"/>
    <s v="C99050"/>
    <s v="Printer"/>
    <n v="2"/>
    <n v="600.57000000000005"/>
    <s v="654 Main St"/>
    <x v="0"/>
    <s v="Returned"/>
    <s v="TRK56927089"/>
    <n v="3"/>
    <x v="3"/>
    <x v="0"/>
    <n v="1201.1400000000001"/>
  </r>
  <r>
    <s v="ORD200277"/>
    <d v="2024-09-09T00:00:00"/>
    <s v="C11210"/>
    <s v="Chair"/>
    <n v="5"/>
    <n v="90.92"/>
    <s v="910 Main St"/>
    <x v="2"/>
    <s v="Delivered"/>
    <s v="TRK44929965"/>
    <n v="9"/>
    <x v="0"/>
    <x v="3"/>
    <n v="454.6"/>
  </r>
  <r>
    <s v="ORD200278"/>
    <d v="2024-11-18T00:00:00"/>
    <s v="C46015"/>
    <s v="Laptop"/>
    <n v="5"/>
    <n v="362.46"/>
    <s v="299 Main St"/>
    <x v="4"/>
    <s v="Delivered"/>
    <s v="TRK46598430"/>
    <n v="6"/>
    <x v="1"/>
    <x v="0"/>
    <n v="1812.3"/>
  </r>
  <r>
    <s v="ORD200279"/>
    <d v="2023-10-20T00:00:00"/>
    <s v="C69167"/>
    <s v="Chair"/>
    <n v="3"/>
    <n v="55.01"/>
    <s v="263 Main St"/>
    <x v="1"/>
    <s v="Pending"/>
    <s v="TRK12425655"/>
    <n v="7"/>
    <x v="3"/>
    <x v="2"/>
    <n v="165.03"/>
  </r>
  <r>
    <s v="ORD200280"/>
    <d v="2023-03-27T00:00:00"/>
    <s v="C55388"/>
    <s v="Tablet"/>
    <n v="3"/>
    <n v="404.62"/>
    <s v="740 Main St"/>
    <x v="3"/>
    <s v="Delivered"/>
    <s v="TRK75741001"/>
    <n v="6"/>
    <x v="1"/>
    <x v="0"/>
    <n v="1213.8599999999999"/>
  </r>
  <r>
    <s v="ORD200281"/>
    <d v="2023-07-27T00:00:00"/>
    <s v="C87181"/>
    <s v="Desk"/>
    <n v="4"/>
    <n v="654.79"/>
    <s v="195 Main St"/>
    <x v="4"/>
    <s v="Pending"/>
    <s v="TRK60093390"/>
    <n v="9"/>
    <x v="2"/>
    <x v="1"/>
    <n v="2619.16"/>
  </r>
  <r>
    <s v="ORD200282"/>
    <d v="2025-04-22T00:00:00"/>
    <s v="C30411"/>
    <s v="Printer"/>
    <n v="4"/>
    <n v="637.79"/>
    <s v="375 Main St"/>
    <x v="3"/>
    <s v="Cancelled"/>
    <s v="TRK71810536"/>
    <n v="9"/>
    <x v="1"/>
    <x v="4"/>
    <n v="2551.16"/>
  </r>
  <r>
    <s v="ORD200283"/>
    <d v="2025-02-28T00:00:00"/>
    <s v="C39638"/>
    <s v="Laptop"/>
    <n v="4"/>
    <n v="540.33000000000004"/>
    <s v="990 Main St"/>
    <x v="4"/>
    <s v="Shipped"/>
    <s v="TRK69745608"/>
    <n v="6"/>
    <x v="2"/>
    <x v="4"/>
    <n v="2161.3200000000002"/>
  </r>
  <r>
    <s v="ORD200284"/>
    <d v="2023-02-16T00:00:00"/>
    <s v="C27203"/>
    <s v="Laptop"/>
    <n v="5"/>
    <n v="208.17"/>
    <s v="516 Main St"/>
    <x v="2"/>
    <s v="Returned"/>
    <s v="TRK22023906"/>
    <n v="6"/>
    <x v="0"/>
    <x v="3"/>
    <n v="1040.8499999999999"/>
  </r>
  <r>
    <s v="ORD200285"/>
    <d v="2025-06-10T00:00:00"/>
    <s v="C67583"/>
    <s v="Phone"/>
    <n v="1"/>
    <n v="338.31"/>
    <s v="974 Main St"/>
    <x v="1"/>
    <s v="Delivered"/>
    <s v="TRK93281700"/>
    <n v="3"/>
    <x v="2"/>
    <x v="4"/>
    <n v="338.31"/>
  </r>
  <r>
    <s v="ORD200286"/>
    <d v="2025-04-07T00:00:00"/>
    <s v="C70554"/>
    <s v="Monitor"/>
    <n v="3"/>
    <n v="139.44999999999999"/>
    <s v="187 Main St"/>
    <x v="3"/>
    <s v="Returned"/>
    <s v="TRK61086952"/>
    <n v="8"/>
    <x v="3"/>
    <x v="4"/>
    <n v="418.35"/>
  </r>
  <r>
    <s v="ORD200287"/>
    <d v="2023-11-24T00:00:00"/>
    <s v="C70437"/>
    <s v="Chair"/>
    <n v="4"/>
    <n v="655.17999999999995"/>
    <s v="630 Main St"/>
    <x v="1"/>
    <s v="Shipped"/>
    <s v="TRK26628830"/>
    <n v="5"/>
    <x v="2"/>
    <x v="3"/>
    <n v="2620.7199999999998"/>
  </r>
  <r>
    <s v="ORD200288"/>
    <d v="2023-03-12T00:00:00"/>
    <s v="C97643"/>
    <s v="Laptop"/>
    <n v="4"/>
    <n v="512.75"/>
    <s v="537 Main St"/>
    <x v="0"/>
    <s v="Returned"/>
    <s v="TRK60831391"/>
    <n v="8"/>
    <x v="3"/>
    <x v="4"/>
    <n v="2051"/>
  </r>
  <r>
    <s v="ORD200289"/>
    <d v="2023-07-26T00:00:00"/>
    <s v="C17136"/>
    <s v="Chair"/>
    <n v="4"/>
    <n v="160.49"/>
    <s v="333 Main St"/>
    <x v="2"/>
    <s v="Shipped"/>
    <s v="TRK55362541"/>
    <n v="8"/>
    <x v="3"/>
    <x v="1"/>
    <n v="641.96"/>
  </r>
  <r>
    <s v="ORD200290"/>
    <d v="2023-05-05T00:00:00"/>
    <s v="C24901"/>
    <s v="Chair"/>
    <n v="3"/>
    <n v="99.9"/>
    <s v="258 Main St"/>
    <x v="4"/>
    <s v="Delivered"/>
    <s v="TRK14029489"/>
    <n v="8"/>
    <x v="1"/>
    <x v="3"/>
    <n v="299.7"/>
  </r>
  <r>
    <s v="ORD200291"/>
    <d v="2024-05-12T00:00:00"/>
    <s v="C61521"/>
    <s v="Phone"/>
    <n v="2"/>
    <n v="345.01"/>
    <s v="670 Main St"/>
    <x v="2"/>
    <s v="Delivered"/>
    <s v="TRK93676567"/>
    <n v="6"/>
    <x v="1"/>
    <x v="4"/>
    <n v="690.02"/>
  </r>
  <r>
    <s v="ORD200292"/>
    <d v="2025-01-15T00:00:00"/>
    <s v="C39639"/>
    <s v="Monitor"/>
    <n v="1"/>
    <n v="65.95"/>
    <s v="185 Main St"/>
    <x v="2"/>
    <s v="Delivered"/>
    <s v="TRK31042152"/>
    <n v="5"/>
    <x v="2"/>
    <x v="3"/>
    <n v="65.95"/>
  </r>
  <r>
    <s v="ORD200293"/>
    <d v="2023-02-16T00:00:00"/>
    <s v="C33220"/>
    <s v="Tablet"/>
    <n v="4"/>
    <n v="463.04"/>
    <s v="564 Main St"/>
    <x v="3"/>
    <s v="Returned"/>
    <s v="TRK40450219"/>
    <n v="9"/>
    <x v="2"/>
    <x v="0"/>
    <n v="1852.16"/>
  </r>
  <r>
    <s v="ORD200294"/>
    <d v="2025-04-01T00:00:00"/>
    <s v="C65414"/>
    <s v="Phone"/>
    <n v="2"/>
    <n v="297.70999999999998"/>
    <s v="208 Main St"/>
    <x v="1"/>
    <s v="Shipped"/>
    <s v="TRK67562517"/>
    <n v="7"/>
    <x v="0"/>
    <x v="1"/>
    <n v="595.41999999999996"/>
  </r>
  <r>
    <s v="ORD200295"/>
    <d v="2023-01-25T00:00:00"/>
    <s v="C49009"/>
    <s v="Printer"/>
    <n v="5"/>
    <n v="107.48"/>
    <s v="278 Main St"/>
    <x v="0"/>
    <s v="Cancelled"/>
    <s v="TRK46285799"/>
    <n v="9"/>
    <x v="1"/>
    <x v="2"/>
    <n v="537.4"/>
  </r>
  <r>
    <s v="ORD200296"/>
    <d v="2024-06-19T00:00:00"/>
    <s v="C48453"/>
    <s v="Desk"/>
    <n v="5"/>
    <n v="638.79999999999995"/>
    <s v="434 Main St"/>
    <x v="0"/>
    <s v="Cancelled"/>
    <s v="TRK52110494"/>
    <n v="10"/>
    <x v="3"/>
    <x v="1"/>
    <n v="3194"/>
  </r>
  <r>
    <s v="ORD200297"/>
    <d v="2023-02-22T00:00:00"/>
    <s v="C68078"/>
    <s v="Desk"/>
    <n v="2"/>
    <n v="493.88"/>
    <s v="252 Main St"/>
    <x v="2"/>
    <s v="Returned"/>
    <s v="TRK64862812"/>
    <n v="7"/>
    <x v="0"/>
    <x v="0"/>
    <n v="987.76"/>
  </r>
  <r>
    <s v="ORD200298"/>
    <d v="2023-12-19T00:00:00"/>
    <s v="C19402"/>
    <s v="Printer"/>
    <n v="4"/>
    <n v="301.17"/>
    <s v="267 Main St"/>
    <x v="1"/>
    <s v="Cancelled"/>
    <s v="TRK97825212"/>
    <n v="6"/>
    <x v="2"/>
    <x v="2"/>
    <n v="1204.68"/>
  </r>
  <r>
    <s v="ORD200299"/>
    <d v="2024-01-20T00:00:00"/>
    <s v="C30711"/>
    <s v="Monitor"/>
    <n v="1"/>
    <n v="278.66000000000003"/>
    <s v="856 Main St"/>
    <x v="3"/>
    <s v="Cancelled"/>
    <s v="TRK42696593"/>
    <n v="2"/>
    <x v="1"/>
    <x v="0"/>
    <n v="278.66000000000003"/>
  </r>
  <r>
    <s v="ORD200300"/>
    <d v="2024-09-02T00:00:00"/>
    <s v="C39000"/>
    <s v="Phone"/>
    <n v="1"/>
    <n v="287.45999999999998"/>
    <s v="894 Main St"/>
    <x v="0"/>
    <s v="Returned"/>
    <s v="TRK33753945"/>
    <n v="3"/>
    <x v="1"/>
    <x v="3"/>
    <n v="287.45999999999998"/>
  </r>
  <r>
    <s v="ORD200301"/>
    <d v="2023-05-11T00:00:00"/>
    <s v="C31105"/>
    <s v="Chair"/>
    <n v="1"/>
    <n v="583.99"/>
    <s v="726 Main St"/>
    <x v="4"/>
    <s v="Cancelled"/>
    <s v="TRK40149095"/>
    <n v="2"/>
    <x v="0"/>
    <x v="2"/>
    <n v="583.99"/>
  </r>
  <r>
    <s v="ORD200302"/>
    <d v="2023-05-16T00:00:00"/>
    <s v="C29432"/>
    <s v="Chair"/>
    <n v="3"/>
    <n v="468.74"/>
    <s v="121 Main St"/>
    <x v="4"/>
    <s v="Pending"/>
    <s v="TRK44142517"/>
    <n v="4"/>
    <x v="1"/>
    <x v="0"/>
    <n v="1406.22"/>
  </r>
  <r>
    <s v="ORD200303"/>
    <d v="2024-12-07T00:00:00"/>
    <s v="C48531"/>
    <s v="Tablet"/>
    <n v="1"/>
    <n v="30.54"/>
    <s v="368 Main St"/>
    <x v="0"/>
    <s v="Returned"/>
    <s v="TRK95462192"/>
    <n v="1"/>
    <x v="2"/>
    <x v="4"/>
    <n v="30.54"/>
  </r>
  <r>
    <s v="ORD200304"/>
    <d v="2024-10-18T00:00:00"/>
    <s v="C86762"/>
    <s v="Monitor"/>
    <n v="5"/>
    <n v="408.73"/>
    <s v="326 Main St"/>
    <x v="3"/>
    <s v="Delivered"/>
    <s v="TRK75686292"/>
    <n v="10"/>
    <x v="1"/>
    <x v="0"/>
    <n v="2043.65"/>
  </r>
  <r>
    <s v="ORD200305"/>
    <d v="2023-11-25T00:00:00"/>
    <s v="C63822"/>
    <s v="Laptop"/>
    <n v="4"/>
    <n v="126.89"/>
    <s v="235 Main St"/>
    <x v="4"/>
    <s v="Pending"/>
    <s v="TRK59353216"/>
    <n v="9"/>
    <x v="1"/>
    <x v="0"/>
    <n v="507.56"/>
  </r>
  <r>
    <s v="ORD200306"/>
    <d v="2024-06-07T00:00:00"/>
    <s v="C70495"/>
    <s v="Printer"/>
    <n v="2"/>
    <n v="57.07"/>
    <s v="238 Main St"/>
    <x v="0"/>
    <s v="Returned"/>
    <s v="TRK65511225"/>
    <n v="3"/>
    <x v="0"/>
    <x v="0"/>
    <n v="114.14"/>
  </r>
  <r>
    <s v="ORD200307"/>
    <d v="2023-07-01T00:00:00"/>
    <s v="C92407"/>
    <s v="Laptop"/>
    <n v="3"/>
    <n v="557.41"/>
    <s v="135 Main St"/>
    <x v="1"/>
    <s v="Delivered"/>
    <s v="TRK11755610"/>
    <n v="4"/>
    <x v="2"/>
    <x v="2"/>
    <n v="1672.23"/>
  </r>
  <r>
    <s v="ORD200308"/>
    <d v="2023-12-11T00:00:00"/>
    <s v="C75888"/>
    <s v="Printer"/>
    <n v="3"/>
    <n v="448.9"/>
    <s v="790 Main St"/>
    <x v="0"/>
    <s v="Returned"/>
    <s v="TRK98467398"/>
    <n v="7"/>
    <x v="0"/>
    <x v="0"/>
    <n v="1346.7"/>
  </r>
  <r>
    <s v="ORD200309"/>
    <d v="2023-10-03T00:00:00"/>
    <s v="C63153"/>
    <s v="Chair"/>
    <n v="4"/>
    <n v="549.76"/>
    <s v="625 Main St"/>
    <x v="0"/>
    <s v="Delivered"/>
    <s v="TRK38033305"/>
    <n v="4"/>
    <x v="1"/>
    <x v="3"/>
    <n v="2199.04"/>
  </r>
  <r>
    <s v="ORD200310"/>
    <d v="2024-02-24T00:00:00"/>
    <s v="C85863"/>
    <s v="Printer"/>
    <n v="3"/>
    <n v="132.47999999999999"/>
    <s v="968 Main St"/>
    <x v="1"/>
    <s v="Shipped"/>
    <s v="TRK16094218"/>
    <n v="4"/>
    <x v="2"/>
    <x v="1"/>
    <n v="397.43999999999988"/>
  </r>
  <r>
    <s v="ORD200311"/>
    <d v="2025-05-17T00:00:00"/>
    <s v="C71698"/>
    <s v="Desk"/>
    <n v="5"/>
    <n v="489.37"/>
    <s v="274 Main St"/>
    <x v="1"/>
    <s v="Returned"/>
    <s v="TRK34786818"/>
    <n v="8"/>
    <x v="2"/>
    <x v="0"/>
    <n v="2446.85"/>
  </r>
  <r>
    <s v="ORD200312"/>
    <d v="2025-05-24T00:00:00"/>
    <s v="C35397"/>
    <s v="Printer"/>
    <n v="5"/>
    <n v="66.31"/>
    <s v="579 Main St"/>
    <x v="3"/>
    <s v="Pending"/>
    <s v="TRK64742535"/>
    <n v="7"/>
    <x v="1"/>
    <x v="1"/>
    <n v="331.55"/>
  </r>
  <r>
    <s v="ORD200313"/>
    <d v="2023-07-09T00:00:00"/>
    <s v="C67687"/>
    <s v="Chair"/>
    <n v="2"/>
    <n v="434.3"/>
    <s v="978 Main St"/>
    <x v="4"/>
    <s v="Delivered"/>
    <s v="TRK22838735"/>
    <n v="7"/>
    <x v="0"/>
    <x v="0"/>
    <n v="868.6"/>
  </r>
  <r>
    <s v="ORD200314"/>
    <d v="2023-10-04T00:00:00"/>
    <s v="C29931"/>
    <s v="Desk"/>
    <n v="4"/>
    <n v="153.09"/>
    <s v="540 Main St"/>
    <x v="1"/>
    <s v="Delivered"/>
    <s v="TRK48712417"/>
    <n v="4"/>
    <x v="1"/>
    <x v="1"/>
    <n v="612.36"/>
  </r>
  <r>
    <s v="ORD200315"/>
    <d v="2025-05-12T00:00:00"/>
    <s v="C59139"/>
    <s v="Tablet"/>
    <n v="5"/>
    <n v="91.67"/>
    <s v="301 Main St"/>
    <x v="1"/>
    <s v="Cancelled"/>
    <s v="TRK45507090"/>
    <n v="9"/>
    <x v="1"/>
    <x v="2"/>
    <n v="458.35"/>
  </r>
  <r>
    <s v="ORD200316"/>
    <d v="2023-10-02T00:00:00"/>
    <s v="C66078"/>
    <s v="Desk"/>
    <n v="4"/>
    <n v="275.27999999999997"/>
    <s v="101 Main St"/>
    <x v="3"/>
    <s v="Shipped"/>
    <s v="TRK86474559"/>
    <n v="9"/>
    <x v="3"/>
    <x v="3"/>
    <n v="1101.1199999999999"/>
  </r>
  <r>
    <s v="ORD200317"/>
    <d v="2023-04-10T00:00:00"/>
    <s v="C88370"/>
    <s v="Monitor"/>
    <n v="2"/>
    <n v="139.94999999999999"/>
    <s v="339 Main St"/>
    <x v="1"/>
    <s v="Returned"/>
    <s v="TRK22575151"/>
    <n v="5"/>
    <x v="2"/>
    <x v="0"/>
    <n v="279.89999999999998"/>
  </r>
  <r>
    <s v="ORD200318"/>
    <d v="2024-07-27T00:00:00"/>
    <s v="C93375"/>
    <s v="Chair"/>
    <n v="3"/>
    <n v="148.72"/>
    <s v="317 Main St"/>
    <x v="0"/>
    <s v="Cancelled"/>
    <s v="TRK95706967"/>
    <n v="7"/>
    <x v="0"/>
    <x v="4"/>
    <n v="446.16"/>
  </r>
  <r>
    <s v="ORD200319"/>
    <d v="2023-12-02T00:00:00"/>
    <s v="C53049"/>
    <s v="Laptop"/>
    <n v="2"/>
    <n v="563.05999999999995"/>
    <s v="413 Main St"/>
    <x v="4"/>
    <s v="Returned"/>
    <s v="TRK48974907"/>
    <n v="6"/>
    <x v="2"/>
    <x v="0"/>
    <n v="1126.1199999999999"/>
  </r>
  <r>
    <s v="ORD200320"/>
    <d v="2024-12-19T00:00:00"/>
    <s v="C55590"/>
    <s v="Printer"/>
    <n v="1"/>
    <n v="625.51"/>
    <s v="772 Main St"/>
    <x v="2"/>
    <s v="Shipped"/>
    <s v="TRK48792951"/>
    <n v="1"/>
    <x v="1"/>
    <x v="3"/>
    <n v="625.51"/>
  </r>
  <r>
    <s v="ORD200321"/>
    <d v="2023-08-09T00:00:00"/>
    <s v="C47086"/>
    <s v="Phone"/>
    <n v="4"/>
    <n v="152.29"/>
    <s v="135 Main St"/>
    <x v="0"/>
    <s v="Cancelled"/>
    <s v="TRK44194358"/>
    <n v="6"/>
    <x v="3"/>
    <x v="4"/>
    <n v="609.16"/>
  </r>
  <r>
    <s v="ORD200322"/>
    <d v="2024-06-14T00:00:00"/>
    <s v="C48646"/>
    <s v="Phone"/>
    <n v="5"/>
    <n v="231.82"/>
    <s v="339 Main St"/>
    <x v="0"/>
    <s v="Delivered"/>
    <s v="TRK18233748"/>
    <n v="6"/>
    <x v="0"/>
    <x v="3"/>
    <n v="1159.0999999999999"/>
  </r>
  <r>
    <s v="ORD200323"/>
    <d v="2025-01-26T00:00:00"/>
    <s v="C29416"/>
    <s v="Laptop"/>
    <n v="1"/>
    <n v="150.16999999999999"/>
    <s v="414 Main St"/>
    <x v="0"/>
    <s v="Returned"/>
    <s v="TRK63820842"/>
    <n v="1"/>
    <x v="0"/>
    <x v="1"/>
    <n v="150.16999999999999"/>
  </r>
  <r>
    <s v="ORD200324"/>
    <d v="2024-06-13T00:00:00"/>
    <s v="C13525"/>
    <s v="Tablet"/>
    <n v="3"/>
    <n v="70.930000000000007"/>
    <s v="847 Main St"/>
    <x v="0"/>
    <s v="Returned"/>
    <s v="TRK70193221"/>
    <n v="5"/>
    <x v="2"/>
    <x v="1"/>
    <n v="212.79"/>
  </r>
  <r>
    <s v="ORD200325"/>
    <d v="2023-06-29T00:00:00"/>
    <s v="C53545"/>
    <s v="Desk"/>
    <n v="3"/>
    <n v="361.39"/>
    <s v="665 Main St"/>
    <x v="2"/>
    <s v="Shipped"/>
    <s v="TRK61123177"/>
    <n v="8"/>
    <x v="2"/>
    <x v="1"/>
    <n v="1084.17"/>
  </r>
  <r>
    <s v="ORD200326"/>
    <d v="2024-07-01T00:00:00"/>
    <s v="C65986"/>
    <s v="Laptop"/>
    <n v="5"/>
    <n v="670.48"/>
    <s v="273 Main St"/>
    <x v="3"/>
    <s v="Returned"/>
    <s v="TRK98353867"/>
    <n v="5"/>
    <x v="0"/>
    <x v="3"/>
    <n v="3352.4"/>
  </r>
  <r>
    <s v="ORD200327"/>
    <d v="2023-07-25T00:00:00"/>
    <s v="C17302"/>
    <s v="Phone"/>
    <n v="1"/>
    <n v="359.99"/>
    <s v="385 Main St"/>
    <x v="3"/>
    <s v="Cancelled"/>
    <s v="TRK43940016"/>
    <n v="5"/>
    <x v="0"/>
    <x v="2"/>
    <n v="359.99"/>
  </r>
  <r>
    <s v="ORD200328"/>
    <d v="2023-02-28T00:00:00"/>
    <s v="C18404"/>
    <s v="Tablet"/>
    <n v="5"/>
    <n v="674.04"/>
    <s v="546 Main St"/>
    <x v="1"/>
    <s v="Cancelled"/>
    <s v="TRK89401624"/>
    <n v="7"/>
    <x v="0"/>
    <x v="4"/>
    <n v="3370.2"/>
  </r>
  <r>
    <s v="ORD200329"/>
    <d v="2024-12-25T00:00:00"/>
    <s v="C88371"/>
    <s v="Chair"/>
    <n v="4"/>
    <n v="283.16000000000003"/>
    <s v="306 Main St"/>
    <x v="2"/>
    <s v="Shipped"/>
    <s v="TRK63224811"/>
    <n v="6"/>
    <x v="2"/>
    <x v="4"/>
    <n v="1132.6400000000001"/>
  </r>
  <r>
    <s v="ORD200330"/>
    <d v="2024-06-02T00:00:00"/>
    <s v="C38068"/>
    <s v="Desk"/>
    <n v="5"/>
    <n v="260.52999999999997"/>
    <s v="532 Main St"/>
    <x v="3"/>
    <s v="Pending"/>
    <s v="TRK54059198"/>
    <n v="5"/>
    <x v="0"/>
    <x v="0"/>
    <n v="1302.6500000000001"/>
  </r>
  <r>
    <s v="ORD200331"/>
    <d v="2023-04-15T00:00:00"/>
    <s v="C78724"/>
    <s v="Printer"/>
    <n v="3"/>
    <n v="422.13"/>
    <s v="187 Main St"/>
    <x v="1"/>
    <s v="Delivered"/>
    <s v="TRK25703134"/>
    <n v="7"/>
    <x v="0"/>
    <x v="3"/>
    <n v="1266.3900000000001"/>
  </r>
  <r>
    <s v="ORD200332"/>
    <d v="2024-07-03T00:00:00"/>
    <s v="C26163"/>
    <s v="Desk"/>
    <n v="5"/>
    <n v="125.02"/>
    <s v="607 Main St"/>
    <x v="0"/>
    <s v="Pending"/>
    <s v="TRK67499316"/>
    <n v="9"/>
    <x v="0"/>
    <x v="4"/>
    <n v="625.1"/>
  </r>
  <r>
    <s v="ORD200333"/>
    <d v="2024-04-16T00:00:00"/>
    <s v="C87124"/>
    <s v="Phone"/>
    <n v="1"/>
    <n v="198.51"/>
    <s v="818 Main St"/>
    <x v="2"/>
    <s v="Returned"/>
    <s v="TRK52086740"/>
    <n v="5"/>
    <x v="3"/>
    <x v="0"/>
    <n v="198.51"/>
  </r>
  <r>
    <s v="ORD200334"/>
    <d v="2024-03-26T00:00:00"/>
    <s v="C90348"/>
    <s v="Chair"/>
    <n v="4"/>
    <n v="224.75"/>
    <s v="728 Main St"/>
    <x v="1"/>
    <s v="Delivered"/>
    <s v="TRK20635777"/>
    <n v="7"/>
    <x v="3"/>
    <x v="3"/>
    <n v="899"/>
  </r>
  <r>
    <s v="ORD200335"/>
    <d v="2025-03-03T00:00:00"/>
    <s v="C58721"/>
    <s v="Tablet"/>
    <n v="3"/>
    <n v="205.86"/>
    <s v="978 Main St"/>
    <x v="3"/>
    <s v="Shipped"/>
    <s v="TRK34801199"/>
    <n v="4"/>
    <x v="2"/>
    <x v="2"/>
    <n v="617.58000000000004"/>
  </r>
  <r>
    <s v="ORD200336"/>
    <d v="2023-12-29T00:00:00"/>
    <s v="C88174"/>
    <s v="Laptop"/>
    <n v="1"/>
    <n v="18.2"/>
    <s v="441 Main St"/>
    <x v="0"/>
    <s v="Pending"/>
    <s v="TRK10143345"/>
    <n v="4"/>
    <x v="0"/>
    <x v="0"/>
    <n v="18.2"/>
  </r>
  <r>
    <s v="ORD200337"/>
    <d v="2023-05-29T00:00:00"/>
    <s v="C77763"/>
    <s v="Tablet"/>
    <n v="3"/>
    <n v="502.77"/>
    <s v="599 Main St"/>
    <x v="0"/>
    <s v="Returned"/>
    <s v="TRK66980447"/>
    <n v="8"/>
    <x v="3"/>
    <x v="2"/>
    <n v="1508.31"/>
  </r>
  <r>
    <s v="ORD200338"/>
    <d v="2023-11-08T00:00:00"/>
    <s v="C53627"/>
    <s v="Phone"/>
    <n v="5"/>
    <n v="305.49"/>
    <s v="704 Main St"/>
    <x v="0"/>
    <s v="Shipped"/>
    <s v="TRK64112352"/>
    <n v="10"/>
    <x v="2"/>
    <x v="1"/>
    <n v="1527.45"/>
  </r>
  <r>
    <s v="ORD200339"/>
    <d v="2024-04-10T00:00:00"/>
    <s v="C84563"/>
    <s v="Printer"/>
    <n v="2"/>
    <n v="236.33"/>
    <s v="398 Main St"/>
    <x v="1"/>
    <s v="Pending"/>
    <s v="TRK62422797"/>
    <n v="3"/>
    <x v="0"/>
    <x v="0"/>
    <n v="472.66"/>
  </r>
  <r>
    <s v="ORD200340"/>
    <d v="2023-04-23T00:00:00"/>
    <s v="C76207"/>
    <s v="Laptop"/>
    <n v="5"/>
    <n v="521.25"/>
    <s v="826 Main St"/>
    <x v="4"/>
    <s v="Cancelled"/>
    <s v="TRK25569378"/>
    <n v="8"/>
    <x v="2"/>
    <x v="2"/>
    <n v="2606.25"/>
  </r>
  <r>
    <s v="ORD200341"/>
    <d v="2024-09-23T00:00:00"/>
    <s v="C94671"/>
    <s v="Tablet"/>
    <n v="1"/>
    <n v="167.15"/>
    <s v="293 Main St"/>
    <x v="3"/>
    <s v="Shipped"/>
    <s v="TRK61357272"/>
    <n v="5"/>
    <x v="3"/>
    <x v="2"/>
    <n v="167.15"/>
  </r>
  <r>
    <s v="ORD200342"/>
    <d v="2025-06-24T00:00:00"/>
    <s v="C69994"/>
    <s v="Monitor"/>
    <n v="5"/>
    <n v="466.42"/>
    <s v="619 Main St"/>
    <x v="3"/>
    <s v="Returned"/>
    <s v="TRK95935805"/>
    <n v="5"/>
    <x v="2"/>
    <x v="1"/>
    <n v="2332.1"/>
  </r>
  <r>
    <s v="ORD200343"/>
    <d v="2023-02-26T00:00:00"/>
    <s v="C64638"/>
    <s v="Printer"/>
    <n v="1"/>
    <n v="527.57000000000005"/>
    <s v="919 Main St"/>
    <x v="0"/>
    <s v="Pending"/>
    <s v="TRK64087938"/>
    <n v="3"/>
    <x v="1"/>
    <x v="3"/>
    <n v="527.57000000000005"/>
  </r>
  <r>
    <s v="ORD200344"/>
    <d v="2025-03-06T00:00:00"/>
    <s v="C95623"/>
    <s v="Tablet"/>
    <n v="3"/>
    <n v="623.34"/>
    <s v="248 Main St"/>
    <x v="1"/>
    <s v="Cancelled"/>
    <s v="TRK67558189"/>
    <n v="3"/>
    <x v="0"/>
    <x v="0"/>
    <n v="1870.02"/>
  </r>
  <r>
    <s v="ORD200345"/>
    <d v="2023-12-07T00:00:00"/>
    <s v="C24751"/>
    <s v="Tablet"/>
    <n v="5"/>
    <n v="501.26"/>
    <s v="259 Main St"/>
    <x v="3"/>
    <s v="Shipped"/>
    <s v="TRK37285406"/>
    <n v="10"/>
    <x v="1"/>
    <x v="1"/>
    <n v="2506.3000000000002"/>
  </r>
  <r>
    <s v="ORD200346"/>
    <d v="2024-12-06T00:00:00"/>
    <s v="C31764"/>
    <s v="Tablet"/>
    <n v="1"/>
    <n v="655.09"/>
    <s v="876 Main St"/>
    <x v="4"/>
    <s v="Pending"/>
    <s v="TRK44680433"/>
    <n v="6"/>
    <x v="2"/>
    <x v="1"/>
    <n v="655.09"/>
  </r>
  <r>
    <s v="ORD200347"/>
    <d v="2024-02-03T00:00:00"/>
    <s v="C83556"/>
    <s v="Printer"/>
    <n v="4"/>
    <n v="264.79000000000002"/>
    <s v="380 Main St"/>
    <x v="2"/>
    <s v="Pending"/>
    <s v="TRK21109187"/>
    <n v="5"/>
    <x v="0"/>
    <x v="4"/>
    <n v="1059.1600000000001"/>
  </r>
  <r>
    <s v="ORD200348"/>
    <d v="2024-03-13T00:00:00"/>
    <s v="C24369"/>
    <s v="Laptop"/>
    <n v="3"/>
    <n v="359.73"/>
    <s v="885 Main St"/>
    <x v="0"/>
    <s v="Returned"/>
    <s v="TRK72633998"/>
    <n v="7"/>
    <x v="1"/>
    <x v="2"/>
    <n v="1079.19"/>
  </r>
  <r>
    <s v="ORD200349"/>
    <d v="2023-11-30T00:00:00"/>
    <s v="C39648"/>
    <s v="Chair"/>
    <n v="1"/>
    <n v="465.33"/>
    <s v="824 Main St"/>
    <x v="3"/>
    <s v="Delivered"/>
    <s v="TRK56016905"/>
    <n v="2"/>
    <x v="1"/>
    <x v="4"/>
    <n v="465.33"/>
  </r>
  <r>
    <s v="ORD200350"/>
    <d v="2023-06-03T00:00:00"/>
    <s v="C13296"/>
    <s v="Chair"/>
    <n v="2"/>
    <n v="54.41"/>
    <s v="495 Main St"/>
    <x v="1"/>
    <s v="Shipped"/>
    <s v="TRK60127216"/>
    <n v="6"/>
    <x v="2"/>
    <x v="0"/>
    <n v="108.82"/>
  </r>
  <r>
    <s v="ORD200351"/>
    <d v="2025-02-15T00:00:00"/>
    <s v="C94248"/>
    <s v="Laptop"/>
    <n v="1"/>
    <n v="64.66"/>
    <s v="494 Main St"/>
    <x v="0"/>
    <s v="Delivered"/>
    <s v="TRK89406816"/>
    <n v="4"/>
    <x v="2"/>
    <x v="0"/>
    <n v="64.66"/>
  </r>
  <r>
    <s v="ORD200352"/>
    <d v="2023-08-31T00:00:00"/>
    <s v="C26637"/>
    <s v="Chair"/>
    <n v="5"/>
    <n v="173.96"/>
    <s v="995 Main St"/>
    <x v="0"/>
    <s v="Pending"/>
    <s v="TRK59546992"/>
    <n v="8"/>
    <x v="3"/>
    <x v="0"/>
    <n v="869.80000000000007"/>
  </r>
  <r>
    <s v="ORD200353"/>
    <d v="2025-03-28T00:00:00"/>
    <s v="C16012"/>
    <s v="Tablet"/>
    <n v="1"/>
    <n v="630.82000000000005"/>
    <s v="171 Main St"/>
    <x v="1"/>
    <s v="Delivered"/>
    <s v="TRK15195225"/>
    <n v="5"/>
    <x v="1"/>
    <x v="4"/>
    <n v="630.82000000000005"/>
  </r>
  <r>
    <s v="ORD200354"/>
    <d v="2023-07-11T00:00:00"/>
    <s v="C31772"/>
    <s v="Phone"/>
    <n v="1"/>
    <n v="693.41"/>
    <s v="992 Main St"/>
    <x v="0"/>
    <s v="Shipped"/>
    <s v="TRK11970357"/>
    <n v="4"/>
    <x v="2"/>
    <x v="0"/>
    <n v="693.41"/>
  </r>
  <r>
    <s v="ORD200355"/>
    <d v="2025-06-03T00:00:00"/>
    <s v="C18353"/>
    <s v="Tablet"/>
    <n v="3"/>
    <n v="433.33"/>
    <s v="677 Main St"/>
    <x v="2"/>
    <s v="Cancelled"/>
    <s v="TRK78766533"/>
    <n v="4"/>
    <x v="1"/>
    <x v="1"/>
    <n v="1299.99"/>
  </r>
  <r>
    <s v="ORD200356"/>
    <d v="2023-05-06T00:00:00"/>
    <s v="C26966"/>
    <s v="Printer"/>
    <n v="5"/>
    <n v="374.58"/>
    <s v="907 Main St"/>
    <x v="3"/>
    <s v="Cancelled"/>
    <s v="TRK83889574"/>
    <n v="10"/>
    <x v="1"/>
    <x v="0"/>
    <n v="1872.9"/>
  </r>
  <r>
    <s v="ORD200357"/>
    <d v="2023-07-08T00:00:00"/>
    <s v="C74982"/>
    <s v="Laptop"/>
    <n v="5"/>
    <n v="408.56"/>
    <s v="398 Main St"/>
    <x v="0"/>
    <s v="Delivered"/>
    <s v="TRK98700702"/>
    <n v="8"/>
    <x v="1"/>
    <x v="0"/>
    <n v="2042.8"/>
  </r>
  <r>
    <s v="ORD200358"/>
    <d v="2024-04-07T00:00:00"/>
    <s v="C70633"/>
    <s v="Tablet"/>
    <n v="2"/>
    <n v="183.67"/>
    <s v="747 Main St"/>
    <x v="1"/>
    <s v="Cancelled"/>
    <s v="TRK82540521"/>
    <n v="3"/>
    <x v="0"/>
    <x v="4"/>
    <n v="367.34"/>
  </r>
  <r>
    <s v="ORD200359"/>
    <d v="2023-06-09T00:00:00"/>
    <s v="C95643"/>
    <s v="Desk"/>
    <n v="4"/>
    <n v="606.57000000000005"/>
    <s v="303 Main St"/>
    <x v="0"/>
    <s v="Delivered"/>
    <s v="TRK23286689"/>
    <n v="5"/>
    <x v="3"/>
    <x v="1"/>
    <n v="2426.2800000000002"/>
  </r>
  <r>
    <s v="ORD200360"/>
    <d v="2024-06-06T00:00:00"/>
    <s v="C53810"/>
    <s v="Phone"/>
    <n v="4"/>
    <n v="589.57000000000005"/>
    <s v="779 Main St"/>
    <x v="4"/>
    <s v="Pending"/>
    <s v="TRK34630612"/>
    <n v="8"/>
    <x v="2"/>
    <x v="0"/>
    <n v="2358.2800000000002"/>
  </r>
  <r>
    <s v="ORD200361"/>
    <d v="2024-06-29T00:00:00"/>
    <s v="C53464"/>
    <s v="Printer"/>
    <n v="5"/>
    <n v="659.85"/>
    <s v="197 Main St"/>
    <x v="2"/>
    <s v="Delivered"/>
    <s v="TRK32743531"/>
    <n v="9"/>
    <x v="0"/>
    <x v="3"/>
    <n v="3299.25"/>
  </r>
  <r>
    <s v="ORD200362"/>
    <d v="2023-06-27T00:00:00"/>
    <s v="C53697"/>
    <s v="Monitor"/>
    <n v="4"/>
    <n v="206.84"/>
    <s v="312 Main St"/>
    <x v="4"/>
    <s v="Cancelled"/>
    <s v="TRK60476656"/>
    <n v="5"/>
    <x v="3"/>
    <x v="0"/>
    <n v="827.36"/>
  </r>
  <r>
    <s v="ORD200363"/>
    <d v="2024-05-24T00:00:00"/>
    <s v="C31668"/>
    <s v="Laptop"/>
    <n v="5"/>
    <n v="113.87"/>
    <s v="871 Main St"/>
    <x v="2"/>
    <s v="Pending"/>
    <s v="TRK42584392"/>
    <n v="6"/>
    <x v="0"/>
    <x v="2"/>
    <n v="569.35"/>
  </r>
  <r>
    <s v="ORD200364"/>
    <d v="2023-11-24T00:00:00"/>
    <s v="C85282"/>
    <s v="Phone"/>
    <n v="5"/>
    <n v="628.74"/>
    <s v="740 Main St"/>
    <x v="4"/>
    <s v="Cancelled"/>
    <s v="TRK86767206"/>
    <n v="9"/>
    <x v="1"/>
    <x v="3"/>
    <n v="3143.7"/>
  </r>
  <r>
    <s v="ORD200365"/>
    <d v="2025-02-14T00:00:00"/>
    <s v="C56796"/>
    <s v="Phone"/>
    <n v="1"/>
    <n v="678.38"/>
    <s v="607 Main St"/>
    <x v="2"/>
    <s v="Cancelled"/>
    <s v="TRK74263180"/>
    <n v="4"/>
    <x v="0"/>
    <x v="1"/>
    <n v="678.38"/>
  </r>
  <r>
    <s v="ORD200366"/>
    <d v="2023-02-10T00:00:00"/>
    <s v="C95213"/>
    <s v="Printer"/>
    <n v="3"/>
    <n v="602.24"/>
    <s v="603 Main St"/>
    <x v="0"/>
    <s v="Pending"/>
    <s v="TRK40630538"/>
    <n v="8"/>
    <x v="2"/>
    <x v="1"/>
    <n v="1806.72"/>
  </r>
  <r>
    <s v="ORD200367"/>
    <d v="2024-04-25T00:00:00"/>
    <s v="C13108"/>
    <s v="Laptop"/>
    <n v="5"/>
    <n v="658.77"/>
    <s v="712 Main St"/>
    <x v="3"/>
    <s v="Pending"/>
    <s v="TRK82284400"/>
    <n v="10"/>
    <x v="1"/>
    <x v="0"/>
    <n v="3293.85"/>
  </r>
  <r>
    <s v="ORD200368"/>
    <d v="2023-05-01T00:00:00"/>
    <s v="C85322"/>
    <s v="Monitor"/>
    <n v="3"/>
    <n v="271.02"/>
    <s v="403 Main St"/>
    <x v="2"/>
    <s v="Cancelled"/>
    <s v="TRK89728869"/>
    <n v="6"/>
    <x v="2"/>
    <x v="4"/>
    <n v="813.06"/>
  </r>
  <r>
    <s v="ORD200369"/>
    <d v="2024-12-22T00:00:00"/>
    <s v="C43545"/>
    <s v="Monitor"/>
    <n v="5"/>
    <n v="375.25"/>
    <s v="216 Main St"/>
    <x v="3"/>
    <s v="Pending"/>
    <s v="TRK73937402"/>
    <n v="9"/>
    <x v="0"/>
    <x v="2"/>
    <n v="1876.25"/>
  </r>
  <r>
    <s v="ORD200370"/>
    <d v="2025-05-03T00:00:00"/>
    <s v="C80649"/>
    <s v="Phone"/>
    <n v="1"/>
    <n v="312.11"/>
    <s v="870 Main St"/>
    <x v="1"/>
    <s v="Cancelled"/>
    <s v="TRK41143313"/>
    <n v="4"/>
    <x v="3"/>
    <x v="3"/>
    <n v="312.11"/>
  </r>
  <r>
    <s v="ORD200371"/>
    <d v="2023-01-05T00:00:00"/>
    <s v="C59752"/>
    <s v="Phone"/>
    <n v="5"/>
    <n v="307.76"/>
    <s v="179 Main St"/>
    <x v="3"/>
    <s v="Pending"/>
    <s v="TRK82229639"/>
    <n v="9"/>
    <x v="1"/>
    <x v="4"/>
    <n v="1538.8"/>
  </r>
  <r>
    <s v="ORD200372"/>
    <d v="2025-02-14T00:00:00"/>
    <s v="C53645"/>
    <s v="Chair"/>
    <n v="3"/>
    <n v="483.53"/>
    <s v="166 Main St"/>
    <x v="4"/>
    <s v="Returned"/>
    <s v="TRK12123939"/>
    <n v="4"/>
    <x v="2"/>
    <x v="1"/>
    <n v="1450.59"/>
  </r>
  <r>
    <s v="ORD200373"/>
    <d v="2023-01-02T00:00:00"/>
    <s v="C60178"/>
    <s v="Laptop"/>
    <n v="3"/>
    <n v="341.15"/>
    <s v="969 Main St"/>
    <x v="4"/>
    <s v="Pending"/>
    <s v="TRK84505143"/>
    <n v="4"/>
    <x v="1"/>
    <x v="0"/>
    <n v="1023.45"/>
  </r>
  <r>
    <s v="ORD200374"/>
    <d v="2024-09-16T00:00:00"/>
    <s v="C20286"/>
    <s v="Monitor"/>
    <n v="1"/>
    <n v="571.9"/>
    <s v="129 Main St"/>
    <x v="3"/>
    <s v="Pending"/>
    <s v="TRK67648338"/>
    <n v="1"/>
    <x v="3"/>
    <x v="0"/>
    <n v="571.9"/>
  </r>
  <r>
    <s v="ORD200375"/>
    <d v="2025-01-16T00:00:00"/>
    <s v="C87547"/>
    <s v="Monitor"/>
    <n v="4"/>
    <n v="95.03"/>
    <s v="400 Main St"/>
    <x v="1"/>
    <s v="Shipped"/>
    <s v="TRK71027262"/>
    <n v="8"/>
    <x v="1"/>
    <x v="3"/>
    <n v="380.12"/>
  </r>
  <r>
    <s v="ORD200376"/>
    <d v="2023-08-24T00:00:00"/>
    <s v="C64549"/>
    <s v="Monitor"/>
    <n v="5"/>
    <n v="201.22"/>
    <s v="341 Main St"/>
    <x v="0"/>
    <s v="Pending"/>
    <s v="TRK20788231"/>
    <n v="6"/>
    <x v="1"/>
    <x v="3"/>
    <n v="1006.1"/>
  </r>
  <r>
    <s v="ORD200377"/>
    <d v="2024-07-22T00:00:00"/>
    <s v="C24884"/>
    <s v="Monitor"/>
    <n v="1"/>
    <n v="260.26"/>
    <s v="625 Main St"/>
    <x v="1"/>
    <s v="Pending"/>
    <s v="TRK44538419"/>
    <n v="5"/>
    <x v="3"/>
    <x v="0"/>
    <n v="260.26"/>
  </r>
  <r>
    <s v="ORD200378"/>
    <d v="2024-02-01T00:00:00"/>
    <s v="C62666"/>
    <s v="Chair"/>
    <n v="5"/>
    <n v="64.5"/>
    <s v="148 Main St"/>
    <x v="2"/>
    <s v="Pending"/>
    <s v="TRK91029390"/>
    <n v="8"/>
    <x v="3"/>
    <x v="0"/>
    <n v="322.5"/>
  </r>
  <r>
    <s v="ORD200379"/>
    <d v="2024-09-21T00:00:00"/>
    <s v="C47284"/>
    <s v="Phone"/>
    <n v="3"/>
    <n v="297.67"/>
    <s v="500 Main St"/>
    <x v="1"/>
    <s v="Shipped"/>
    <s v="TRK85756094"/>
    <n v="6"/>
    <x v="2"/>
    <x v="4"/>
    <n v="893.01"/>
  </r>
  <r>
    <s v="ORD200380"/>
    <d v="2024-04-20T00:00:00"/>
    <s v="C35355"/>
    <s v="Printer"/>
    <n v="4"/>
    <n v="331.9"/>
    <s v="127 Main St"/>
    <x v="4"/>
    <s v="Pending"/>
    <s v="TRK52935059"/>
    <n v="5"/>
    <x v="0"/>
    <x v="0"/>
    <n v="1327.6"/>
  </r>
  <r>
    <s v="ORD200381"/>
    <d v="2023-06-07T00:00:00"/>
    <s v="C29467"/>
    <s v="Chair"/>
    <n v="1"/>
    <n v="191.76"/>
    <s v="223 Main St"/>
    <x v="2"/>
    <s v="Returned"/>
    <s v="TRK98103385"/>
    <n v="1"/>
    <x v="1"/>
    <x v="0"/>
    <n v="191.76"/>
  </r>
  <r>
    <s v="ORD200382"/>
    <d v="2025-01-30T00:00:00"/>
    <s v="C26718"/>
    <s v="Printer"/>
    <n v="4"/>
    <n v="263.08999999999997"/>
    <s v="272 Main St"/>
    <x v="0"/>
    <s v="Shipped"/>
    <s v="TRK91702525"/>
    <n v="8"/>
    <x v="0"/>
    <x v="4"/>
    <n v="1052.3599999999999"/>
  </r>
  <r>
    <s v="ORD200383"/>
    <d v="2023-01-20T00:00:00"/>
    <s v="C18944"/>
    <s v="Chair"/>
    <n v="4"/>
    <n v="393.8"/>
    <s v="837 Main St"/>
    <x v="2"/>
    <s v="Pending"/>
    <s v="TRK45275439"/>
    <n v="7"/>
    <x v="0"/>
    <x v="2"/>
    <n v="1575.2"/>
  </r>
  <r>
    <s v="ORD200384"/>
    <d v="2024-11-24T00:00:00"/>
    <s v="C35628"/>
    <s v="Chair"/>
    <n v="3"/>
    <n v="553.57000000000005"/>
    <s v="147 Main St"/>
    <x v="2"/>
    <s v="Returned"/>
    <s v="TRK45688220"/>
    <n v="4"/>
    <x v="1"/>
    <x v="3"/>
    <n v="1660.71"/>
  </r>
  <r>
    <s v="ORD200385"/>
    <d v="2023-10-31T00:00:00"/>
    <s v="C56851"/>
    <s v="Chair"/>
    <n v="5"/>
    <n v="191.63"/>
    <s v="752 Main St"/>
    <x v="3"/>
    <s v="Delivered"/>
    <s v="TRK65290904"/>
    <n v="6"/>
    <x v="1"/>
    <x v="3"/>
    <n v="958.15"/>
  </r>
  <r>
    <s v="ORD200386"/>
    <d v="2023-04-28T00:00:00"/>
    <s v="C12421"/>
    <s v="Tablet"/>
    <n v="1"/>
    <n v="93.02"/>
    <s v="373 Main St"/>
    <x v="1"/>
    <s v="Returned"/>
    <s v="TRK32588504"/>
    <n v="4"/>
    <x v="2"/>
    <x v="2"/>
    <n v="93.02"/>
  </r>
  <r>
    <s v="ORD200387"/>
    <d v="2024-06-27T00:00:00"/>
    <s v="C25316"/>
    <s v="Printer"/>
    <n v="2"/>
    <n v="39.53"/>
    <s v="904 Main St"/>
    <x v="2"/>
    <s v="Shipped"/>
    <s v="TRK55423551"/>
    <n v="3"/>
    <x v="3"/>
    <x v="4"/>
    <n v="79.06"/>
  </r>
  <r>
    <s v="ORD200388"/>
    <d v="2023-12-28T00:00:00"/>
    <s v="C22657"/>
    <s v="Printer"/>
    <n v="3"/>
    <n v="633.97"/>
    <s v="152 Main St"/>
    <x v="4"/>
    <s v="Pending"/>
    <s v="TRK49157047"/>
    <n v="7"/>
    <x v="3"/>
    <x v="3"/>
    <n v="1901.91"/>
  </r>
  <r>
    <s v="ORD200389"/>
    <d v="2023-12-17T00:00:00"/>
    <s v="C29703"/>
    <s v="Desk"/>
    <n v="4"/>
    <n v="697.5"/>
    <s v="558 Main St"/>
    <x v="4"/>
    <s v="Shipped"/>
    <s v="TRK40543461"/>
    <n v="7"/>
    <x v="1"/>
    <x v="1"/>
    <n v="2790"/>
  </r>
  <r>
    <s v="ORD200390"/>
    <d v="2023-07-14T00:00:00"/>
    <s v="C55996"/>
    <s v="Printer"/>
    <n v="5"/>
    <n v="508.69"/>
    <s v="885 Main St"/>
    <x v="4"/>
    <s v="Delivered"/>
    <s v="TRK30547638"/>
    <n v="10"/>
    <x v="1"/>
    <x v="4"/>
    <n v="2543.4499999999998"/>
  </r>
  <r>
    <s v="ORD200391"/>
    <d v="2025-01-16T00:00:00"/>
    <s v="C60037"/>
    <s v="Laptop"/>
    <n v="2"/>
    <n v="527.46"/>
    <s v="516 Main St"/>
    <x v="0"/>
    <s v="Cancelled"/>
    <s v="TRK82009557"/>
    <n v="3"/>
    <x v="1"/>
    <x v="1"/>
    <n v="1054.92"/>
  </r>
  <r>
    <s v="ORD200392"/>
    <d v="2024-02-28T00:00:00"/>
    <s v="C95100"/>
    <s v="Phone"/>
    <n v="1"/>
    <n v="627.20000000000005"/>
    <s v="197 Main St"/>
    <x v="1"/>
    <s v="Delivered"/>
    <s v="TRK47366265"/>
    <n v="1"/>
    <x v="3"/>
    <x v="2"/>
    <n v="627.20000000000005"/>
  </r>
  <r>
    <s v="ORD200393"/>
    <d v="2024-07-14T00:00:00"/>
    <s v="C39906"/>
    <s v="Printer"/>
    <n v="1"/>
    <n v="75.010000000000005"/>
    <s v="921 Main St"/>
    <x v="2"/>
    <s v="Returned"/>
    <s v="TRK24632134"/>
    <n v="3"/>
    <x v="2"/>
    <x v="4"/>
    <n v="75.010000000000005"/>
  </r>
  <r>
    <s v="ORD200394"/>
    <d v="2023-07-05T00:00:00"/>
    <s v="C70148"/>
    <s v="Desk"/>
    <n v="5"/>
    <n v="529.54999999999995"/>
    <s v="359 Main St"/>
    <x v="3"/>
    <s v="Shipped"/>
    <s v="TRK34848650"/>
    <n v="10"/>
    <x v="2"/>
    <x v="3"/>
    <n v="2647.75"/>
  </r>
  <r>
    <s v="ORD200395"/>
    <d v="2025-04-25T00:00:00"/>
    <s v="C30010"/>
    <s v="Phone"/>
    <n v="3"/>
    <n v="127.41"/>
    <s v="830 Main St"/>
    <x v="3"/>
    <s v="Delivered"/>
    <s v="TRK35386084"/>
    <n v="7"/>
    <x v="0"/>
    <x v="1"/>
    <n v="382.23"/>
  </r>
  <r>
    <s v="ORD200396"/>
    <d v="2023-12-01T00:00:00"/>
    <s v="C99217"/>
    <s v="Tablet"/>
    <n v="5"/>
    <n v="287.13"/>
    <s v="778 Main St"/>
    <x v="1"/>
    <s v="Shipped"/>
    <s v="TRK82004594"/>
    <n v="10"/>
    <x v="0"/>
    <x v="2"/>
    <n v="1435.65"/>
  </r>
  <r>
    <s v="ORD200397"/>
    <d v="2023-09-28T00:00:00"/>
    <s v="C30184"/>
    <s v="Monitor"/>
    <n v="1"/>
    <n v="427.06"/>
    <s v="987 Main St"/>
    <x v="1"/>
    <s v="Cancelled"/>
    <s v="TRK86674704"/>
    <n v="1"/>
    <x v="3"/>
    <x v="1"/>
    <n v="427.06"/>
  </r>
  <r>
    <s v="ORD200398"/>
    <d v="2024-09-04T00:00:00"/>
    <s v="C50275"/>
    <s v="Phone"/>
    <n v="5"/>
    <n v="53.93"/>
    <s v="729 Main St"/>
    <x v="3"/>
    <s v="Shipped"/>
    <s v="TRK98925264"/>
    <n v="7"/>
    <x v="0"/>
    <x v="0"/>
    <n v="269.64999999999998"/>
  </r>
  <r>
    <s v="ORD200399"/>
    <d v="2024-01-07T00:00:00"/>
    <s v="C64641"/>
    <s v="Tablet"/>
    <n v="5"/>
    <n v="423.93"/>
    <s v="319 Main St"/>
    <x v="0"/>
    <s v="Returned"/>
    <s v="TRK32012588"/>
    <n v="5"/>
    <x v="1"/>
    <x v="3"/>
    <n v="2119.65"/>
  </r>
  <r>
    <s v="ORD200400"/>
    <d v="2024-09-28T00:00:00"/>
    <s v="C56266"/>
    <s v="Desk"/>
    <n v="4"/>
    <n v="160.22"/>
    <s v="304 Main St"/>
    <x v="0"/>
    <s v="Returned"/>
    <s v="TRK60088901"/>
    <n v="9"/>
    <x v="3"/>
    <x v="0"/>
    <n v="640.88"/>
  </r>
  <r>
    <s v="ORD200401"/>
    <d v="2025-04-09T00:00:00"/>
    <s v="C98635"/>
    <s v="Printer"/>
    <n v="1"/>
    <n v="538.67999999999995"/>
    <s v="197 Main St"/>
    <x v="0"/>
    <s v="Returned"/>
    <s v="TRK14225465"/>
    <n v="6"/>
    <x v="2"/>
    <x v="1"/>
    <n v="538.67999999999995"/>
  </r>
  <r>
    <s v="ORD200402"/>
    <d v="2023-04-09T00:00:00"/>
    <s v="C83026"/>
    <s v="Printer"/>
    <n v="5"/>
    <n v="337.38"/>
    <s v="858 Main St"/>
    <x v="3"/>
    <s v="Shipped"/>
    <s v="TRK79746259"/>
    <n v="5"/>
    <x v="2"/>
    <x v="1"/>
    <n v="1686.9"/>
  </r>
  <r>
    <s v="ORD200403"/>
    <d v="2024-11-10T00:00:00"/>
    <s v="C28893"/>
    <s v="Tablet"/>
    <n v="1"/>
    <n v="620.21"/>
    <s v="740 Main St"/>
    <x v="1"/>
    <s v="Returned"/>
    <s v="TRK98333066"/>
    <n v="1"/>
    <x v="1"/>
    <x v="1"/>
    <n v="620.21"/>
  </r>
  <r>
    <s v="ORD200404"/>
    <d v="2023-03-09T00:00:00"/>
    <s v="C45482"/>
    <s v="Monitor"/>
    <n v="2"/>
    <n v="99.1"/>
    <s v="440 Main St"/>
    <x v="4"/>
    <s v="Delivered"/>
    <s v="TRK54571699"/>
    <n v="6"/>
    <x v="2"/>
    <x v="0"/>
    <n v="198.2"/>
  </r>
  <r>
    <s v="ORD200405"/>
    <d v="2025-01-26T00:00:00"/>
    <s v="C97774"/>
    <s v="Monitor"/>
    <n v="4"/>
    <n v="451.97"/>
    <s v="603 Main St"/>
    <x v="1"/>
    <s v="Cancelled"/>
    <s v="TRK64664424"/>
    <n v="7"/>
    <x v="3"/>
    <x v="2"/>
    <n v="1807.88"/>
  </r>
  <r>
    <s v="ORD200406"/>
    <d v="2023-12-10T00:00:00"/>
    <s v="C11657"/>
    <s v="Tablet"/>
    <n v="4"/>
    <n v="66.099999999999994"/>
    <s v="572 Main St"/>
    <x v="4"/>
    <s v="Returned"/>
    <s v="TRK50284486"/>
    <n v="9"/>
    <x v="3"/>
    <x v="4"/>
    <n v="264.39999999999998"/>
  </r>
  <r>
    <s v="ORD200407"/>
    <d v="2023-08-13T00:00:00"/>
    <s v="C85993"/>
    <s v="Tablet"/>
    <n v="4"/>
    <n v="547.32000000000005"/>
    <s v="250 Main St"/>
    <x v="4"/>
    <s v="Returned"/>
    <s v="TRK72547640"/>
    <n v="8"/>
    <x v="1"/>
    <x v="0"/>
    <n v="2189.2800000000002"/>
  </r>
  <r>
    <s v="ORD200408"/>
    <d v="2025-01-01T00:00:00"/>
    <s v="C11906"/>
    <s v="Printer"/>
    <n v="3"/>
    <n v="412.53"/>
    <s v="536 Main St"/>
    <x v="1"/>
    <s v="Pending"/>
    <s v="TRK31140158"/>
    <n v="6"/>
    <x v="3"/>
    <x v="4"/>
    <n v="1237.5899999999999"/>
  </r>
  <r>
    <s v="ORD200409"/>
    <d v="2023-06-28T00:00:00"/>
    <s v="C45187"/>
    <s v="Desk"/>
    <n v="5"/>
    <n v="84.13"/>
    <s v="767 Main St"/>
    <x v="1"/>
    <s v="Delivered"/>
    <s v="TRK12320793"/>
    <n v="9"/>
    <x v="0"/>
    <x v="4"/>
    <n v="420.65"/>
  </r>
  <r>
    <s v="ORD200410"/>
    <d v="2024-01-18T00:00:00"/>
    <s v="C37375"/>
    <s v="Tablet"/>
    <n v="2"/>
    <n v="518.23"/>
    <s v="184 Main St"/>
    <x v="0"/>
    <s v="Shipped"/>
    <s v="TRK52470162"/>
    <n v="5"/>
    <x v="2"/>
    <x v="2"/>
    <n v="1036.46"/>
  </r>
  <r>
    <s v="ORD200411"/>
    <d v="2024-06-19T00:00:00"/>
    <s v="C66567"/>
    <s v="Desk"/>
    <n v="2"/>
    <n v="39.51"/>
    <s v="981 Main St"/>
    <x v="1"/>
    <s v="Shipped"/>
    <s v="TRK21174822"/>
    <n v="5"/>
    <x v="2"/>
    <x v="3"/>
    <n v="79.02"/>
  </r>
  <r>
    <s v="ORD200412"/>
    <d v="2025-04-11T00:00:00"/>
    <s v="C42451"/>
    <s v="Tablet"/>
    <n v="5"/>
    <n v="133.01"/>
    <s v="246 Main St"/>
    <x v="2"/>
    <s v="Returned"/>
    <s v="TRK31313343"/>
    <n v="10"/>
    <x v="2"/>
    <x v="3"/>
    <n v="665.05"/>
  </r>
  <r>
    <s v="ORD200413"/>
    <d v="2023-10-08T00:00:00"/>
    <s v="C13923"/>
    <s v="Tablet"/>
    <n v="1"/>
    <n v="118.8"/>
    <s v="123 Main St"/>
    <x v="1"/>
    <s v="Delivered"/>
    <s v="TRK87598790"/>
    <n v="6"/>
    <x v="0"/>
    <x v="2"/>
    <n v="118.8"/>
  </r>
  <r>
    <s v="ORD200414"/>
    <d v="2025-05-04T00:00:00"/>
    <s v="C11829"/>
    <s v="Desk"/>
    <n v="2"/>
    <n v="139.57"/>
    <s v="797 Main St"/>
    <x v="4"/>
    <s v="Delivered"/>
    <s v="TRK84229257"/>
    <n v="4"/>
    <x v="3"/>
    <x v="3"/>
    <n v="279.14"/>
  </r>
  <r>
    <s v="ORD200415"/>
    <d v="2025-04-06T00:00:00"/>
    <s v="C62169"/>
    <s v="Chair"/>
    <n v="1"/>
    <n v="184.15"/>
    <s v="655 Main St"/>
    <x v="3"/>
    <s v="Shipped"/>
    <s v="TRK64558985"/>
    <n v="5"/>
    <x v="1"/>
    <x v="3"/>
    <n v="184.15"/>
  </r>
  <r>
    <s v="ORD200416"/>
    <d v="2023-07-18T00:00:00"/>
    <s v="C20881"/>
    <s v="Laptop"/>
    <n v="2"/>
    <n v="644.04999999999995"/>
    <s v="652 Main St"/>
    <x v="3"/>
    <s v="Cancelled"/>
    <s v="TRK26263902"/>
    <n v="5"/>
    <x v="3"/>
    <x v="1"/>
    <n v="1288.0999999999999"/>
  </r>
  <r>
    <s v="ORD200417"/>
    <d v="2023-10-24T00:00:00"/>
    <s v="C44492"/>
    <s v="Laptop"/>
    <n v="5"/>
    <n v="55.41"/>
    <s v="954 Main St"/>
    <x v="1"/>
    <s v="Cancelled"/>
    <s v="TRK51429869"/>
    <n v="5"/>
    <x v="2"/>
    <x v="4"/>
    <n v="277.05"/>
  </r>
  <r>
    <s v="ORD200418"/>
    <d v="2023-01-11T00:00:00"/>
    <s v="C74169"/>
    <s v="Printer"/>
    <n v="1"/>
    <n v="310.93"/>
    <s v="862 Main St"/>
    <x v="1"/>
    <s v="Cancelled"/>
    <s v="TRK66144809"/>
    <n v="3"/>
    <x v="2"/>
    <x v="3"/>
    <n v="310.93"/>
  </r>
  <r>
    <s v="ORD200419"/>
    <d v="2024-04-17T00:00:00"/>
    <s v="C70999"/>
    <s v="Tablet"/>
    <n v="2"/>
    <n v="216.66"/>
    <s v="885 Main St"/>
    <x v="0"/>
    <s v="Pending"/>
    <s v="TRK75644156"/>
    <n v="6"/>
    <x v="1"/>
    <x v="0"/>
    <n v="433.32"/>
  </r>
  <r>
    <s v="ORD200420"/>
    <d v="2024-11-29T00:00:00"/>
    <s v="C11921"/>
    <s v="Phone"/>
    <n v="1"/>
    <n v="452.7"/>
    <s v="439 Main St"/>
    <x v="0"/>
    <s v="Shipped"/>
    <s v="TRK91362635"/>
    <n v="5"/>
    <x v="1"/>
    <x v="0"/>
    <n v="452.7"/>
  </r>
  <r>
    <s v="ORD200421"/>
    <d v="2023-10-15T00:00:00"/>
    <s v="C50683"/>
    <s v="Chair"/>
    <n v="2"/>
    <n v="288.20999999999998"/>
    <s v="769 Main St"/>
    <x v="0"/>
    <s v="Cancelled"/>
    <s v="TRK53032122"/>
    <n v="5"/>
    <x v="2"/>
    <x v="2"/>
    <n v="576.41999999999996"/>
  </r>
  <r>
    <s v="ORD200422"/>
    <d v="2023-06-05T00:00:00"/>
    <s v="C76140"/>
    <s v="Phone"/>
    <n v="4"/>
    <n v="206.6"/>
    <s v="914 Main St"/>
    <x v="3"/>
    <s v="Returned"/>
    <s v="TRK25861469"/>
    <n v="6"/>
    <x v="3"/>
    <x v="1"/>
    <n v="826.4"/>
  </r>
  <r>
    <s v="ORD200423"/>
    <d v="2024-07-20T00:00:00"/>
    <s v="C94311"/>
    <s v="Printer"/>
    <n v="4"/>
    <n v="685.2"/>
    <s v="195 Main St"/>
    <x v="3"/>
    <s v="Cancelled"/>
    <s v="TRK97308771"/>
    <n v="6"/>
    <x v="3"/>
    <x v="4"/>
    <n v="2740.8"/>
  </r>
  <r>
    <s v="ORD200424"/>
    <d v="2023-04-12T00:00:00"/>
    <s v="C49491"/>
    <s v="Chair"/>
    <n v="5"/>
    <n v="22.94"/>
    <s v="339 Main St"/>
    <x v="4"/>
    <s v="Pending"/>
    <s v="TRK64012257"/>
    <n v="10"/>
    <x v="2"/>
    <x v="2"/>
    <n v="114.7"/>
  </r>
  <r>
    <s v="ORD200425"/>
    <d v="2023-03-09T00:00:00"/>
    <s v="C40648"/>
    <s v="Laptop"/>
    <n v="2"/>
    <n v="301.88"/>
    <s v="488 Main St"/>
    <x v="3"/>
    <s v="Returned"/>
    <s v="TRK25325993"/>
    <n v="5"/>
    <x v="3"/>
    <x v="2"/>
    <n v="603.76"/>
  </r>
  <r>
    <s v="ORD200426"/>
    <d v="2025-03-16T00:00:00"/>
    <s v="C40967"/>
    <s v="Monitor"/>
    <n v="5"/>
    <n v="57.45"/>
    <s v="315 Main St"/>
    <x v="4"/>
    <s v="Cancelled"/>
    <s v="TRK24839296"/>
    <n v="10"/>
    <x v="2"/>
    <x v="3"/>
    <n v="287.25"/>
  </r>
  <r>
    <s v="ORD200427"/>
    <d v="2024-12-18T00:00:00"/>
    <s v="C25406"/>
    <s v="Desk"/>
    <n v="1"/>
    <n v="161.24"/>
    <s v="379 Main St"/>
    <x v="2"/>
    <s v="Pending"/>
    <s v="TRK70952564"/>
    <n v="3"/>
    <x v="3"/>
    <x v="0"/>
    <n v="161.24"/>
  </r>
  <r>
    <s v="ORD200428"/>
    <d v="2024-11-26T00:00:00"/>
    <s v="C77085"/>
    <s v="Chair"/>
    <n v="4"/>
    <n v="262.58"/>
    <s v="895 Main St"/>
    <x v="1"/>
    <s v="Cancelled"/>
    <s v="TRK57227640"/>
    <n v="8"/>
    <x v="3"/>
    <x v="2"/>
    <n v="1050.32"/>
  </r>
  <r>
    <s v="ORD200429"/>
    <d v="2024-12-19T00:00:00"/>
    <s v="C38126"/>
    <s v="Printer"/>
    <n v="4"/>
    <n v="515.19000000000005"/>
    <s v="522 Main St"/>
    <x v="2"/>
    <s v="Pending"/>
    <s v="TRK90838498"/>
    <n v="9"/>
    <x v="0"/>
    <x v="3"/>
    <n v="2060.7600000000002"/>
  </r>
  <r>
    <s v="ORD200430"/>
    <d v="2023-06-07T00:00:00"/>
    <s v="C87448"/>
    <s v="Phone"/>
    <n v="1"/>
    <n v="450.07"/>
    <s v="433 Main St"/>
    <x v="3"/>
    <s v="Shipped"/>
    <s v="TRK44134016"/>
    <n v="6"/>
    <x v="1"/>
    <x v="4"/>
    <n v="450.07"/>
  </r>
  <r>
    <s v="ORD200431"/>
    <d v="2024-10-06T00:00:00"/>
    <s v="C62312"/>
    <s v="Printer"/>
    <n v="1"/>
    <n v="52.54"/>
    <s v="651 Main St"/>
    <x v="0"/>
    <s v="Cancelled"/>
    <s v="TRK59623037"/>
    <n v="6"/>
    <x v="3"/>
    <x v="3"/>
    <n v="52.54"/>
  </r>
  <r>
    <s v="ORD200432"/>
    <d v="2023-09-04T00:00:00"/>
    <s v="C58443"/>
    <s v="Tablet"/>
    <n v="2"/>
    <n v="424.32"/>
    <s v="662 Main St"/>
    <x v="2"/>
    <s v="Returned"/>
    <s v="TRK77163738"/>
    <n v="6"/>
    <x v="2"/>
    <x v="1"/>
    <n v="848.64"/>
  </r>
  <r>
    <s v="ORD200433"/>
    <d v="2023-08-26T00:00:00"/>
    <s v="C36613"/>
    <s v="Monitor"/>
    <n v="3"/>
    <n v="631.64"/>
    <s v="785 Main St"/>
    <x v="2"/>
    <s v="Returned"/>
    <s v="TRK13282106"/>
    <n v="3"/>
    <x v="1"/>
    <x v="3"/>
    <n v="1894.92"/>
  </r>
  <r>
    <s v="ORD200434"/>
    <d v="2023-10-22T00:00:00"/>
    <s v="C73893"/>
    <s v="Printer"/>
    <n v="5"/>
    <n v="327.68"/>
    <s v="384 Main St"/>
    <x v="2"/>
    <s v="Returned"/>
    <s v="TRK85939879"/>
    <n v="6"/>
    <x v="2"/>
    <x v="3"/>
    <n v="1638.4"/>
  </r>
  <r>
    <s v="ORD200435"/>
    <d v="2023-05-27T00:00:00"/>
    <s v="C48601"/>
    <s v="Printer"/>
    <n v="1"/>
    <n v="414.47"/>
    <s v="101 Main St"/>
    <x v="0"/>
    <s v="Returned"/>
    <s v="TRK97868309"/>
    <n v="3"/>
    <x v="1"/>
    <x v="0"/>
    <n v="414.47"/>
  </r>
  <r>
    <s v="ORD200436"/>
    <d v="2023-02-11T00:00:00"/>
    <s v="C14568"/>
    <s v="Laptop"/>
    <n v="4"/>
    <n v="221.33"/>
    <s v="651 Main St"/>
    <x v="1"/>
    <s v="Pending"/>
    <s v="TRK73545796"/>
    <n v="5"/>
    <x v="2"/>
    <x v="4"/>
    <n v="885.32"/>
  </r>
  <r>
    <s v="ORD200437"/>
    <d v="2024-04-18T00:00:00"/>
    <s v="C63378"/>
    <s v="Phone"/>
    <n v="1"/>
    <n v="512.39"/>
    <s v="955 Main St"/>
    <x v="1"/>
    <s v="Delivered"/>
    <s v="TRK20863705"/>
    <n v="2"/>
    <x v="1"/>
    <x v="0"/>
    <n v="512.39"/>
  </r>
  <r>
    <s v="ORD200438"/>
    <d v="2025-01-03T00:00:00"/>
    <s v="C77800"/>
    <s v="Tablet"/>
    <n v="3"/>
    <n v="459.34"/>
    <s v="436 Main St"/>
    <x v="3"/>
    <s v="Pending"/>
    <s v="TRK27439574"/>
    <n v="3"/>
    <x v="0"/>
    <x v="0"/>
    <n v="1378.02"/>
  </r>
  <r>
    <s v="ORD200439"/>
    <d v="2024-09-08T00:00:00"/>
    <s v="C91155"/>
    <s v="Tablet"/>
    <n v="1"/>
    <n v="146.32"/>
    <s v="321 Main St"/>
    <x v="1"/>
    <s v="Shipped"/>
    <s v="TRK36260319"/>
    <n v="4"/>
    <x v="3"/>
    <x v="3"/>
    <n v="146.32"/>
  </r>
  <r>
    <s v="ORD200440"/>
    <d v="2024-11-05T00:00:00"/>
    <s v="C60215"/>
    <s v="Desk"/>
    <n v="4"/>
    <n v="83.6"/>
    <s v="978 Main St"/>
    <x v="0"/>
    <s v="Pending"/>
    <s v="TRK31727767"/>
    <n v="4"/>
    <x v="0"/>
    <x v="3"/>
    <n v="334.4"/>
  </r>
  <r>
    <s v="ORD200441"/>
    <d v="2023-12-13T00:00:00"/>
    <s v="C52915"/>
    <s v="Printer"/>
    <n v="2"/>
    <n v="328.54"/>
    <s v="475 Main St"/>
    <x v="3"/>
    <s v="Returned"/>
    <s v="TRK79466982"/>
    <n v="6"/>
    <x v="1"/>
    <x v="2"/>
    <n v="657.08"/>
  </r>
  <r>
    <s v="ORD200442"/>
    <d v="2024-05-06T00:00:00"/>
    <s v="C72588"/>
    <s v="Chair"/>
    <n v="5"/>
    <n v="314.94"/>
    <s v="661 Main St"/>
    <x v="4"/>
    <s v="Pending"/>
    <s v="TRK43410829"/>
    <n v="8"/>
    <x v="0"/>
    <x v="0"/>
    <n v="1574.7"/>
  </r>
  <r>
    <s v="ORD200443"/>
    <d v="2024-05-14T00:00:00"/>
    <s v="C61668"/>
    <s v="Chair"/>
    <n v="2"/>
    <n v="69.64"/>
    <s v="813 Main St"/>
    <x v="4"/>
    <s v="Returned"/>
    <s v="TRK58970302"/>
    <n v="6"/>
    <x v="2"/>
    <x v="3"/>
    <n v="139.28"/>
  </r>
  <r>
    <s v="ORD200444"/>
    <d v="2024-06-08T00:00:00"/>
    <s v="C79508"/>
    <s v="Printer"/>
    <n v="1"/>
    <n v="135.16999999999999"/>
    <s v="585 Main St"/>
    <x v="1"/>
    <s v="Shipped"/>
    <s v="TRK61882353"/>
    <n v="6"/>
    <x v="1"/>
    <x v="0"/>
    <n v="135.16999999999999"/>
  </r>
  <r>
    <s v="ORD200445"/>
    <d v="2024-03-23T00:00:00"/>
    <s v="C94569"/>
    <s v="Phone"/>
    <n v="1"/>
    <n v="487.21"/>
    <s v="227 Main St"/>
    <x v="4"/>
    <s v="Delivered"/>
    <s v="TRK31351770"/>
    <n v="3"/>
    <x v="0"/>
    <x v="1"/>
    <n v="487.21"/>
  </r>
  <r>
    <s v="ORD200446"/>
    <d v="2023-10-18T00:00:00"/>
    <s v="C89592"/>
    <s v="Laptop"/>
    <n v="5"/>
    <n v="509.58"/>
    <s v="262 Main St"/>
    <x v="1"/>
    <s v="Delivered"/>
    <s v="TRK49442402"/>
    <n v="6"/>
    <x v="1"/>
    <x v="0"/>
    <n v="2547.9"/>
  </r>
  <r>
    <s v="ORD200447"/>
    <d v="2024-04-07T00:00:00"/>
    <s v="C48207"/>
    <s v="Printer"/>
    <n v="2"/>
    <n v="416.81"/>
    <s v="356 Main St"/>
    <x v="4"/>
    <s v="Returned"/>
    <s v="TRK45355655"/>
    <n v="2"/>
    <x v="2"/>
    <x v="3"/>
    <n v="833.62"/>
  </r>
  <r>
    <s v="ORD200448"/>
    <d v="2023-09-04T00:00:00"/>
    <s v="C16776"/>
    <s v="Laptop"/>
    <n v="2"/>
    <n v="160"/>
    <s v="854 Main St"/>
    <x v="4"/>
    <s v="Pending"/>
    <s v="TRK12860600"/>
    <n v="4"/>
    <x v="0"/>
    <x v="0"/>
    <n v="320"/>
  </r>
  <r>
    <s v="ORD200449"/>
    <d v="2024-08-26T00:00:00"/>
    <s v="C91518"/>
    <s v="Tablet"/>
    <n v="3"/>
    <n v="253.05"/>
    <s v="286 Main St"/>
    <x v="1"/>
    <s v="Pending"/>
    <s v="TRK48688724"/>
    <n v="3"/>
    <x v="2"/>
    <x v="0"/>
    <n v="759.15000000000009"/>
  </r>
  <r>
    <s v="ORD200450"/>
    <d v="2024-01-15T00:00:00"/>
    <s v="C36408"/>
    <s v="Monitor"/>
    <n v="5"/>
    <n v="615.1"/>
    <s v="160 Main St"/>
    <x v="3"/>
    <s v="Returned"/>
    <s v="TRK94023253"/>
    <n v="10"/>
    <x v="3"/>
    <x v="0"/>
    <n v="3075.5"/>
  </r>
  <r>
    <s v="ORD200451"/>
    <d v="2023-04-01T00:00:00"/>
    <s v="C14837"/>
    <s v="Monitor"/>
    <n v="1"/>
    <n v="183.18"/>
    <s v="647 Main St"/>
    <x v="0"/>
    <s v="Cancelled"/>
    <s v="TRK17501136"/>
    <n v="6"/>
    <x v="0"/>
    <x v="2"/>
    <n v="183.18"/>
  </r>
  <r>
    <s v="ORD200452"/>
    <d v="2023-07-23T00:00:00"/>
    <s v="C36467"/>
    <s v="Printer"/>
    <n v="1"/>
    <n v="75.78"/>
    <s v="581 Main St"/>
    <x v="4"/>
    <s v="Pending"/>
    <s v="TRK20863987"/>
    <n v="5"/>
    <x v="0"/>
    <x v="4"/>
    <n v="75.78"/>
  </r>
  <r>
    <s v="ORD200453"/>
    <d v="2025-05-02T00:00:00"/>
    <s v="C15017"/>
    <s v="Tablet"/>
    <n v="1"/>
    <n v="675.57"/>
    <s v="492 Main St"/>
    <x v="4"/>
    <s v="Shipped"/>
    <s v="TRK51241924"/>
    <n v="1"/>
    <x v="3"/>
    <x v="3"/>
    <n v="675.57"/>
  </r>
  <r>
    <s v="ORD200454"/>
    <d v="2024-11-27T00:00:00"/>
    <s v="C54759"/>
    <s v="Laptop"/>
    <n v="1"/>
    <n v="109.29"/>
    <s v="686 Main St"/>
    <x v="0"/>
    <s v="Cancelled"/>
    <s v="TRK75583042"/>
    <n v="5"/>
    <x v="1"/>
    <x v="4"/>
    <n v="109.29"/>
  </r>
  <r>
    <s v="ORD200455"/>
    <d v="2024-03-26T00:00:00"/>
    <s v="C58341"/>
    <s v="Phone"/>
    <n v="1"/>
    <n v="639.83000000000004"/>
    <s v="874 Main St"/>
    <x v="0"/>
    <s v="Pending"/>
    <s v="TRK32856728"/>
    <n v="2"/>
    <x v="0"/>
    <x v="1"/>
    <n v="639.83000000000004"/>
  </r>
  <r>
    <s v="ORD200456"/>
    <d v="2023-06-26T00:00:00"/>
    <s v="C94479"/>
    <s v="Desk"/>
    <n v="5"/>
    <n v="62.81"/>
    <s v="259 Main St"/>
    <x v="2"/>
    <s v="Shipped"/>
    <s v="TRK69089975"/>
    <n v="9"/>
    <x v="0"/>
    <x v="3"/>
    <n v="314.05"/>
  </r>
  <r>
    <s v="ORD200457"/>
    <d v="2025-05-25T00:00:00"/>
    <s v="C50236"/>
    <s v="Desk"/>
    <n v="4"/>
    <n v="615.83000000000004"/>
    <s v="545 Main St"/>
    <x v="1"/>
    <s v="Returned"/>
    <s v="TRK67692578"/>
    <n v="4"/>
    <x v="3"/>
    <x v="0"/>
    <n v="2463.3200000000002"/>
  </r>
  <r>
    <s v="ORD200458"/>
    <d v="2024-07-02T00:00:00"/>
    <s v="C31412"/>
    <s v="Monitor"/>
    <n v="4"/>
    <n v="510.58"/>
    <s v="196 Main St"/>
    <x v="2"/>
    <s v="Returned"/>
    <s v="TRK61946127"/>
    <n v="7"/>
    <x v="3"/>
    <x v="2"/>
    <n v="2042.32"/>
  </r>
  <r>
    <s v="ORD200459"/>
    <d v="2024-07-24T00:00:00"/>
    <s v="C90142"/>
    <s v="Desk"/>
    <n v="1"/>
    <n v="334.39"/>
    <s v="433 Main St"/>
    <x v="2"/>
    <s v="Returned"/>
    <s v="TRK39717191"/>
    <n v="2"/>
    <x v="2"/>
    <x v="0"/>
    <n v="334.39"/>
  </r>
  <r>
    <s v="ORD200460"/>
    <d v="2024-10-06T00:00:00"/>
    <s v="C83548"/>
    <s v="Laptop"/>
    <n v="1"/>
    <n v="144.25"/>
    <s v="474 Main St"/>
    <x v="4"/>
    <s v="Returned"/>
    <s v="TRK93822942"/>
    <n v="2"/>
    <x v="3"/>
    <x v="1"/>
    <n v="144.25"/>
  </r>
  <r>
    <s v="ORD200461"/>
    <d v="2024-06-08T00:00:00"/>
    <s v="C29697"/>
    <s v="Tablet"/>
    <n v="1"/>
    <n v="401.82"/>
    <s v="407 Main St"/>
    <x v="2"/>
    <s v="Shipped"/>
    <s v="TRK47776482"/>
    <n v="5"/>
    <x v="1"/>
    <x v="4"/>
    <n v="401.82"/>
  </r>
  <r>
    <s v="ORD200462"/>
    <d v="2025-03-31T00:00:00"/>
    <s v="C22991"/>
    <s v="Phone"/>
    <n v="1"/>
    <n v="252.68"/>
    <s v="731 Main St"/>
    <x v="1"/>
    <s v="Cancelled"/>
    <s v="TRK32796086"/>
    <n v="1"/>
    <x v="2"/>
    <x v="1"/>
    <n v="252.68"/>
  </r>
  <r>
    <s v="ORD200463"/>
    <d v="2023-05-26T00:00:00"/>
    <s v="C25276"/>
    <s v="Laptop"/>
    <n v="5"/>
    <n v="662.78"/>
    <s v="214 Main St"/>
    <x v="0"/>
    <s v="Shipped"/>
    <s v="TRK14011732"/>
    <n v="9"/>
    <x v="0"/>
    <x v="0"/>
    <n v="3313.9"/>
  </r>
  <r>
    <s v="ORD200464"/>
    <d v="2023-03-14T00:00:00"/>
    <s v="C39176"/>
    <s v="Tablet"/>
    <n v="4"/>
    <n v="434.42"/>
    <s v="739 Main St"/>
    <x v="1"/>
    <s v="Cancelled"/>
    <s v="TRK71418686"/>
    <n v="6"/>
    <x v="1"/>
    <x v="4"/>
    <n v="1737.68"/>
  </r>
  <r>
    <s v="ORD200465"/>
    <d v="2024-02-26T00:00:00"/>
    <s v="C58773"/>
    <s v="Printer"/>
    <n v="5"/>
    <n v="513.49"/>
    <s v="391 Main St"/>
    <x v="3"/>
    <s v="Cancelled"/>
    <s v="TRK65438300"/>
    <n v="8"/>
    <x v="2"/>
    <x v="4"/>
    <n v="2567.4499999999998"/>
  </r>
  <r>
    <s v="ORD200466"/>
    <d v="2023-07-18T00:00:00"/>
    <s v="C37412"/>
    <s v="Phone"/>
    <n v="1"/>
    <n v="432.47"/>
    <s v="895 Main St"/>
    <x v="4"/>
    <s v="Delivered"/>
    <s v="TRK97829604"/>
    <n v="4"/>
    <x v="1"/>
    <x v="1"/>
    <n v="432.47"/>
  </r>
  <r>
    <s v="ORD200467"/>
    <d v="2024-08-30T00:00:00"/>
    <s v="C36492"/>
    <s v="Desk"/>
    <n v="1"/>
    <n v="45.94"/>
    <s v="572 Main St"/>
    <x v="4"/>
    <s v="Cancelled"/>
    <s v="TRK44350440"/>
    <n v="2"/>
    <x v="3"/>
    <x v="2"/>
    <n v="45.94"/>
  </r>
  <r>
    <s v="ORD200468"/>
    <d v="2025-06-21T00:00:00"/>
    <s v="C90110"/>
    <s v="Phone"/>
    <n v="1"/>
    <n v="418.36"/>
    <s v="998 Main St"/>
    <x v="2"/>
    <s v="Delivered"/>
    <s v="TRK60203957"/>
    <n v="5"/>
    <x v="1"/>
    <x v="2"/>
    <n v="418.36"/>
  </r>
  <r>
    <s v="ORD200469"/>
    <d v="2023-11-26T00:00:00"/>
    <s v="C13877"/>
    <s v="Chair"/>
    <n v="5"/>
    <n v="676.98"/>
    <s v="893 Main St"/>
    <x v="4"/>
    <s v="Cancelled"/>
    <s v="TRK17254691"/>
    <n v="5"/>
    <x v="2"/>
    <x v="3"/>
    <n v="3384.9"/>
  </r>
  <r>
    <s v="ORD200470"/>
    <d v="2023-09-29T00:00:00"/>
    <s v="C25149"/>
    <s v="Tablet"/>
    <n v="4"/>
    <n v="263.62"/>
    <s v="672 Main St"/>
    <x v="4"/>
    <s v="Shipped"/>
    <s v="TRK33538608"/>
    <n v="5"/>
    <x v="0"/>
    <x v="2"/>
    <n v="1054.48"/>
  </r>
  <r>
    <s v="ORD200471"/>
    <d v="2025-04-19T00:00:00"/>
    <s v="C52717"/>
    <s v="Desk"/>
    <n v="5"/>
    <n v="551.27"/>
    <s v="395 Main St"/>
    <x v="1"/>
    <s v="Cancelled"/>
    <s v="TRK27625571"/>
    <n v="7"/>
    <x v="1"/>
    <x v="1"/>
    <n v="2756.35"/>
  </r>
  <r>
    <s v="ORD200472"/>
    <d v="2023-01-06T00:00:00"/>
    <s v="C60029"/>
    <s v="Chair"/>
    <n v="3"/>
    <n v="508.12"/>
    <s v="796 Main St"/>
    <x v="2"/>
    <s v="Cancelled"/>
    <s v="TRK86461316"/>
    <n v="8"/>
    <x v="1"/>
    <x v="1"/>
    <n v="1524.36"/>
  </r>
  <r>
    <s v="ORD200473"/>
    <d v="2025-02-25T00:00:00"/>
    <s v="C28552"/>
    <s v="Chair"/>
    <n v="2"/>
    <n v="14.93"/>
    <s v="449 Main St"/>
    <x v="1"/>
    <s v="Shipped"/>
    <s v="TRK71597160"/>
    <n v="4"/>
    <x v="2"/>
    <x v="3"/>
    <n v="29.86"/>
  </r>
  <r>
    <s v="ORD200474"/>
    <d v="2023-11-15T00:00:00"/>
    <s v="C72293"/>
    <s v="Printer"/>
    <n v="3"/>
    <n v="229.34"/>
    <s v="398 Main St"/>
    <x v="2"/>
    <s v="Shipped"/>
    <s v="TRK84378003"/>
    <n v="6"/>
    <x v="0"/>
    <x v="1"/>
    <n v="688.02"/>
  </r>
  <r>
    <s v="ORD200475"/>
    <d v="2025-04-19T00:00:00"/>
    <s v="C29844"/>
    <s v="Tablet"/>
    <n v="2"/>
    <n v="438.62"/>
    <s v="363 Main St"/>
    <x v="4"/>
    <s v="Cancelled"/>
    <s v="TRK91642337"/>
    <n v="3"/>
    <x v="0"/>
    <x v="3"/>
    <n v="877.24"/>
  </r>
  <r>
    <s v="ORD200476"/>
    <d v="2024-01-15T00:00:00"/>
    <s v="C77872"/>
    <s v="Phone"/>
    <n v="2"/>
    <n v="513.59"/>
    <s v="867 Main St"/>
    <x v="1"/>
    <s v="Returned"/>
    <s v="TRK19292184"/>
    <n v="4"/>
    <x v="1"/>
    <x v="1"/>
    <n v="1027.18"/>
  </r>
  <r>
    <s v="ORD200477"/>
    <d v="2025-03-05T00:00:00"/>
    <s v="C56564"/>
    <s v="Phone"/>
    <n v="2"/>
    <n v="253.74"/>
    <s v="481 Main St"/>
    <x v="1"/>
    <s v="Shipped"/>
    <s v="TRK13166044"/>
    <n v="5"/>
    <x v="0"/>
    <x v="4"/>
    <n v="507.48"/>
  </r>
  <r>
    <s v="ORD200478"/>
    <d v="2024-11-01T00:00:00"/>
    <s v="C16758"/>
    <s v="Tablet"/>
    <n v="3"/>
    <n v="62.77"/>
    <s v="914 Main St"/>
    <x v="3"/>
    <s v="Shipped"/>
    <s v="TRK88544431"/>
    <n v="6"/>
    <x v="1"/>
    <x v="1"/>
    <n v="188.31"/>
  </r>
  <r>
    <s v="ORD200479"/>
    <d v="2023-02-18T00:00:00"/>
    <s v="C87011"/>
    <s v="Monitor"/>
    <n v="4"/>
    <n v="25.29"/>
    <s v="943 Main St"/>
    <x v="2"/>
    <s v="Pending"/>
    <s v="TRK21429162"/>
    <n v="8"/>
    <x v="2"/>
    <x v="4"/>
    <n v="101.16"/>
  </r>
  <r>
    <s v="ORD200480"/>
    <d v="2023-06-16T00:00:00"/>
    <s v="C21147"/>
    <s v="Chair"/>
    <n v="1"/>
    <n v="335.1"/>
    <s v="126 Main St"/>
    <x v="0"/>
    <s v="Pending"/>
    <s v="TRK93171043"/>
    <n v="6"/>
    <x v="1"/>
    <x v="1"/>
    <n v="335.1"/>
  </r>
  <r>
    <s v="ORD200481"/>
    <d v="2023-04-23T00:00:00"/>
    <s v="C94568"/>
    <s v="Laptop"/>
    <n v="4"/>
    <n v="484.85"/>
    <s v="317 Main St"/>
    <x v="0"/>
    <s v="Delivered"/>
    <s v="TRK58653915"/>
    <n v="5"/>
    <x v="3"/>
    <x v="1"/>
    <n v="1939.4"/>
  </r>
  <r>
    <s v="ORD200482"/>
    <d v="2025-03-02T00:00:00"/>
    <s v="C35852"/>
    <s v="Monitor"/>
    <n v="3"/>
    <n v="381.41"/>
    <s v="989 Main St"/>
    <x v="1"/>
    <s v="Pending"/>
    <s v="TRK22302049"/>
    <n v="6"/>
    <x v="2"/>
    <x v="0"/>
    <n v="1144.23"/>
  </r>
  <r>
    <s v="ORD200483"/>
    <d v="2023-01-18T00:00:00"/>
    <s v="C66462"/>
    <s v="Phone"/>
    <n v="5"/>
    <n v="347.92"/>
    <s v="982 Main St"/>
    <x v="4"/>
    <s v="Pending"/>
    <s v="TRK52743700"/>
    <n v="6"/>
    <x v="3"/>
    <x v="4"/>
    <n v="1739.6"/>
  </r>
  <r>
    <s v="ORD200484"/>
    <d v="2024-05-29T00:00:00"/>
    <s v="C29092"/>
    <s v="Chair"/>
    <n v="4"/>
    <n v="15.01"/>
    <s v="767 Main St"/>
    <x v="4"/>
    <s v="Cancelled"/>
    <s v="TRK90455340"/>
    <n v="6"/>
    <x v="2"/>
    <x v="3"/>
    <n v="60.04"/>
  </r>
  <r>
    <s v="ORD200485"/>
    <d v="2023-08-01T00:00:00"/>
    <s v="C46651"/>
    <s v="Chair"/>
    <n v="3"/>
    <n v="404.79"/>
    <s v="764 Main St"/>
    <x v="4"/>
    <s v="Shipped"/>
    <s v="TRK67679195"/>
    <n v="6"/>
    <x v="0"/>
    <x v="0"/>
    <n v="1214.3699999999999"/>
  </r>
  <r>
    <s v="ORD200486"/>
    <d v="2023-02-03T00:00:00"/>
    <s v="C88981"/>
    <s v="Printer"/>
    <n v="4"/>
    <n v="611.26"/>
    <s v="558 Main St"/>
    <x v="4"/>
    <s v="Shipped"/>
    <s v="TRK75267873"/>
    <n v="5"/>
    <x v="0"/>
    <x v="1"/>
    <n v="2445.04"/>
  </r>
  <r>
    <s v="ORD200487"/>
    <d v="2023-03-09T00:00:00"/>
    <s v="C40136"/>
    <s v="Printer"/>
    <n v="3"/>
    <n v="346.52"/>
    <s v="211 Main St"/>
    <x v="2"/>
    <s v="Pending"/>
    <s v="TRK92924852"/>
    <n v="3"/>
    <x v="0"/>
    <x v="4"/>
    <n v="1039.56"/>
  </r>
  <r>
    <s v="ORD200488"/>
    <d v="2024-12-05T00:00:00"/>
    <s v="C81573"/>
    <s v="Chair"/>
    <n v="1"/>
    <n v="36.65"/>
    <s v="556 Main St"/>
    <x v="1"/>
    <s v="Cancelled"/>
    <s v="TRK96522994"/>
    <n v="1"/>
    <x v="3"/>
    <x v="2"/>
    <n v="36.65"/>
  </r>
  <r>
    <s v="ORD200489"/>
    <d v="2023-09-05T00:00:00"/>
    <s v="C11940"/>
    <s v="Tablet"/>
    <n v="3"/>
    <n v="149.34"/>
    <s v="589 Main St"/>
    <x v="3"/>
    <s v="Cancelled"/>
    <s v="TRK85466461"/>
    <n v="7"/>
    <x v="3"/>
    <x v="2"/>
    <n v="448.02"/>
  </r>
  <r>
    <s v="ORD200490"/>
    <d v="2024-07-22T00:00:00"/>
    <s v="C50097"/>
    <s v="Chair"/>
    <n v="5"/>
    <n v="467.81"/>
    <s v="539 Main St"/>
    <x v="1"/>
    <s v="Cancelled"/>
    <s v="TRK62785150"/>
    <n v="10"/>
    <x v="2"/>
    <x v="3"/>
    <n v="2339.0500000000002"/>
  </r>
  <r>
    <s v="ORD200491"/>
    <d v="2023-01-05T00:00:00"/>
    <s v="C98168"/>
    <s v="Phone"/>
    <n v="5"/>
    <n v="420.7"/>
    <s v="481 Main St"/>
    <x v="4"/>
    <s v="Pending"/>
    <s v="TRK56423359"/>
    <n v="5"/>
    <x v="3"/>
    <x v="3"/>
    <n v="2103.5"/>
  </r>
  <r>
    <s v="ORD200492"/>
    <d v="2023-10-25T00:00:00"/>
    <s v="C39074"/>
    <s v="Laptop"/>
    <n v="5"/>
    <n v="606.52"/>
    <s v="103 Main St"/>
    <x v="0"/>
    <s v="Shipped"/>
    <s v="TRK13027036"/>
    <n v="6"/>
    <x v="0"/>
    <x v="0"/>
    <n v="3032.6"/>
  </r>
  <r>
    <s v="ORD200493"/>
    <d v="2025-01-28T00:00:00"/>
    <s v="C84908"/>
    <s v="Phone"/>
    <n v="1"/>
    <n v="420.26"/>
    <s v="372 Main St"/>
    <x v="2"/>
    <s v="Pending"/>
    <s v="TRK64135970"/>
    <n v="4"/>
    <x v="1"/>
    <x v="3"/>
    <n v="420.26"/>
  </r>
  <r>
    <s v="ORD200494"/>
    <d v="2023-07-19T00:00:00"/>
    <s v="C64516"/>
    <s v="Laptop"/>
    <n v="3"/>
    <n v="505.79"/>
    <s v="459 Main St"/>
    <x v="0"/>
    <s v="Pending"/>
    <s v="TRK63920573"/>
    <n v="3"/>
    <x v="1"/>
    <x v="1"/>
    <n v="1517.37"/>
  </r>
  <r>
    <s v="ORD200495"/>
    <d v="2025-06-05T00:00:00"/>
    <s v="C63827"/>
    <s v="Phone"/>
    <n v="4"/>
    <n v="493.73"/>
    <s v="947 Main St"/>
    <x v="0"/>
    <s v="Pending"/>
    <s v="TRK35730581"/>
    <n v="6"/>
    <x v="0"/>
    <x v="3"/>
    <n v="1974.92"/>
  </r>
  <r>
    <s v="ORD200496"/>
    <d v="2025-03-14T00:00:00"/>
    <s v="C93618"/>
    <s v="Printer"/>
    <n v="3"/>
    <n v="201.21"/>
    <s v="249 Main St"/>
    <x v="1"/>
    <s v="Cancelled"/>
    <s v="TRK66129326"/>
    <n v="3"/>
    <x v="0"/>
    <x v="4"/>
    <n v="603.63"/>
  </r>
  <r>
    <s v="ORD200497"/>
    <d v="2024-10-24T00:00:00"/>
    <s v="C93948"/>
    <s v="Printer"/>
    <n v="3"/>
    <n v="112.29"/>
    <s v="454 Main St"/>
    <x v="3"/>
    <s v="Shipped"/>
    <s v="TRK77358113"/>
    <n v="6"/>
    <x v="2"/>
    <x v="4"/>
    <n v="336.87"/>
  </r>
  <r>
    <s v="ORD200498"/>
    <d v="2023-07-12T00:00:00"/>
    <s v="C73961"/>
    <s v="Tablet"/>
    <n v="4"/>
    <n v="132.56"/>
    <s v="306 Main St"/>
    <x v="4"/>
    <s v="Returned"/>
    <s v="TRK32607173"/>
    <n v="8"/>
    <x v="3"/>
    <x v="0"/>
    <n v="530.24"/>
  </r>
  <r>
    <s v="ORD200499"/>
    <d v="2023-04-06T00:00:00"/>
    <s v="C18138"/>
    <s v="Printer"/>
    <n v="3"/>
    <n v="539.46"/>
    <s v="520 Main St"/>
    <x v="2"/>
    <s v="Shipped"/>
    <s v="TRK20289483"/>
    <n v="4"/>
    <x v="0"/>
    <x v="3"/>
    <n v="1618.38"/>
  </r>
  <r>
    <s v="ORD200500"/>
    <d v="2024-04-07T00:00:00"/>
    <s v="C79475"/>
    <s v="Laptop"/>
    <n v="5"/>
    <n v="508.59"/>
    <s v="169 Main St"/>
    <x v="4"/>
    <s v="Returned"/>
    <s v="TRK42168516"/>
    <n v="8"/>
    <x v="3"/>
    <x v="3"/>
    <n v="2542.9499999999998"/>
  </r>
  <r>
    <s v="ORD200501"/>
    <d v="2024-02-04T00:00:00"/>
    <s v="C88546"/>
    <s v="Desk"/>
    <n v="4"/>
    <n v="203.46"/>
    <s v="226 Main St"/>
    <x v="2"/>
    <s v="Pending"/>
    <s v="TRK19867754"/>
    <n v="7"/>
    <x v="0"/>
    <x v="1"/>
    <n v="813.84"/>
  </r>
  <r>
    <s v="ORD200502"/>
    <d v="2023-05-20T00:00:00"/>
    <s v="C69332"/>
    <s v="Monitor"/>
    <n v="3"/>
    <n v="565.25"/>
    <s v="745 Main St"/>
    <x v="0"/>
    <s v="Returned"/>
    <s v="TRK65718848"/>
    <n v="7"/>
    <x v="0"/>
    <x v="2"/>
    <n v="1695.75"/>
  </r>
  <r>
    <s v="ORD200503"/>
    <d v="2023-08-31T00:00:00"/>
    <s v="C64554"/>
    <s v="Tablet"/>
    <n v="3"/>
    <n v="136.84"/>
    <s v="498 Main St"/>
    <x v="1"/>
    <s v="Pending"/>
    <s v="TRK95384568"/>
    <n v="4"/>
    <x v="1"/>
    <x v="3"/>
    <n v="410.52"/>
  </r>
  <r>
    <s v="ORD200504"/>
    <d v="2025-06-11T00:00:00"/>
    <s v="C11676"/>
    <s v="Monitor"/>
    <n v="2"/>
    <n v="464.5"/>
    <s v="805 Main St"/>
    <x v="1"/>
    <s v="Cancelled"/>
    <s v="TRK35726395"/>
    <n v="2"/>
    <x v="3"/>
    <x v="0"/>
    <n v="929"/>
  </r>
  <r>
    <s v="ORD200505"/>
    <d v="2023-06-11T00:00:00"/>
    <s v="C36014"/>
    <s v="Printer"/>
    <n v="2"/>
    <n v="434.97"/>
    <s v="558 Main St"/>
    <x v="1"/>
    <s v="Shipped"/>
    <s v="TRK97246526"/>
    <n v="7"/>
    <x v="2"/>
    <x v="2"/>
    <n v="869.94"/>
  </r>
  <r>
    <s v="ORD200506"/>
    <d v="2023-07-25T00:00:00"/>
    <s v="C23279"/>
    <s v="Monitor"/>
    <n v="2"/>
    <n v="43.67"/>
    <s v="696 Main St"/>
    <x v="4"/>
    <s v="Returned"/>
    <s v="TRK58039693"/>
    <n v="4"/>
    <x v="3"/>
    <x v="0"/>
    <n v="87.34"/>
  </r>
  <r>
    <s v="ORD200507"/>
    <d v="2023-07-05T00:00:00"/>
    <s v="C86481"/>
    <s v="Phone"/>
    <n v="1"/>
    <n v="171.59"/>
    <s v="546 Main St"/>
    <x v="2"/>
    <s v="Pending"/>
    <s v="TRK87513944"/>
    <n v="5"/>
    <x v="3"/>
    <x v="2"/>
    <n v="171.59"/>
  </r>
  <r>
    <s v="ORD200508"/>
    <d v="2025-05-14T00:00:00"/>
    <s v="C39550"/>
    <s v="Phone"/>
    <n v="1"/>
    <n v="558.27"/>
    <s v="976 Main St"/>
    <x v="1"/>
    <s v="Delivered"/>
    <s v="TRK24120267"/>
    <n v="1"/>
    <x v="2"/>
    <x v="1"/>
    <n v="558.27"/>
  </r>
  <r>
    <s v="ORD200509"/>
    <d v="2023-02-15T00:00:00"/>
    <s v="C68937"/>
    <s v="Laptop"/>
    <n v="2"/>
    <n v="425.03"/>
    <s v="560 Main St"/>
    <x v="4"/>
    <s v="Returned"/>
    <s v="TRK31908657"/>
    <n v="2"/>
    <x v="3"/>
    <x v="4"/>
    <n v="850.06"/>
  </r>
  <r>
    <s v="ORD200510"/>
    <d v="2024-12-16T00:00:00"/>
    <s v="C72533"/>
    <s v="Printer"/>
    <n v="1"/>
    <n v="376.76"/>
    <s v="389 Main St"/>
    <x v="0"/>
    <s v="Delivered"/>
    <s v="TRK51288986"/>
    <n v="5"/>
    <x v="0"/>
    <x v="2"/>
    <n v="376.76"/>
  </r>
  <r>
    <s v="ORD200511"/>
    <d v="2024-03-15T00:00:00"/>
    <s v="C11415"/>
    <s v="Monitor"/>
    <n v="5"/>
    <n v="575.24"/>
    <s v="267 Main St"/>
    <x v="4"/>
    <s v="Delivered"/>
    <s v="TRK65061457"/>
    <n v="7"/>
    <x v="3"/>
    <x v="2"/>
    <n v="2876.2"/>
  </r>
  <r>
    <s v="ORD200512"/>
    <d v="2024-09-27T00:00:00"/>
    <s v="C14114"/>
    <s v="Desk"/>
    <n v="3"/>
    <n v="568.02"/>
    <s v="856 Main St"/>
    <x v="1"/>
    <s v="Pending"/>
    <s v="TRK63290700"/>
    <n v="3"/>
    <x v="1"/>
    <x v="0"/>
    <n v="1704.06"/>
  </r>
  <r>
    <s v="ORD200513"/>
    <d v="2025-02-09T00:00:00"/>
    <s v="C64128"/>
    <s v="Tablet"/>
    <n v="3"/>
    <n v="94.88"/>
    <s v="533 Main St"/>
    <x v="3"/>
    <s v="Shipped"/>
    <s v="TRK37053575"/>
    <n v="8"/>
    <x v="2"/>
    <x v="1"/>
    <n v="284.64"/>
  </r>
  <r>
    <s v="ORD200514"/>
    <d v="2023-04-16T00:00:00"/>
    <s v="C15629"/>
    <s v="Printer"/>
    <n v="3"/>
    <n v="304.14999999999998"/>
    <s v="492 Main St"/>
    <x v="3"/>
    <s v="Shipped"/>
    <s v="TRK64926044"/>
    <n v="3"/>
    <x v="3"/>
    <x v="0"/>
    <n v="912.44999999999993"/>
  </r>
  <r>
    <s v="ORD200515"/>
    <d v="2023-03-14T00:00:00"/>
    <s v="C67561"/>
    <s v="Phone"/>
    <n v="3"/>
    <n v="553.52"/>
    <s v="160 Main St"/>
    <x v="3"/>
    <s v="Shipped"/>
    <s v="TRK75900717"/>
    <n v="4"/>
    <x v="1"/>
    <x v="3"/>
    <n v="1660.56"/>
  </r>
  <r>
    <s v="ORD200516"/>
    <d v="2024-04-07T00:00:00"/>
    <s v="C47022"/>
    <s v="Monitor"/>
    <n v="3"/>
    <n v="166.99"/>
    <s v="208 Main St"/>
    <x v="4"/>
    <s v="Returned"/>
    <s v="TRK28855040"/>
    <n v="8"/>
    <x v="2"/>
    <x v="3"/>
    <n v="500.97"/>
  </r>
  <r>
    <s v="ORD200517"/>
    <d v="2024-04-09T00:00:00"/>
    <s v="C55205"/>
    <s v="Tablet"/>
    <n v="4"/>
    <n v="198.35"/>
    <s v="943 Main St"/>
    <x v="4"/>
    <s v="Cancelled"/>
    <s v="TRK88141634"/>
    <n v="7"/>
    <x v="1"/>
    <x v="4"/>
    <n v="793.4"/>
  </r>
  <r>
    <s v="ORD200518"/>
    <d v="2025-06-13T00:00:00"/>
    <s v="C30686"/>
    <s v="Printer"/>
    <n v="4"/>
    <n v="403.58"/>
    <s v="319 Main St"/>
    <x v="1"/>
    <s v="Pending"/>
    <s v="TRK59807273"/>
    <n v="9"/>
    <x v="0"/>
    <x v="1"/>
    <n v="1614.32"/>
  </r>
  <r>
    <s v="ORD200519"/>
    <d v="2025-05-10T00:00:00"/>
    <s v="C71797"/>
    <s v="Laptop"/>
    <n v="4"/>
    <n v="464.29"/>
    <s v="941 Main St"/>
    <x v="0"/>
    <s v="Returned"/>
    <s v="TRK66010667"/>
    <n v="5"/>
    <x v="0"/>
    <x v="2"/>
    <n v="1857.16"/>
  </r>
  <r>
    <s v="ORD200520"/>
    <d v="2023-03-10T00:00:00"/>
    <s v="C66332"/>
    <s v="Monitor"/>
    <n v="3"/>
    <n v="635.98"/>
    <s v="959 Main St"/>
    <x v="4"/>
    <s v="Returned"/>
    <s v="TRK27063398"/>
    <n v="5"/>
    <x v="2"/>
    <x v="1"/>
    <n v="1907.94"/>
  </r>
  <r>
    <s v="ORD200521"/>
    <d v="2024-02-25T00:00:00"/>
    <s v="C82318"/>
    <s v="Phone"/>
    <n v="1"/>
    <n v="528.05999999999995"/>
    <s v="991 Main St"/>
    <x v="2"/>
    <s v="Shipped"/>
    <s v="TRK37534165"/>
    <n v="2"/>
    <x v="2"/>
    <x v="3"/>
    <n v="528.05999999999995"/>
  </r>
  <r>
    <s v="ORD200522"/>
    <d v="2024-04-20T00:00:00"/>
    <s v="C66254"/>
    <s v="Chair"/>
    <n v="1"/>
    <n v="515.32000000000005"/>
    <s v="740 Main St"/>
    <x v="3"/>
    <s v="Cancelled"/>
    <s v="TRK82843861"/>
    <n v="1"/>
    <x v="1"/>
    <x v="2"/>
    <n v="515.32000000000005"/>
  </r>
  <r>
    <s v="ORD200523"/>
    <d v="2025-02-18T00:00:00"/>
    <s v="C65083"/>
    <s v="Desk"/>
    <n v="4"/>
    <n v="657.79"/>
    <s v="652 Main St"/>
    <x v="2"/>
    <s v="Returned"/>
    <s v="TRK60937148"/>
    <n v="6"/>
    <x v="3"/>
    <x v="4"/>
    <n v="2631.16"/>
  </r>
  <r>
    <s v="ORD200524"/>
    <d v="2023-10-25T00:00:00"/>
    <s v="C44778"/>
    <s v="Phone"/>
    <n v="1"/>
    <n v="153"/>
    <s v="103 Main St"/>
    <x v="2"/>
    <s v="Returned"/>
    <s v="TRK92617366"/>
    <n v="4"/>
    <x v="2"/>
    <x v="1"/>
    <n v="153"/>
  </r>
  <r>
    <s v="ORD200525"/>
    <d v="2023-12-03T00:00:00"/>
    <s v="C54499"/>
    <s v="Monitor"/>
    <n v="1"/>
    <n v="668.48"/>
    <s v="160 Main St"/>
    <x v="0"/>
    <s v="Shipped"/>
    <s v="TRK18061555"/>
    <n v="1"/>
    <x v="0"/>
    <x v="2"/>
    <n v="668.48"/>
  </r>
  <r>
    <s v="ORD200526"/>
    <d v="2024-02-29T00:00:00"/>
    <s v="C91201"/>
    <s v="Desk"/>
    <n v="2"/>
    <n v="46.5"/>
    <s v="837 Main St"/>
    <x v="4"/>
    <s v="Returned"/>
    <s v="TRK63526023"/>
    <n v="7"/>
    <x v="3"/>
    <x v="4"/>
    <n v="93"/>
  </r>
  <r>
    <s v="ORD200527"/>
    <d v="2024-08-19T00:00:00"/>
    <s v="C27202"/>
    <s v="Chair"/>
    <n v="5"/>
    <n v="653.47"/>
    <s v="967 Main St"/>
    <x v="2"/>
    <s v="Cancelled"/>
    <s v="TRK75406128"/>
    <n v="10"/>
    <x v="0"/>
    <x v="1"/>
    <n v="3267.35"/>
  </r>
  <r>
    <s v="ORD200528"/>
    <d v="2025-02-26T00:00:00"/>
    <s v="C32011"/>
    <s v="Chair"/>
    <n v="1"/>
    <n v="628.89"/>
    <s v="686 Main St"/>
    <x v="2"/>
    <s v="Returned"/>
    <s v="TRK70997744"/>
    <n v="2"/>
    <x v="0"/>
    <x v="1"/>
    <n v="628.89"/>
  </r>
  <r>
    <s v="ORD200529"/>
    <d v="2024-04-07T00:00:00"/>
    <s v="C21181"/>
    <s v="Tablet"/>
    <n v="2"/>
    <n v="675.1"/>
    <s v="938 Main St"/>
    <x v="4"/>
    <s v="Pending"/>
    <s v="TRK50363421"/>
    <n v="4"/>
    <x v="1"/>
    <x v="4"/>
    <n v="1350.2"/>
  </r>
  <r>
    <s v="ORD200530"/>
    <d v="2024-07-18T00:00:00"/>
    <s v="C98450"/>
    <s v="Chair"/>
    <n v="4"/>
    <n v="89.41"/>
    <s v="613 Main St"/>
    <x v="1"/>
    <s v="Pending"/>
    <s v="TRK14809530"/>
    <n v="9"/>
    <x v="2"/>
    <x v="4"/>
    <n v="357.64"/>
  </r>
  <r>
    <s v="ORD200531"/>
    <d v="2024-07-02T00:00:00"/>
    <s v="C64502"/>
    <s v="Desk"/>
    <n v="5"/>
    <n v="320.01"/>
    <s v="722 Main St"/>
    <x v="3"/>
    <s v="Delivered"/>
    <s v="TRK14914388"/>
    <n v="6"/>
    <x v="2"/>
    <x v="1"/>
    <n v="1600.05"/>
  </r>
  <r>
    <s v="ORD200532"/>
    <d v="2025-05-03T00:00:00"/>
    <s v="C47365"/>
    <s v="Laptop"/>
    <n v="2"/>
    <n v="41"/>
    <s v="369 Main St"/>
    <x v="1"/>
    <s v="Delivered"/>
    <s v="TRK42207882"/>
    <n v="7"/>
    <x v="2"/>
    <x v="2"/>
    <n v="82"/>
  </r>
  <r>
    <s v="ORD200533"/>
    <d v="2023-03-05T00:00:00"/>
    <s v="C66349"/>
    <s v="Desk"/>
    <n v="1"/>
    <n v="565.85"/>
    <s v="715 Main St"/>
    <x v="3"/>
    <s v="Returned"/>
    <s v="TRK63550793"/>
    <n v="1"/>
    <x v="1"/>
    <x v="3"/>
    <n v="565.85"/>
  </r>
  <r>
    <s v="ORD200534"/>
    <d v="2024-06-06T00:00:00"/>
    <s v="C73289"/>
    <s v="Chair"/>
    <n v="3"/>
    <n v="648.59"/>
    <s v="906 Main St"/>
    <x v="0"/>
    <s v="Cancelled"/>
    <s v="TRK70872738"/>
    <n v="4"/>
    <x v="0"/>
    <x v="2"/>
    <n v="1945.77"/>
  </r>
  <r>
    <s v="ORD200535"/>
    <d v="2024-07-24T00:00:00"/>
    <s v="C48649"/>
    <s v="Monitor"/>
    <n v="3"/>
    <n v="68.12"/>
    <s v="332 Main St"/>
    <x v="1"/>
    <s v="Cancelled"/>
    <s v="TRK45821445"/>
    <n v="3"/>
    <x v="1"/>
    <x v="2"/>
    <n v="204.36"/>
  </r>
  <r>
    <s v="ORD200536"/>
    <d v="2024-06-09T00:00:00"/>
    <s v="C18724"/>
    <s v="Chair"/>
    <n v="1"/>
    <n v="616.1"/>
    <s v="124 Main St"/>
    <x v="4"/>
    <s v="Returned"/>
    <s v="TRK52508861"/>
    <n v="6"/>
    <x v="2"/>
    <x v="2"/>
    <n v="616.1"/>
  </r>
  <r>
    <s v="ORD200537"/>
    <d v="2025-03-23T00:00:00"/>
    <s v="C68553"/>
    <s v="Tablet"/>
    <n v="3"/>
    <n v="247.47"/>
    <s v="385 Main St"/>
    <x v="1"/>
    <s v="Delivered"/>
    <s v="TRK58218971"/>
    <n v="4"/>
    <x v="0"/>
    <x v="3"/>
    <n v="742.41"/>
  </r>
  <r>
    <s v="ORD200538"/>
    <d v="2024-05-24T00:00:00"/>
    <s v="C61280"/>
    <s v="Phone"/>
    <n v="3"/>
    <n v="490.74"/>
    <s v="100 Main St"/>
    <x v="4"/>
    <s v="Shipped"/>
    <s v="TRK95487711"/>
    <n v="3"/>
    <x v="3"/>
    <x v="2"/>
    <n v="1472.22"/>
  </r>
  <r>
    <s v="ORD200539"/>
    <d v="2025-02-18T00:00:00"/>
    <s v="C53277"/>
    <s v="Desk"/>
    <n v="3"/>
    <n v="531.72"/>
    <s v="473 Main St"/>
    <x v="3"/>
    <s v="Delivered"/>
    <s v="TRK17653832"/>
    <n v="7"/>
    <x v="0"/>
    <x v="4"/>
    <n v="1595.16"/>
  </r>
  <r>
    <s v="ORD200540"/>
    <d v="2024-01-29T00:00:00"/>
    <s v="C87281"/>
    <s v="Laptop"/>
    <n v="5"/>
    <n v="648.65"/>
    <s v="852 Main St"/>
    <x v="1"/>
    <s v="Pending"/>
    <s v="TRK81765057"/>
    <n v="7"/>
    <x v="2"/>
    <x v="1"/>
    <n v="3243.25"/>
  </r>
  <r>
    <s v="ORD200541"/>
    <d v="2023-08-07T00:00:00"/>
    <s v="C69009"/>
    <s v="Printer"/>
    <n v="5"/>
    <n v="456.06"/>
    <s v="879 Main St"/>
    <x v="4"/>
    <s v="Pending"/>
    <s v="TRK61295842"/>
    <n v="10"/>
    <x v="2"/>
    <x v="0"/>
    <n v="2280.3000000000002"/>
  </r>
  <r>
    <s v="ORD200542"/>
    <d v="2023-11-14T00:00:00"/>
    <s v="C49726"/>
    <s v="Tablet"/>
    <n v="1"/>
    <n v="17.98"/>
    <s v="934 Main St"/>
    <x v="4"/>
    <s v="Cancelled"/>
    <s v="TRK20739460"/>
    <n v="6"/>
    <x v="1"/>
    <x v="2"/>
    <n v="17.98"/>
  </r>
  <r>
    <s v="ORD200543"/>
    <d v="2024-03-09T00:00:00"/>
    <s v="C37531"/>
    <s v="Desk"/>
    <n v="5"/>
    <n v="269.86"/>
    <s v="354 Main St"/>
    <x v="4"/>
    <s v="Shipped"/>
    <s v="TRK93877673"/>
    <n v="6"/>
    <x v="3"/>
    <x v="3"/>
    <n v="1349.3"/>
  </r>
  <r>
    <s v="ORD200544"/>
    <d v="2024-03-10T00:00:00"/>
    <s v="C48713"/>
    <s v="Printer"/>
    <n v="5"/>
    <n v="31.96"/>
    <s v="373 Main St"/>
    <x v="2"/>
    <s v="Returned"/>
    <s v="TRK96334419"/>
    <n v="5"/>
    <x v="1"/>
    <x v="1"/>
    <n v="159.80000000000001"/>
  </r>
  <r>
    <s v="ORD200545"/>
    <d v="2023-12-19T00:00:00"/>
    <s v="C74138"/>
    <s v="Monitor"/>
    <n v="2"/>
    <n v="98.47"/>
    <s v="964 Main St"/>
    <x v="4"/>
    <s v="Returned"/>
    <s v="TRK74091695"/>
    <n v="3"/>
    <x v="2"/>
    <x v="0"/>
    <n v="196.94"/>
  </r>
  <r>
    <s v="ORD200546"/>
    <d v="2024-03-01T00:00:00"/>
    <s v="C82399"/>
    <s v="Monitor"/>
    <n v="1"/>
    <n v="158.68"/>
    <s v="928 Main St"/>
    <x v="2"/>
    <s v="Returned"/>
    <s v="TRK77177284"/>
    <n v="6"/>
    <x v="3"/>
    <x v="0"/>
    <n v="158.68"/>
  </r>
  <r>
    <s v="ORD200547"/>
    <d v="2023-08-20T00:00:00"/>
    <s v="C40427"/>
    <s v="Phone"/>
    <n v="1"/>
    <n v="613.98"/>
    <s v="411 Main St"/>
    <x v="1"/>
    <s v="Delivered"/>
    <s v="TRK25392280"/>
    <n v="4"/>
    <x v="1"/>
    <x v="3"/>
    <n v="613.98"/>
  </r>
  <r>
    <s v="ORD200548"/>
    <d v="2024-01-05T00:00:00"/>
    <s v="C17103"/>
    <s v="Printer"/>
    <n v="3"/>
    <n v="426.12"/>
    <s v="922 Main St"/>
    <x v="1"/>
    <s v="Delivered"/>
    <s v="TRK64398650"/>
    <n v="5"/>
    <x v="3"/>
    <x v="0"/>
    <n v="1278.3599999999999"/>
  </r>
  <r>
    <s v="ORD200549"/>
    <d v="2025-02-25T00:00:00"/>
    <s v="C34266"/>
    <s v="Monitor"/>
    <n v="4"/>
    <n v="629.88"/>
    <s v="550 Main St"/>
    <x v="0"/>
    <s v="Cancelled"/>
    <s v="TRK56378197"/>
    <n v="8"/>
    <x v="3"/>
    <x v="0"/>
    <n v="2519.52"/>
  </r>
  <r>
    <s v="ORD200550"/>
    <d v="2023-10-29T00:00:00"/>
    <s v="C97485"/>
    <s v="Laptop"/>
    <n v="4"/>
    <n v="228.91"/>
    <s v="573 Main St"/>
    <x v="4"/>
    <s v="Shipped"/>
    <s v="TRK81794737"/>
    <n v="4"/>
    <x v="1"/>
    <x v="4"/>
    <n v="915.64"/>
  </r>
  <r>
    <s v="ORD200551"/>
    <d v="2023-05-18T00:00:00"/>
    <s v="C23947"/>
    <s v="Laptop"/>
    <n v="1"/>
    <n v="120.98"/>
    <s v="353 Main St"/>
    <x v="0"/>
    <s v="Delivered"/>
    <s v="TRK74812710"/>
    <n v="6"/>
    <x v="3"/>
    <x v="2"/>
    <n v="120.98"/>
  </r>
  <r>
    <s v="ORD200552"/>
    <d v="2023-09-30T00:00:00"/>
    <s v="C21665"/>
    <s v="Chair"/>
    <n v="4"/>
    <n v="425.18"/>
    <s v="560 Main St"/>
    <x v="1"/>
    <s v="Returned"/>
    <s v="TRK29890761"/>
    <n v="8"/>
    <x v="3"/>
    <x v="3"/>
    <n v="1700.72"/>
  </r>
  <r>
    <s v="ORD200553"/>
    <d v="2023-08-23T00:00:00"/>
    <s v="C82550"/>
    <s v="Phone"/>
    <n v="2"/>
    <n v="333.83"/>
    <s v="828 Main St"/>
    <x v="3"/>
    <s v="Cancelled"/>
    <s v="TRK74103758"/>
    <n v="4"/>
    <x v="1"/>
    <x v="1"/>
    <n v="667.66"/>
  </r>
  <r>
    <s v="ORD200554"/>
    <d v="2025-05-30T00:00:00"/>
    <s v="C61943"/>
    <s v="Laptop"/>
    <n v="2"/>
    <n v="492.9"/>
    <s v="610 Main St"/>
    <x v="4"/>
    <s v="Returned"/>
    <s v="TRK66126496"/>
    <n v="5"/>
    <x v="1"/>
    <x v="0"/>
    <n v="985.8"/>
  </r>
  <r>
    <s v="ORD200555"/>
    <d v="2023-01-07T00:00:00"/>
    <s v="C88933"/>
    <s v="Tablet"/>
    <n v="1"/>
    <n v="92.04"/>
    <s v="333 Main St"/>
    <x v="4"/>
    <s v="Shipped"/>
    <s v="TRK89306964"/>
    <n v="2"/>
    <x v="2"/>
    <x v="3"/>
    <n v="92.04"/>
  </r>
  <r>
    <s v="ORD200556"/>
    <d v="2023-01-28T00:00:00"/>
    <s v="C30923"/>
    <s v="Laptop"/>
    <n v="1"/>
    <n v="654.27"/>
    <s v="932 Main St"/>
    <x v="3"/>
    <s v="Pending"/>
    <s v="TRK82609328"/>
    <n v="2"/>
    <x v="0"/>
    <x v="3"/>
    <n v="654.27"/>
  </r>
  <r>
    <s v="ORD200557"/>
    <d v="2023-06-29T00:00:00"/>
    <s v="C56969"/>
    <s v="Tablet"/>
    <n v="1"/>
    <n v="56.2"/>
    <s v="130 Main St"/>
    <x v="0"/>
    <s v="Pending"/>
    <s v="TRK40719215"/>
    <n v="1"/>
    <x v="3"/>
    <x v="3"/>
    <n v="56.2"/>
  </r>
  <r>
    <s v="ORD200558"/>
    <d v="2024-07-16T00:00:00"/>
    <s v="C76766"/>
    <s v="Phone"/>
    <n v="4"/>
    <n v="628.12"/>
    <s v="485 Main St"/>
    <x v="1"/>
    <s v="Delivered"/>
    <s v="TRK32052962"/>
    <n v="6"/>
    <x v="3"/>
    <x v="0"/>
    <n v="2512.48"/>
  </r>
  <r>
    <s v="ORD200559"/>
    <d v="2024-04-15T00:00:00"/>
    <s v="C22981"/>
    <s v="Desk"/>
    <n v="3"/>
    <n v="157.4"/>
    <s v="454 Main St"/>
    <x v="0"/>
    <s v="Cancelled"/>
    <s v="TRK10115285"/>
    <n v="7"/>
    <x v="3"/>
    <x v="2"/>
    <n v="472.2"/>
  </r>
  <r>
    <s v="ORD200560"/>
    <d v="2023-01-31T00:00:00"/>
    <s v="C33634"/>
    <s v="Monitor"/>
    <n v="4"/>
    <n v="588.85"/>
    <s v="524 Main St"/>
    <x v="3"/>
    <s v="Pending"/>
    <s v="TRK93168008"/>
    <n v="7"/>
    <x v="2"/>
    <x v="2"/>
    <n v="2355.4"/>
  </r>
  <r>
    <s v="ORD200561"/>
    <d v="2023-01-31T00:00:00"/>
    <s v="C96822"/>
    <s v="Printer"/>
    <n v="2"/>
    <n v="494.78"/>
    <s v="198 Main St"/>
    <x v="1"/>
    <s v="Shipped"/>
    <s v="TRK89180077"/>
    <n v="2"/>
    <x v="2"/>
    <x v="4"/>
    <n v="989.56"/>
  </r>
  <r>
    <s v="ORD200562"/>
    <d v="2023-10-06T00:00:00"/>
    <s v="C76675"/>
    <s v="Laptop"/>
    <n v="3"/>
    <n v="663.93"/>
    <s v="922 Main St"/>
    <x v="3"/>
    <s v="Returned"/>
    <s v="TRK28043915"/>
    <n v="6"/>
    <x v="1"/>
    <x v="2"/>
    <n v="1991.79"/>
  </r>
  <r>
    <s v="ORD200563"/>
    <d v="2023-12-12T00:00:00"/>
    <s v="C12039"/>
    <s v="Laptop"/>
    <n v="1"/>
    <n v="132.68"/>
    <s v="844 Main St"/>
    <x v="0"/>
    <s v="Returned"/>
    <s v="TRK68645763"/>
    <n v="1"/>
    <x v="0"/>
    <x v="1"/>
    <n v="132.68"/>
  </r>
  <r>
    <s v="ORD200564"/>
    <d v="2025-04-08T00:00:00"/>
    <s v="C93309"/>
    <s v="Desk"/>
    <n v="5"/>
    <n v="364.28"/>
    <s v="734 Main St"/>
    <x v="2"/>
    <s v="Cancelled"/>
    <s v="TRK99446987"/>
    <n v="5"/>
    <x v="3"/>
    <x v="4"/>
    <n v="1821.4"/>
  </r>
  <r>
    <s v="ORD200565"/>
    <d v="2023-05-14T00:00:00"/>
    <s v="C62042"/>
    <s v="Tablet"/>
    <n v="5"/>
    <n v="307.98"/>
    <s v="214 Main St"/>
    <x v="1"/>
    <s v="Pending"/>
    <s v="TRK42605492"/>
    <n v="10"/>
    <x v="2"/>
    <x v="3"/>
    <n v="1539.9"/>
  </r>
  <r>
    <s v="ORD200566"/>
    <d v="2024-04-18T00:00:00"/>
    <s v="C83223"/>
    <s v="Phone"/>
    <n v="4"/>
    <n v="162.71"/>
    <s v="167 Main St"/>
    <x v="4"/>
    <s v="Cancelled"/>
    <s v="TRK54339083"/>
    <n v="7"/>
    <x v="1"/>
    <x v="2"/>
    <n v="650.84"/>
  </r>
  <r>
    <s v="ORD200567"/>
    <d v="2024-09-30T00:00:00"/>
    <s v="C92575"/>
    <s v="Chair"/>
    <n v="5"/>
    <n v="492.94"/>
    <s v="153 Main St"/>
    <x v="4"/>
    <s v="Shipped"/>
    <s v="TRK53579227"/>
    <n v="10"/>
    <x v="1"/>
    <x v="2"/>
    <n v="2464.6999999999998"/>
  </r>
  <r>
    <s v="ORD200568"/>
    <d v="2023-03-10T00:00:00"/>
    <s v="C29072"/>
    <s v="Laptop"/>
    <n v="2"/>
    <n v="343.99"/>
    <s v="312 Main St"/>
    <x v="1"/>
    <s v="Delivered"/>
    <s v="TRK72334047"/>
    <n v="4"/>
    <x v="2"/>
    <x v="4"/>
    <n v="687.98"/>
  </r>
  <r>
    <s v="ORD200569"/>
    <d v="2025-03-22T00:00:00"/>
    <s v="C25783"/>
    <s v="Desk"/>
    <n v="5"/>
    <n v="250.68"/>
    <s v="672 Main St"/>
    <x v="4"/>
    <s v="Shipped"/>
    <s v="TRK13289741"/>
    <n v="8"/>
    <x v="0"/>
    <x v="0"/>
    <n v="1253.4000000000001"/>
  </r>
  <r>
    <s v="ORD200570"/>
    <d v="2024-12-27T00:00:00"/>
    <s v="C63727"/>
    <s v="Desk"/>
    <n v="2"/>
    <n v="362.14"/>
    <s v="122 Main St"/>
    <x v="0"/>
    <s v="Pending"/>
    <s v="TRK13611021"/>
    <n v="2"/>
    <x v="0"/>
    <x v="0"/>
    <n v="724.28"/>
  </r>
  <r>
    <s v="ORD200571"/>
    <d v="2024-11-23T00:00:00"/>
    <s v="C42365"/>
    <s v="Tablet"/>
    <n v="1"/>
    <n v="214.08"/>
    <s v="867 Main St"/>
    <x v="3"/>
    <s v="Returned"/>
    <s v="TRK39563288"/>
    <n v="2"/>
    <x v="3"/>
    <x v="4"/>
    <n v="214.08"/>
  </r>
  <r>
    <s v="ORD200572"/>
    <d v="2023-11-11T00:00:00"/>
    <s v="C27438"/>
    <s v="Printer"/>
    <n v="1"/>
    <n v="70.319999999999993"/>
    <s v="341 Main St"/>
    <x v="4"/>
    <s v="Returned"/>
    <s v="TRK69125497"/>
    <n v="4"/>
    <x v="3"/>
    <x v="3"/>
    <n v="70.319999999999993"/>
  </r>
  <r>
    <s v="ORD200573"/>
    <d v="2023-01-25T00:00:00"/>
    <s v="C13205"/>
    <s v="Chair"/>
    <n v="5"/>
    <n v="421.42"/>
    <s v="522 Main St"/>
    <x v="0"/>
    <s v="Cancelled"/>
    <s v="TRK30686578"/>
    <n v="7"/>
    <x v="2"/>
    <x v="0"/>
    <n v="2107.1"/>
  </r>
  <r>
    <s v="ORD200574"/>
    <d v="2024-01-24T00:00:00"/>
    <s v="C29685"/>
    <s v="Chair"/>
    <n v="5"/>
    <n v="384.69"/>
    <s v="275 Main St"/>
    <x v="2"/>
    <s v="Pending"/>
    <s v="TRK97733212"/>
    <n v="6"/>
    <x v="1"/>
    <x v="2"/>
    <n v="1923.45"/>
  </r>
  <r>
    <s v="ORD200575"/>
    <d v="2023-06-07T00:00:00"/>
    <s v="C74005"/>
    <s v="Chair"/>
    <n v="5"/>
    <n v="448.15"/>
    <s v="528 Main St"/>
    <x v="3"/>
    <s v="Returned"/>
    <s v="TRK61640534"/>
    <n v="7"/>
    <x v="0"/>
    <x v="4"/>
    <n v="2240.75"/>
  </r>
  <r>
    <s v="ORD200576"/>
    <d v="2024-05-29T00:00:00"/>
    <s v="C14457"/>
    <s v="Laptop"/>
    <n v="5"/>
    <n v="79.08"/>
    <s v="747 Main St"/>
    <x v="4"/>
    <s v="Pending"/>
    <s v="TRK42517811"/>
    <n v="8"/>
    <x v="2"/>
    <x v="3"/>
    <n v="395.4"/>
  </r>
  <r>
    <s v="ORD200577"/>
    <d v="2023-01-22T00:00:00"/>
    <s v="C77046"/>
    <s v="Tablet"/>
    <n v="4"/>
    <n v="185.41"/>
    <s v="967 Main St"/>
    <x v="1"/>
    <s v="Returned"/>
    <s v="TRK44401497"/>
    <n v="9"/>
    <x v="3"/>
    <x v="4"/>
    <n v="741.64"/>
  </r>
  <r>
    <s v="ORD200578"/>
    <d v="2024-10-10T00:00:00"/>
    <s v="C50415"/>
    <s v="Monitor"/>
    <n v="5"/>
    <n v="566.07000000000005"/>
    <s v="587 Main St"/>
    <x v="2"/>
    <s v="Delivered"/>
    <s v="TRK41345634"/>
    <n v="6"/>
    <x v="0"/>
    <x v="0"/>
    <n v="2830.35"/>
  </r>
  <r>
    <s v="ORD200579"/>
    <d v="2023-06-04T00:00:00"/>
    <s v="C73999"/>
    <s v="Tablet"/>
    <n v="2"/>
    <n v="187.88"/>
    <s v="413 Main St"/>
    <x v="1"/>
    <s v="Shipped"/>
    <s v="TRK67919507"/>
    <n v="4"/>
    <x v="3"/>
    <x v="3"/>
    <n v="375.76"/>
  </r>
  <r>
    <s v="ORD200580"/>
    <d v="2023-11-14T00:00:00"/>
    <s v="C71076"/>
    <s v="Monitor"/>
    <n v="2"/>
    <n v="255.99"/>
    <s v="340 Main St"/>
    <x v="2"/>
    <s v="Delivered"/>
    <s v="TRK65148292"/>
    <n v="4"/>
    <x v="0"/>
    <x v="0"/>
    <n v="511.98"/>
  </r>
  <r>
    <s v="ORD200581"/>
    <d v="2024-11-11T00:00:00"/>
    <s v="C44674"/>
    <s v="Laptop"/>
    <n v="1"/>
    <n v="627.34"/>
    <s v="942 Main St"/>
    <x v="1"/>
    <s v="Delivered"/>
    <s v="TRK87158684"/>
    <n v="1"/>
    <x v="2"/>
    <x v="1"/>
    <n v="627.34"/>
  </r>
  <r>
    <s v="ORD200582"/>
    <d v="2024-02-19T00:00:00"/>
    <s v="C15228"/>
    <s v="Tablet"/>
    <n v="3"/>
    <n v="474.14"/>
    <s v="558 Main St"/>
    <x v="3"/>
    <s v="Shipped"/>
    <s v="TRK33860620"/>
    <n v="8"/>
    <x v="3"/>
    <x v="4"/>
    <n v="1422.42"/>
  </r>
  <r>
    <s v="ORD200583"/>
    <d v="2025-06-15T00:00:00"/>
    <s v="C27072"/>
    <s v="Chair"/>
    <n v="3"/>
    <n v="154.37"/>
    <s v="996 Main St"/>
    <x v="3"/>
    <s v="Delivered"/>
    <s v="TRK29750379"/>
    <n v="4"/>
    <x v="2"/>
    <x v="0"/>
    <n v="463.11"/>
  </r>
  <r>
    <s v="ORD200584"/>
    <d v="2025-03-21T00:00:00"/>
    <s v="C15257"/>
    <s v="Chair"/>
    <n v="4"/>
    <n v="145.05000000000001"/>
    <s v="626 Main St"/>
    <x v="1"/>
    <s v="Delivered"/>
    <s v="TRK28779938"/>
    <n v="6"/>
    <x v="0"/>
    <x v="4"/>
    <n v="580.20000000000005"/>
  </r>
  <r>
    <s v="ORD200585"/>
    <d v="2023-08-20T00:00:00"/>
    <s v="C91486"/>
    <s v="Tablet"/>
    <n v="4"/>
    <n v="67.08"/>
    <s v="907 Main St"/>
    <x v="4"/>
    <s v="Returned"/>
    <s v="TRK79617136"/>
    <n v="8"/>
    <x v="3"/>
    <x v="4"/>
    <n v="268.32"/>
  </r>
  <r>
    <s v="ORD200586"/>
    <d v="2024-11-10T00:00:00"/>
    <s v="C17389"/>
    <s v="Monitor"/>
    <n v="1"/>
    <n v="522.08000000000004"/>
    <s v="905 Main St"/>
    <x v="3"/>
    <s v="Returned"/>
    <s v="TRK98857880"/>
    <n v="5"/>
    <x v="1"/>
    <x v="1"/>
    <n v="522.08000000000004"/>
  </r>
  <r>
    <s v="ORD200587"/>
    <d v="2023-06-12T00:00:00"/>
    <s v="C18820"/>
    <s v="Monitor"/>
    <n v="5"/>
    <n v="514.6"/>
    <s v="347 Main St"/>
    <x v="3"/>
    <s v="Delivered"/>
    <s v="TRK91547425"/>
    <n v="10"/>
    <x v="1"/>
    <x v="0"/>
    <n v="2573"/>
  </r>
  <r>
    <s v="ORD200588"/>
    <d v="2024-12-10T00:00:00"/>
    <s v="C61849"/>
    <s v="Monitor"/>
    <n v="4"/>
    <n v="577.82000000000005"/>
    <s v="811 Main St"/>
    <x v="2"/>
    <s v="Delivered"/>
    <s v="TRK47613918"/>
    <n v="9"/>
    <x v="2"/>
    <x v="4"/>
    <n v="2311.2800000000002"/>
  </r>
  <r>
    <s v="ORD200589"/>
    <d v="2025-02-10T00:00:00"/>
    <s v="C84041"/>
    <s v="Laptop"/>
    <n v="2"/>
    <n v="500.8"/>
    <s v="900 Main St"/>
    <x v="4"/>
    <s v="Delivered"/>
    <s v="TRK84920444"/>
    <n v="3"/>
    <x v="1"/>
    <x v="1"/>
    <n v="1001.6"/>
  </r>
  <r>
    <s v="ORD200590"/>
    <d v="2023-09-10T00:00:00"/>
    <s v="C55757"/>
    <s v="Printer"/>
    <n v="2"/>
    <n v="461.13"/>
    <s v="175 Main St"/>
    <x v="3"/>
    <s v="Returned"/>
    <s v="TRK27356242"/>
    <n v="4"/>
    <x v="2"/>
    <x v="2"/>
    <n v="922.26"/>
  </r>
  <r>
    <s v="ORD200591"/>
    <d v="2024-11-18T00:00:00"/>
    <s v="C18187"/>
    <s v="Laptop"/>
    <n v="1"/>
    <n v="605.28"/>
    <s v="470 Main St"/>
    <x v="3"/>
    <s v="Shipped"/>
    <s v="TRK50528185"/>
    <n v="3"/>
    <x v="1"/>
    <x v="1"/>
    <n v="605.28"/>
  </r>
  <r>
    <s v="ORD200592"/>
    <d v="2024-04-23T00:00:00"/>
    <s v="C42306"/>
    <s v="Phone"/>
    <n v="3"/>
    <n v="204.27"/>
    <s v="938 Main St"/>
    <x v="1"/>
    <s v="Returned"/>
    <s v="TRK15499648"/>
    <n v="4"/>
    <x v="2"/>
    <x v="4"/>
    <n v="612.81000000000006"/>
  </r>
  <r>
    <s v="ORD200593"/>
    <d v="2023-08-02T00:00:00"/>
    <s v="C51024"/>
    <s v="Monitor"/>
    <n v="1"/>
    <n v="489.8"/>
    <s v="636 Main St"/>
    <x v="3"/>
    <s v="Shipped"/>
    <s v="TRK31375086"/>
    <n v="4"/>
    <x v="1"/>
    <x v="3"/>
    <n v="489.8"/>
  </r>
  <r>
    <s v="ORD200594"/>
    <d v="2024-02-21T00:00:00"/>
    <s v="C40140"/>
    <s v="Phone"/>
    <n v="5"/>
    <n v="72.64"/>
    <s v="598 Main St"/>
    <x v="2"/>
    <s v="Cancelled"/>
    <s v="TRK12671989"/>
    <n v="7"/>
    <x v="2"/>
    <x v="2"/>
    <n v="363.2"/>
  </r>
  <r>
    <s v="ORD200595"/>
    <d v="2025-01-10T00:00:00"/>
    <s v="C72596"/>
    <s v="Printer"/>
    <n v="2"/>
    <n v="385.16"/>
    <s v="491 Main St"/>
    <x v="1"/>
    <s v="Pending"/>
    <s v="TRK83870446"/>
    <n v="7"/>
    <x v="0"/>
    <x v="2"/>
    <n v="770.32"/>
  </r>
  <r>
    <s v="ORD200596"/>
    <d v="2023-06-12T00:00:00"/>
    <s v="C91805"/>
    <s v="Desk"/>
    <n v="3"/>
    <n v="606.41"/>
    <s v="653 Main St"/>
    <x v="0"/>
    <s v="Returned"/>
    <s v="TRK34504030"/>
    <n v="7"/>
    <x v="1"/>
    <x v="3"/>
    <n v="1819.23"/>
  </r>
  <r>
    <s v="ORD200597"/>
    <d v="2024-11-25T00:00:00"/>
    <s v="C40538"/>
    <s v="Desk"/>
    <n v="2"/>
    <n v="211.82"/>
    <s v="700 Main St"/>
    <x v="3"/>
    <s v="Cancelled"/>
    <s v="TRK29821356"/>
    <n v="4"/>
    <x v="3"/>
    <x v="2"/>
    <n v="423.64"/>
  </r>
  <r>
    <s v="ORD200598"/>
    <d v="2024-04-26T00:00:00"/>
    <s v="C60329"/>
    <s v="Desk"/>
    <n v="5"/>
    <n v="495.35"/>
    <s v="826 Main St"/>
    <x v="2"/>
    <s v="Pending"/>
    <s v="TRK59069987"/>
    <n v="5"/>
    <x v="2"/>
    <x v="3"/>
    <n v="2476.75"/>
  </r>
  <r>
    <s v="ORD200599"/>
    <d v="2023-06-30T00:00:00"/>
    <s v="C28740"/>
    <s v="Chair"/>
    <n v="3"/>
    <n v="556.99"/>
    <s v="123 Main St"/>
    <x v="1"/>
    <s v="Cancelled"/>
    <s v="TRK33642221"/>
    <n v="4"/>
    <x v="1"/>
    <x v="3"/>
    <n v="1670.97"/>
  </r>
  <r>
    <s v="ORD200600"/>
    <d v="2023-05-26T00:00:00"/>
    <s v="C87051"/>
    <s v="Printer"/>
    <n v="1"/>
    <n v="72.31"/>
    <s v="460 Main St"/>
    <x v="3"/>
    <s v="Cancelled"/>
    <s v="TRK82056333"/>
    <n v="1"/>
    <x v="1"/>
    <x v="3"/>
    <n v="72.31"/>
  </r>
  <r>
    <s v="ORD200601"/>
    <d v="2023-10-02T00:00:00"/>
    <s v="C12479"/>
    <s v="Monitor"/>
    <n v="5"/>
    <n v="24.82"/>
    <s v="529 Main St"/>
    <x v="2"/>
    <s v="Shipped"/>
    <s v="TRK73935314"/>
    <n v="10"/>
    <x v="2"/>
    <x v="1"/>
    <n v="124.1"/>
  </r>
  <r>
    <s v="ORD200602"/>
    <d v="2024-03-05T00:00:00"/>
    <s v="C35852"/>
    <s v="Tablet"/>
    <n v="4"/>
    <n v="26.04"/>
    <s v="982 Main St"/>
    <x v="1"/>
    <s v="Pending"/>
    <s v="TRK64660134"/>
    <n v="5"/>
    <x v="0"/>
    <x v="0"/>
    <n v="104.16"/>
  </r>
  <r>
    <s v="ORD200603"/>
    <d v="2024-10-04T00:00:00"/>
    <s v="C26223"/>
    <s v="Tablet"/>
    <n v="1"/>
    <n v="657.07"/>
    <s v="800 Main St"/>
    <x v="4"/>
    <s v="Pending"/>
    <s v="TRK50900547"/>
    <n v="4"/>
    <x v="0"/>
    <x v="4"/>
    <n v="657.07"/>
  </r>
  <r>
    <s v="ORD200604"/>
    <d v="2025-06-22T00:00:00"/>
    <s v="C99214"/>
    <s v="Chair"/>
    <n v="3"/>
    <n v="32.619999999999997"/>
    <s v="252 Main St"/>
    <x v="0"/>
    <s v="Delivered"/>
    <s v="TRK81368481"/>
    <n v="6"/>
    <x v="2"/>
    <x v="3"/>
    <n v="97.859999999999985"/>
  </r>
  <r>
    <s v="ORD200605"/>
    <d v="2024-05-10T00:00:00"/>
    <s v="C49605"/>
    <s v="Monitor"/>
    <n v="2"/>
    <n v="228.91"/>
    <s v="892 Main St"/>
    <x v="0"/>
    <s v="Shipped"/>
    <s v="TRK95620066"/>
    <n v="4"/>
    <x v="0"/>
    <x v="1"/>
    <n v="457.82"/>
  </r>
  <r>
    <s v="ORD200606"/>
    <d v="2024-11-06T00:00:00"/>
    <s v="C85018"/>
    <s v="Laptop"/>
    <n v="3"/>
    <n v="274.75"/>
    <s v="783 Main St"/>
    <x v="4"/>
    <s v="Cancelled"/>
    <s v="TRK54128886"/>
    <n v="3"/>
    <x v="0"/>
    <x v="4"/>
    <n v="824.25"/>
  </r>
  <r>
    <s v="ORD200607"/>
    <d v="2025-05-31T00:00:00"/>
    <s v="C96434"/>
    <s v="Printer"/>
    <n v="4"/>
    <n v="634.04999999999995"/>
    <s v="282 Main St"/>
    <x v="4"/>
    <s v="Shipped"/>
    <s v="TRK56730647"/>
    <n v="6"/>
    <x v="0"/>
    <x v="4"/>
    <n v="2536.1999999999998"/>
  </r>
  <r>
    <s v="ORD200608"/>
    <d v="2024-07-24T00:00:00"/>
    <s v="C32956"/>
    <s v="Laptop"/>
    <n v="5"/>
    <n v="543.16"/>
    <s v="788 Main St"/>
    <x v="1"/>
    <s v="Cancelled"/>
    <s v="TRK73140103"/>
    <n v="6"/>
    <x v="0"/>
    <x v="0"/>
    <n v="2715.8"/>
  </r>
  <r>
    <s v="ORD200609"/>
    <d v="2025-01-27T00:00:00"/>
    <s v="C41137"/>
    <s v="Chair"/>
    <n v="3"/>
    <n v="449.13"/>
    <s v="809 Main St"/>
    <x v="4"/>
    <s v="Returned"/>
    <s v="TRK52732162"/>
    <n v="5"/>
    <x v="3"/>
    <x v="1"/>
    <n v="1347.39"/>
  </r>
  <r>
    <s v="ORD200610"/>
    <d v="2024-06-16T00:00:00"/>
    <s v="C60361"/>
    <s v="Desk"/>
    <n v="5"/>
    <n v="389.62"/>
    <s v="623 Main St"/>
    <x v="4"/>
    <s v="Returned"/>
    <s v="TRK83566924"/>
    <n v="7"/>
    <x v="1"/>
    <x v="3"/>
    <n v="1948.1"/>
  </r>
  <r>
    <s v="ORD200611"/>
    <d v="2023-04-21T00:00:00"/>
    <s v="C36688"/>
    <s v="Desk"/>
    <n v="1"/>
    <n v="305.17"/>
    <s v="700 Main St"/>
    <x v="3"/>
    <s v="Returned"/>
    <s v="TRK35720426"/>
    <n v="3"/>
    <x v="3"/>
    <x v="1"/>
    <n v="305.17"/>
  </r>
  <r>
    <s v="ORD200612"/>
    <d v="2023-06-02T00:00:00"/>
    <s v="C51811"/>
    <s v="Chair"/>
    <n v="3"/>
    <n v="445.12"/>
    <s v="339 Main St"/>
    <x v="3"/>
    <s v="Cancelled"/>
    <s v="TRK82377939"/>
    <n v="8"/>
    <x v="2"/>
    <x v="4"/>
    <n v="1335.36"/>
  </r>
  <r>
    <s v="ORD200613"/>
    <d v="2024-12-19T00:00:00"/>
    <s v="C62405"/>
    <s v="Laptop"/>
    <n v="2"/>
    <n v="230.36"/>
    <s v="154 Main St"/>
    <x v="1"/>
    <s v="Returned"/>
    <s v="TRK14721763"/>
    <n v="4"/>
    <x v="3"/>
    <x v="2"/>
    <n v="460.72"/>
  </r>
  <r>
    <s v="ORD200614"/>
    <d v="2024-03-08T00:00:00"/>
    <s v="C77363"/>
    <s v="Phone"/>
    <n v="1"/>
    <n v="96.81"/>
    <s v="807 Main St"/>
    <x v="3"/>
    <s v="Cancelled"/>
    <s v="TRK12439827"/>
    <n v="3"/>
    <x v="2"/>
    <x v="1"/>
    <n v="96.81"/>
  </r>
  <r>
    <s v="ORD200615"/>
    <d v="2025-03-07T00:00:00"/>
    <s v="C97218"/>
    <s v="Monitor"/>
    <n v="5"/>
    <n v="460.14"/>
    <s v="252 Main St"/>
    <x v="2"/>
    <s v="Returned"/>
    <s v="TRK52632065"/>
    <n v="10"/>
    <x v="3"/>
    <x v="3"/>
    <n v="2300.6999999999998"/>
  </r>
  <r>
    <s v="ORD200616"/>
    <d v="2024-10-17T00:00:00"/>
    <s v="C43919"/>
    <s v="Tablet"/>
    <n v="3"/>
    <n v="601.6"/>
    <s v="984 Main St"/>
    <x v="2"/>
    <s v="Cancelled"/>
    <s v="TRK73113192"/>
    <n v="7"/>
    <x v="0"/>
    <x v="3"/>
    <n v="1804.8"/>
  </r>
  <r>
    <s v="ORD200617"/>
    <d v="2024-02-08T00:00:00"/>
    <s v="C57093"/>
    <s v="Tablet"/>
    <n v="3"/>
    <n v="184.47"/>
    <s v="834 Main St"/>
    <x v="1"/>
    <s v="Cancelled"/>
    <s v="TRK75469057"/>
    <n v="4"/>
    <x v="2"/>
    <x v="1"/>
    <n v="553.41"/>
  </r>
  <r>
    <s v="ORD200618"/>
    <d v="2024-09-03T00:00:00"/>
    <s v="C50565"/>
    <s v="Tablet"/>
    <n v="1"/>
    <n v="411.34"/>
    <s v="399 Main St"/>
    <x v="0"/>
    <s v="Returned"/>
    <s v="TRK97981418"/>
    <n v="5"/>
    <x v="2"/>
    <x v="0"/>
    <n v="411.34"/>
  </r>
  <r>
    <s v="ORD200619"/>
    <d v="2024-07-16T00:00:00"/>
    <s v="C38845"/>
    <s v="Laptop"/>
    <n v="1"/>
    <n v="532.89"/>
    <s v="764 Main St"/>
    <x v="3"/>
    <s v="Pending"/>
    <s v="TRK47637374"/>
    <n v="2"/>
    <x v="2"/>
    <x v="1"/>
    <n v="532.89"/>
  </r>
  <r>
    <s v="ORD200620"/>
    <d v="2024-03-27T00:00:00"/>
    <s v="C84834"/>
    <s v="Tablet"/>
    <n v="3"/>
    <n v="136.34"/>
    <s v="866 Main St"/>
    <x v="0"/>
    <s v="Returned"/>
    <s v="TRK90136001"/>
    <n v="8"/>
    <x v="0"/>
    <x v="1"/>
    <n v="409.02"/>
  </r>
  <r>
    <s v="ORD200621"/>
    <d v="2023-10-22T00:00:00"/>
    <s v="C37455"/>
    <s v="Phone"/>
    <n v="5"/>
    <n v="476.01"/>
    <s v="146 Main St"/>
    <x v="2"/>
    <s v="Delivered"/>
    <s v="TRK82685594"/>
    <n v="7"/>
    <x v="3"/>
    <x v="4"/>
    <n v="2380.0500000000002"/>
  </r>
  <r>
    <s v="ORD200622"/>
    <d v="2024-11-02T00:00:00"/>
    <s v="C27078"/>
    <s v="Desk"/>
    <n v="5"/>
    <n v="236.38"/>
    <s v="128 Main St"/>
    <x v="2"/>
    <s v="Returned"/>
    <s v="TRK89314307"/>
    <n v="7"/>
    <x v="2"/>
    <x v="3"/>
    <n v="1181.9000000000001"/>
  </r>
  <r>
    <s v="ORD200623"/>
    <d v="2023-06-16T00:00:00"/>
    <s v="C91941"/>
    <s v="Printer"/>
    <n v="3"/>
    <n v="396"/>
    <s v="269 Main St"/>
    <x v="3"/>
    <s v="Cancelled"/>
    <s v="TRK21330732"/>
    <n v="4"/>
    <x v="1"/>
    <x v="0"/>
    <n v="1188"/>
  </r>
  <r>
    <s v="ORD200624"/>
    <d v="2024-01-16T00:00:00"/>
    <s v="C25967"/>
    <s v="Tablet"/>
    <n v="5"/>
    <n v="341.96"/>
    <s v="747 Main St"/>
    <x v="0"/>
    <s v="Delivered"/>
    <s v="TRK88559278"/>
    <n v="6"/>
    <x v="2"/>
    <x v="2"/>
    <n v="1709.8"/>
  </r>
  <r>
    <s v="ORD200625"/>
    <d v="2023-09-24T00:00:00"/>
    <s v="C22123"/>
    <s v="Tablet"/>
    <n v="1"/>
    <n v="672.89"/>
    <s v="519 Main St"/>
    <x v="2"/>
    <s v="Pending"/>
    <s v="TRK43250279"/>
    <n v="1"/>
    <x v="3"/>
    <x v="2"/>
    <n v="672.89"/>
  </r>
  <r>
    <s v="ORD200626"/>
    <d v="2024-03-01T00:00:00"/>
    <s v="C45671"/>
    <s v="Tablet"/>
    <n v="2"/>
    <n v="657.48"/>
    <s v="769 Main St"/>
    <x v="1"/>
    <s v="Shipped"/>
    <s v="TRK18179773"/>
    <n v="5"/>
    <x v="0"/>
    <x v="1"/>
    <n v="1314.96"/>
  </r>
  <r>
    <s v="ORD200627"/>
    <d v="2023-08-06T00:00:00"/>
    <s v="C53334"/>
    <s v="Chair"/>
    <n v="3"/>
    <n v="498.68"/>
    <s v="879 Main St"/>
    <x v="1"/>
    <s v="Returned"/>
    <s v="TRK31724421"/>
    <n v="4"/>
    <x v="1"/>
    <x v="2"/>
    <n v="1496.04"/>
  </r>
  <r>
    <s v="ORD200628"/>
    <d v="2023-03-26T00:00:00"/>
    <s v="C18717"/>
    <s v="Printer"/>
    <n v="5"/>
    <n v="558.63"/>
    <s v="861 Main St"/>
    <x v="4"/>
    <s v="Pending"/>
    <s v="TRK58568806"/>
    <n v="8"/>
    <x v="1"/>
    <x v="1"/>
    <n v="2793.15"/>
  </r>
  <r>
    <s v="ORD200629"/>
    <d v="2023-07-07T00:00:00"/>
    <s v="C50137"/>
    <s v="Phone"/>
    <n v="3"/>
    <n v="19.73"/>
    <s v="840 Main St"/>
    <x v="1"/>
    <s v="Pending"/>
    <s v="TRK91836131"/>
    <n v="3"/>
    <x v="2"/>
    <x v="1"/>
    <n v="59.19"/>
  </r>
  <r>
    <s v="ORD200630"/>
    <d v="2023-06-23T00:00:00"/>
    <s v="C51481"/>
    <s v="Monitor"/>
    <n v="5"/>
    <n v="248.84"/>
    <s v="140 Main St"/>
    <x v="0"/>
    <s v="Cancelled"/>
    <s v="TRK33437701"/>
    <n v="10"/>
    <x v="2"/>
    <x v="0"/>
    <n v="1244.2"/>
  </r>
  <r>
    <s v="ORD200631"/>
    <d v="2024-08-31T00:00:00"/>
    <s v="C99128"/>
    <s v="Chair"/>
    <n v="3"/>
    <n v="46.11"/>
    <s v="360 Main St"/>
    <x v="3"/>
    <s v="Returned"/>
    <s v="TRK32426808"/>
    <n v="5"/>
    <x v="3"/>
    <x v="1"/>
    <n v="138.33000000000001"/>
  </r>
  <r>
    <s v="ORD200632"/>
    <d v="2023-05-02T00:00:00"/>
    <s v="C67260"/>
    <s v="Laptop"/>
    <n v="5"/>
    <n v="678.16"/>
    <s v="463 Main St"/>
    <x v="3"/>
    <s v="Delivered"/>
    <s v="TRK38229104"/>
    <n v="7"/>
    <x v="3"/>
    <x v="3"/>
    <n v="3390.8"/>
  </r>
  <r>
    <s v="ORD200633"/>
    <d v="2024-04-10T00:00:00"/>
    <s v="C79533"/>
    <s v="Laptop"/>
    <n v="5"/>
    <n v="601.72"/>
    <s v="921 Main St"/>
    <x v="3"/>
    <s v="Cancelled"/>
    <s v="TRK54711422"/>
    <n v="5"/>
    <x v="3"/>
    <x v="0"/>
    <n v="3008.6"/>
  </r>
  <r>
    <s v="ORD200634"/>
    <d v="2024-04-25T00:00:00"/>
    <s v="C66906"/>
    <s v="Printer"/>
    <n v="2"/>
    <n v="259.32"/>
    <s v="117 Main St"/>
    <x v="3"/>
    <s v="Delivered"/>
    <s v="TRK31633755"/>
    <n v="2"/>
    <x v="3"/>
    <x v="1"/>
    <n v="518.64"/>
  </r>
  <r>
    <s v="ORD200635"/>
    <d v="2023-12-13T00:00:00"/>
    <s v="C12818"/>
    <s v="Chair"/>
    <n v="3"/>
    <n v="63.68"/>
    <s v="434 Main St"/>
    <x v="4"/>
    <s v="Returned"/>
    <s v="TRK40879983"/>
    <n v="6"/>
    <x v="2"/>
    <x v="3"/>
    <n v="191.04"/>
  </r>
  <r>
    <s v="ORD200636"/>
    <d v="2023-10-05T00:00:00"/>
    <s v="C60384"/>
    <s v="Laptop"/>
    <n v="4"/>
    <n v="371.07"/>
    <s v="336 Main St"/>
    <x v="4"/>
    <s v="Cancelled"/>
    <s v="TRK92080037"/>
    <n v="7"/>
    <x v="3"/>
    <x v="3"/>
    <n v="1484.28"/>
  </r>
  <r>
    <s v="ORD200637"/>
    <d v="2024-09-29T00:00:00"/>
    <s v="C92294"/>
    <s v="Chair"/>
    <n v="4"/>
    <n v="306.35000000000002"/>
    <s v="784 Main St"/>
    <x v="3"/>
    <s v="Shipped"/>
    <s v="TRK23585765"/>
    <n v="7"/>
    <x v="3"/>
    <x v="1"/>
    <n v="1225.4000000000001"/>
  </r>
  <r>
    <s v="ORD200638"/>
    <d v="2023-10-15T00:00:00"/>
    <s v="C66840"/>
    <s v="Tablet"/>
    <n v="4"/>
    <n v="578.27"/>
    <s v="547 Main St"/>
    <x v="1"/>
    <s v="Delivered"/>
    <s v="TRK76929637"/>
    <n v="9"/>
    <x v="3"/>
    <x v="2"/>
    <n v="2313.08"/>
  </r>
  <r>
    <s v="ORD200639"/>
    <d v="2023-01-20T00:00:00"/>
    <s v="C22534"/>
    <s v="Chair"/>
    <n v="1"/>
    <n v="529.19000000000005"/>
    <s v="391 Main St"/>
    <x v="4"/>
    <s v="Cancelled"/>
    <s v="TRK17415798"/>
    <n v="5"/>
    <x v="2"/>
    <x v="1"/>
    <n v="529.19000000000005"/>
  </r>
  <r>
    <s v="ORD200640"/>
    <d v="2024-02-27T00:00:00"/>
    <s v="C46509"/>
    <s v="Chair"/>
    <n v="2"/>
    <n v="587.49"/>
    <s v="647 Main St"/>
    <x v="3"/>
    <s v="Returned"/>
    <s v="TRK24241664"/>
    <n v="6"/>
    <x v="0"/>
    <x v="1"/>
    <n v="1174.98"/>
  </r>
  <r>
    <s v="ORD200641"/>
    <d v="2024-06-30T00:00:00"/>
    <s v="C71680"/>
    <s v="Printer"/>
    <n v="4"/>
    <n v="567.57000000000005"/>
    <s v="814 Main St"/>
    <x v="0"/>
    <s v="Pending"/>
    <s v="TRK47386650"/>
    <n v="9"/>
    <x v="3"/>
    <x v="4"/>
    <n v="2270.2800000000002"/>
  </r>
  <r>
    <s v="ORD200642"/>
    <d v="2024-04-29T00:00:00"/>
    <s v="C15063"/>
    <s v="Chair"/>
    <n v="5"/>
    <n v="85.22"/>
    <s v="527 Main St"/>
    <x v="2"/>
    <s v="Cancelled"/>
    <s v="TRK10329390"/>
    <n v="7"/>
    <x v="1"/>
    <x v="2"/>
    <n v="426.1"/>
  </r>
  <r>
    <s v="ORD200643"/>
    <d v="2024-08-26T00:00:00"/>
    <s v="C77122"/>
    <s v="Laptop"/>
    <n v="1"/>
    <n v="438.37"/>
    <s v="647 Main St"/>
    <x v="4"/>
    <s v="Cancelled"/>
    <s v="TRK75814880"/>
    <n v="4"/>
    <x v="0"/>
    <x v="1"/>
    <n v="438.37"/>
  </r>
  <r>
    <s v="ORD200644"/>
    <d v="2023-11-15T00:00:00"/>
    <s v="C86524"/>
    <s v="Chair"/>
    <n v="2"/>
    <n v="366.23"/>
    <s v="961 Main St"/>
    <x v="4"/>
    <s v="Shipped"/>
    <s v="TRK62490506"/>
    <n v="2"/>
    <x v="3"/>
    <x v="2"/>
    <n v="732.46"/>
  </r>
  <r>
    <s v="ORD200645"/>
    <d v="2023-01-02T00:00:00"/>
    <s v="C82990"/>
    <s v="Laptop"/>
    <n v="2"/>
    <n v="150.05000000000001"/>
    <s v="727 Main St"/>
    <x v="2"/>
    <s v="Cancelled"/>
    <s v="TRK68574801"/>
    <n v="4"/>
    <x v="0"/>
    <x v="3"/>
    <n v="300.10000000000002"/>
  </r>
  <r>
    <s v="ORD200646"/>
    <d v="2023-10-27T00:00:00"/>
    <s v="C98761"/>
    <s v="Chair"/>
    <n v="4"/>
    <n v="498.51"/>
    <s v="804 Main St"/>
    <x v="0"/>
    <s v="Shipped"/>
    <s v="TRK43262630"/>
    <n v="4"/>
    <x v="0"/>
    <x v="4"/>
    <n v="1994.04"/>
  </r>
  <r>
    <s v="ORD200647"/>
    <d v="2025-04-24T00:00:00"/>
    <s v="C54409"/>
    <s v="Desk"/>
    <n v="3"/>
    <n v="339.39"/>
    <s v="667 Main St"/>
    <x v="4"/>
    <s v="Returned"/>
    <s v="TRK67671316"/>
    <n v="7"/>
    <x v="1"/>
    <x v="4"/>
    <n v="1018.17"/>
  </r>
  <r>
    <s v="ORD200648"/>
    <d v="2025-01-18T00:00:00"/>
    <s v="C89674"/>
    <s v="Monitor"/>
    <n v="2"/>
    <n v="575.83000000000004"/>
    <s v="182 Main St"/>
    <x v="1"/>
    <s v="Delivered"/>
    <s v="TRK45902512"/>
    <n v="3"/>
    <x v="3"/>
    <x v="1"/>
    <n v="1151.6600000000001"/>
  </r>
  <r>
    <s v="ORD200649"/>
    <d v="2023-12-23T00:00:00"/>
    <s v="C45899"/>
    <s v="Monitor"/>
    <n v="2"/>
    <n v="642.98"/>
    <s v="153 Main St"/>
    <x v="0"/>
    <s v="Returned"/>
    <s v="TRK32932093"/>
    <n v="7"/>
    <x v="1"/>
    <x v="2"/>
    <n v="1285.96"/>
  </r>
  <r>
    <s v="ORD200650"/>
    <d v="2023-05-18T00:00:00"/>
    <s v="C74499"/>
    <s v="Desk"/>
    <n v="2"/>
    <n v="372.23"/>
    <s v="518 Main St"/>
    <x v="3"/>
    <s v="Delivered"/>
    <s v="TRK93767278"/>
    <n v="7"/>
    <x v="0"/>
    <x v="2"/>
    <n v="744.46"/>
  </r>
  <r>
    <s v="ORD200651"/>
    <d v="2024-11-12T00:00:00"/>
    <s v="C81192"/>
    <s v="Chair"/>
    <n v="3"/>
    <n v="646.34"/>
    <s v="429 Main St"/>
    <x v="0"/>
    <s v="Pending"/>
    <s v="TRK76931118"/>
    <n v="5"/>
    <x v="2"/>
    <x v="4"/>
    <n v="1939.02"/>
  </r>
  <r>
    <s v="ORD200652"/>
    <d v="2024-06-05T00:00:00"/>
    <s v="C71473"/>
    <s v="Chair"/>
    <n v="5"/>
    <n v="341.84"/>
    <s v="328 Main St"/>
    <x v="1"/>
    <s v="Shipped"/>
    <s v="TRK94857335"/>
    <n v="8"/>
    <x v="1"/>
    <x v="0"/>
    <n v="1709.2"/>
  </r>
  <r>
    <s v="ORD200653"/>
    <d v="2024-02-25T00:00:00"/>
    <s v="C59338"/>
    <s v="Printer"/>
    <n v="3"/>
    <n v="690.3"/>
    <s v="747 Main St"/>
    <x v="2"/>
    <s v="Shipped"/>
    <s v="TRK12902764"/>
    <n v="6"/>
    <x v="3"/>
    <x v="4"/>
    <n v="2070.9"/>
  </r>
  <r>
    <s v="ORD200654"/>
    <d v="2023-06-12T00:00:00"/>
    <s v="C62661"/>
    <s v="Tablet"/>
    <n v="3"/>
    <n v="382.37"/>
    <s v="863 Main St"/>
    <x v="0"/>
    <s v="Returned"/>
    <s v="TRK25748100"/>
    <n v="8"/>
    <x v="2"/>
    <x v="0"/>
    <n v="1147.1099999999999"/>
  </r>
  <r>
    <s v="ORD200655"/>
    <d v="2023-03-14T00:00:00"/>
    <s v="C22101"/>
    <s v="Chair"/>
    <n v="2"/>
    <n v="132.6"/>
    <s v="262 Main St"/>
    <x v="0"/>
    <s v="Cancelled"/>
    <s v="TRK70711522"/>
    <n v="4"/>
    <x v="3"/>
    <x v="2"/>
    <n v="265.2"/>
  </r>
  <r>
    <s v="ORD200656"/>
    <d v="2024-01-18T00:00:00"/>
    <s v="C51404"/>
    <s v="Monitor"/>
    <n v="2"/>
    <n v="189.06"/>
    <s v="835 Main St"/>
    <x v="3"/>
    <s v="Shipped"/>
    <s v="TRK85682500"/>
    <n v="7"/>
    <x v="0"/>
    <x v="3"/>
    <n v="378.12"/>
  </r>
  <r>
    <s v="ORD200657"/>
    <d v="2023-12-24T00:00:00"/>
    <s v="C19384"/>
    <s v="Tablet"/>
    <n v="4"/>
    <n v="87.79"/>
    <s v="532 Main St"/>
    <x v="4"/>
    <s v="Cancelled"/>
    <s v="TRK33207064"/>
    <n v="6"/>
    <x v="1"/>
    <x v="0"/>
    <n v="351.16"/>
  </r>
  <r>
    <s v="ORD200658"/>
    <d v="2025-04-18T00:00:00"/>
    <s v="C86864"/>
    <s v="Printer"/>
    <n v="2"/>
    <n v="46.36"/>
    <s v="670 Main St"/>
    <x v="3"/>
    <s v="Returned"/>
    <s v="TRK15323191"/>
    <n v="4"/>
    <x v="0"/>
    <x v="4"/>
    <n v="92.72"/>
  </r>
  <r>
    <s v="ORD200659"/>
    <d v="2024-10-26T00:00:00"/>
    <s v="C24301"/>
    <s v="Phone"/>
    <n v="2"/>
    <n v="642.04"/>
    <s v="964 Main St"/>
    <x v="3"/>
    <s v="Delivered"/>
    <s v="TRK55000075"/>
    <n v="4"/>
    <x v="3"/>
    <x v="2"/>
    <n v="1284.08"/>
  </r>
  <r>
    <s v="ORD200660"/>
    <d v="2024-10-19T00:00:00"/>
    <s v="C43842"/>
    <s v="Chair"/>
    <n v="2"/>
    <n v="651.57000000000005"/>
    <s v="933 Main St"/>
    <x v="0"/>
    <s v="Shipped"/>
    <s v="TRK54084424"/>
    <n v="7"/>
    <x v="3"/>
    <x v="3"/>
    <n v="1303.1400000000001"/>
  </r>
  <r>
    <s v="ORD200661"/>
    <d v="2025-02-28T00:00:00"/>
    <s v="C63657"/>
    <s v="Tablet"/>
    <n v="3"/>
    <n v="424.89"/>
    <s v="116 Main St"/>
    <x v="0"/>
    <s v="Cancelled"/>
    <s v="TRK86378984"/>
    <n v="6"/>
    <x v="1"/>
    <x v="4"/>
    <n v="1274.67"/>
  </r>
  <r>
    <s v="ORD200662"/>
    <d v="2023-01-28T00:00:00"/>
    <s v="C98332"/>
    <s v="Laptop"/>
    <n v="3"/>
    <n v="438.89"/>
    <s v="985 Main St"/>
    <x v="4"/>
    <s v="Returned"/>
    <s v="TRK85744797"/>
    <n v="3"/>
    <x v="2"/>
    <x v="3"/>
    <n v="1316.67"/>
  </r>
  <r>
    <s v="ORD200663"/>
    <d v="2024-04-15T00:00:00"/>
    <s v="C59774"/>
    <s v="Monitor"/>
    <n v="1"/>
    <n v="72.599999999999994"/>
    <s v="941 Main St"/>
    <x v="0"/>
    <s v="Cancelled"/>
    <s v="TRK87635135"/>
    <n v="6"/>
    <x v="1"/>
    <x v="0"/>
    <n v="72.599999999999994"/>
  </r>
  <r>
    <s v="ORD200664"/>
    <d v="2024-12-19T00:00:00"/>
    <s v="C14847"/>
    <s v="Laptop"/>
    <n v="4"/>
    <n v="194.75"/>
    <s v="188 Main St"/>
    <x v="4"/>
    <s v="Shipped"/>
    <s v="TRK46492755"/>
    <n v="5"/>
    <x v="2"/>
    <x v="3"/>
    <n v="779"/>
  </r>
  <r>
    <s v="ORD200665"/>
    <d v="2023-05-02T00:00:00"/>
    <s v="C83653"/>
    <s v="Tablet"/>
    <n v="4"/>
    <n v="231.26"/>
    <s v="253 Main St"/>
    <x v="1"/>
    <s v="Shipped"/>
    <s v="TRK32619935"/>
    <n v="6"/>
    <x v="3"/>
    <x v="4"/>
    <n v="925.04"/>
  </r>
  <r>
    <s v="ORD200666"/>
    <d v="2024-08-31T00:00:00"/>
    <s v="C35711"/>
    <s v="Monitor"/>
    <n v="4"/>
    <n v="327.12"/>
    <s v="788 Main St"/>
    <x v="2"/>
    <s v="Cancelled"/>
    <s v="TRK45281495"/>
    <n v="4"/>
    <x v="2"/>
    <x v="2"/>
    <n v="1308.48"/>
  </r>
  <r>
    <s v="ORD200667"/>
    <d v="2023-05-03T00:00:00"/>
    <s v="C10477"/>
    <s v="Laptop"/>
    <n v="1"/>
    <n v="466.42"/>
    <s v="172 Main St"/>
    <x v="3"/>
    <s v="Pending"/>
    <s v="TRK41505339"/>
    <n v="5"/>
    <x v="0"/>
    <x v="2"/>
    <n v="466.42"/>
  </r>
  <r>
    <s v="ORD200668"/>
    <d v="2024-07-05T00:00:00"/>
    <s v="C61257"/>
    <s v="Monitor"/>
    <n v="2"/>
    <n v="253.67"/>
    <s v="981 Main St"/>
    <x v="4"/>
    <s v="Returned"/>
    <s v="TRK25226070"/>
    <n v="3"/>
    <x v="3"/>
    <x v="3"/>
    <n v="507.34"/>
  </r>
  <r>
    <s v="ORD200669"/>
    <d v="2023-02-05T00:00:00"/>
    <s v="C60547"/>
    <s v="Desk"/>
    <n v="1"/>
    <n v="257"/>
    <s v="812 Main St"/>
    <x v="0"/>
    <s v="Cancelled"/>
    <s v="TRK65694249"/>
    <n v="5"/>
    <x v="2"/>
    <x v="1"/>
    <n v="257"/>
  </r>
  <r>
    <s v="ORD200670"/>
    <d v="2024-04-18T00:00:00"/>
    <s v="C14576"/>
    <s v="Desk"/>
    <n v="4"/>
    <n v="539.20000000000005"/>
    <s v="747 Main St"/>
    <x v="2"/>
    <s v="Pending"/>
    <s v="TRK21637540"/>
    <n v="8"/>
    <x v="1"/>
    <x v="4"/>
    <n v="2156.8000000000002"/>
  </r>
  <r>
    <s v="ORD200671"/>
    <d v="2023-06-15T00:00:00"/>
    <s v="C49282"/>
    <s v="Chair"/>
    <n v="5"/>
    <n v="50.74"/>
    <s v="737 Main St"/>
    <x v="3"/>
    <s v="Cancelled"/>
    <s v="TRK88653901"/>
    <n v="7"/>
    <x v="3"/>
    <x v="4"/>
    <n v="253.7"/>
  </r>
  <r>
    <s v="ORD200672"/>
    <d v="2023-05-09T00:00:00"/>
    <s v="C14017"/>
    <s v="Phone"/>
    <n v="2"/>
    <n v="624.16"/>
    <s v="984 Main St"/>
    <x v="0"/>
    <s v="Shipped"/>
    <s v="TRK71009446"/>
    <n v="2"/>
    <x v="0"/>
    <x v="0"/>
    <n v="1248.32"/>
  </r>
  <r>
    <s v="ORD200673"/>
    <d v="2023-02-21T00:00:00"/>
    <s v="C46504"/>
    <s v="Tablet"/>
    <n v="2"/>
    <n v="372.92"/>
    <s v="131 Main St"/>
    <x v="2"/>
    <s v="Delivered"/>
    <s v="TRK95024356"/>
    <n v="7"/>
    <x v="0"/>
    <x v="2"/>
    <n v="745.84"/>
  </r>
  <r>
    <s v="ORD200674"/>
    <d v="2024-01-09T00:00:00"/>
    <s v="C56928"/>
    <s v="Laptop"/>
    <n v="4"/>
    <n v="358.75"/>
    <s v="860 Main St"/>
    <x v="3"/>
    <s v="Delivered"/>
    <s v="TRK57792939"/>
    <n v="9"/>
    <x v="0"/>
    <x v="3"/>
    <n v="1435"/>
  </r>
  <r>
    <s v="ORD200675"/>
    <d v="2024-08-06T00:00:00"/>
    <s v="C97749"/>
    <s v="Desk"/>
    <n v="3"/>
    <n v="342.02"/>
    <s v="906 Main St"/>
    <x v="0"/>
    <s v="Pending"/>
    <s v="TRK90233116"/>
    <n v="5"/>
    <x v="2"/>
    <x v="2"/>
    <n v="1026.06"/>
  </r>
  <r>
    <s v="ORD200676"/>
    <d v="2025-06-23T00:00:00"/>
    <s v="C90431"/>
    <s v="Laptop"/>
    <n v="2"/>
    <n v="422.34"/>
    <s v="985 Main St"/>
    <x v="2"/>
    <s v="Cancelled"/>
    <s v="TRK44151723"/>
    <n v="4"/>
    <x v="1"/>
    <x v="0"/>
    <n v="844.68"/>
  </r>
  <r>
    <s v="ORD200677"/>
    <d v="2025-04-03T00:00:00"/>
    <s v="C56722"/>
    <s v="Tablet"/>
    <n v="5"/>
    <n v="22.07"/>
    <s v="179 Main St"/>
    <x v="1"/>
    <s v="Cancelled"/>
    <s v="TRK78778569"/>
    <n v="7"/>
    <x v="1"/>
    <x v="0"/>
    <n v="110.35"/>
  </r>
  <r>
    <s v="ORD200678"/>
    <d v="2024-11-24T00:00:00"/>
    <s v="C40863"/>
    <s v="Chair"/>
    <n v="3"/>
    <n v="163.13"/>
    <s v="457 Main St"/>
    <x v="3"/>
    <s v="Shipped"/>
    <s v="TRK20553345"/>
    <n v="5"/>
    <x v="3"/>
    <x v="3"/>
    <n v="489.39"/>
  </r>
  <r>
    <s v="ORD200679"/>
    <d v="2023-02-02T00:00:00"/>
    <s v="C40798"/>
    <s v="Tablet"/>
    <n v="3"/>
    <n v="360.66"/>
    <s v="304 Main St"/>
    <x v="1"/>
    <s v="Returned"/>
    <s v="TRK66106697"/>
    <n v="5"/>
    <x v="1"/>
    <x v="0"/>
    <n v="1081.98"/>
  </r>
  <r>
    <s v="ORD200680"/>
    <d v="2023-08-27T00:00:00"/>
    <s v="C16702"/>
    <s v="Monitor"/>
    <n v="3"/>
    <n v="463.39"/>
    <s v="694 Main St"/>
    <x v="2"/>
    <s v="Returned"/>
    <s v="TRK16953491"/>
    <n v="3"/>
    <x v="2"/>
    <x v="3"/>
    <n v="1390.17"/>
  </r>
  <r>
    <s v="ORD200681"/>
    <d v="2024-01-30T00:00:00"/>
    <s v="C38262"/>
    <s v="Tablet"/>
    <n v="1"/>
    <n v="155.27000000000001"/>
    <s v="548 Main St"/>
    <x v="0"/>
    <s v="Shipped"/>
    <s v="TRK47300502"/>
    <n v="6"/>
    <x v="2"/>
    <x v="2"/>
    <n v="155.27000000000001"/>
  </r>
  <r>
    <s v="ORD200682"/>
    <d v="2023-07-23T00:00:00"/>
    <s v="C50274"/>
    <s v="Monitor"/>
    <n v="3"/>
    <n v="509.42"/>
    <s v="449 Main St"/>
    <x v="2"/>
    <s v="Cancelled"/>
    <s v="TRK91729086"/>
    <n v="5"/>
    <x v="1"/>
    <x v="4"/>
    <n v="1528.26"/>
  </r>
  <r>
    <s v="ORD200683"/>
    <d v="2025-05-18T00:00:00"/>
    <s v="C91591"/>
    <s v="Desk"/>
    <n v="4"/>
    <n v="652.48"/>
    <s v="887 Main St"/>
    <x v="4"/>
    <s v="Pending"/>
    <s v="TRK23554043"/>
    <n v="5"/>
    <x v="1"/>
    <x v="0"/>
    <n v="2609.92"/>
  </r>
  <r>
    <s v="ORD200684"/>
    <d v="2024-09-22T00:00:00"/>
    <s v="C96583"/>
    <s v="Printer"/>
    <n v="4"/>
    <n v="34.840000000000003"/>
    <s v="288 Main St"/>
    <x v="2"/>
    <s v="Shipped"/>
    <s v="TRK64353241"/>
    <n v="8"/>
    <x v="2"/>
    <x v="2"/>
    <n v="139.36000000000001"/>
  </r>
  <r>
    <s v="ORD200685"/>
    <d v="2025-02-07T00:00:00"/>
    <s v="C64579"/>
    <s v="Desk"/>
    <n v="1"/>
    <n v="234.37"/>
    <s v="638 Main St"/>
    <x v="0"/>
    <s v="Shipped"/>
    <s v="TRK10276565"/>
    <n v="5"/>
    <x v="1"/>
    <x v="2"/>
    <n v="234.37"/>
  </r>
  <r>
    <s v="ORD200686"/>
    <d v="2023-10-09T00:00:00"/>
    <s v="C41903"/>
    <s v="Desk"/>
    <n v="3"/>
    <n v="53.6"/>
    <s v="525 Main St"/>
    <x v="4"/>
    <s v="Pending"/>
    <s v="TRK59112382"/>
    <n v="4"/>
    <x v="3"/>
    <x v="3"/>
    <n v="160.80000000000001"/>
  </r>
  <r>
    <s v="ORD200687"/>
    <d v="2023-09-13T00:00:00"/>
    <s v="C19742"/>
    <s v="Tablet"/>
    <n v="1"/>
    <n v="332.09"/>
    <s v="408 Main St"/>
    <x v="3"/>
    <s v="Returned"/>
    <s v="TRK68845230"/>
    <n v="5"/>
    <x v="1"/>
    <x v="0"/>
    <n v="332.09"/>
  </r>
  <r>
    <s v="ORD200688"/>
    <d v="2024-03-06T00:00:00"/>
    <s v="C20077"/>
    <s v="Monitor"/>
    <n v="4"/>
    <n v="593.22"/>
    <s v="154 Main St"/>
    <x v="2"/>
    <s v="Cancelled"/>
    <s v="TRK36415742"/>
    <n v="8"/>
    <x v="3"/>
    <x v="3"/>
    <n v="2372.88"/>
  </r>
  <r>
    <s v="ORD200689"/>
    <d v="2023-08-29T00:00:00"/>
    <s v="C13186"/>
    <s v="Tablet"/>
    <n v="2"/>
    <n v="444.84"/>
    <s v="787 Main St"/>
    <x v="1"/>
    <s v="Shipped"/>
    <s v="TRK56967415"/>
    <n v="7"/>
    <x v="2"/>
    <x v="3"/>
    <n v="889.68"/>
  </r>
  <r>
    <s v="ORD200690"/>
    <d v="2024-07-12T00:00:00"/>
    <s v="C29318"/>
    <s v="Monitor"/>
    <n v="1"/>
    <n v="24.48"/>
    <s v="128 Main St"/>
    <x v="3"/>
    <s v="Returned"/>
    <s v="TRK88666721"/>
    <n v="1"/>
    <x v="2"/>
    <x v="0"/>
    <n v="24.48"/>
  </r>
  <r>
    <s v="ORD200691"/>
    <d v="2024-11-24T00:00:00"/>
    <s v="C36137"/>
    <s v="Laptop"/>
    <n v="3"/>
    <n v="239.08"/>
    <s v="396 Main St"/>
    <x v="4"/>
    <s v="Shipped"/>
    <s v="TRK57376416"/>
    <n v="8"/>
    <x v="2"/>
    <x v="4"/>
    <n v="717.24"/>
  </r>
  <r>
    <s v="ORD200692"/>
    <d v="2023-01-23T00:00:00"/>
    <s v="C25534"/>
    <s v="Desk"/>
    <n v="5"/>
    <n v="196.84"/>
    <s v="319 Main St"/>
    <x v="2"/>
    <s v="Delivered"/>
    <s v="TRK68347402"/>
    <n v="5"/>
    <x v="3"/>
    <x v="0"/>
    <n v="984.2"/>
  </r>
  <r>
    <s v="ORD200693"/>
    <d v="2025-03-12T00:00:00"/>
    <s v="C62070"/>
    <s v="Monitor"/>
    <n v="1"/>
    <n v="176.58"/>
    <s v="674 Main St"/>
    <x v="0"/>
    <s v="Returned"/>
    <s v="TRK10267127"/>
    <n v="4"/>
    <x v="2"/>
    <x v="1"/>
    <n v="176.58"/>
  </r>
  <r>
    <s v="ORD200694"/>
    <d v="2023-10-02T00:00:00"/>
    <s v="C92049"/>
    <s v="Printer"/>
    <n v="4"/>
    <n v="666.52"/>
    <s v="619 Main St"/>
    <x v="4"/>
    <s v="Shipped"/>
    <s v="TRK32287092"/>
    <n v="8"/>
    <x v="1"/>
    <x v="2"/>
    <n v="2666.08"/>
  </r>
  <r>
    <s v="ORD200695"/>
    <d v="2024-11-23T00:00:00"/>
    <s v="C52604"/>
    <s v="Printer"/>
    <n v="5"/>
    <n v="101.3"/>
    <s v="553 Main St"/>
    <x v="1"/>
    <s v="Shipped"/>
    <s v="TRK48839788"/>
    <n v="7"/>
    <x v="1"/>
    <x v="2"/>
    <n v="506.5"/>
  </r>
  <r>
    <s v="ORD200696"/>
    <d v="2023-07-02T00:00:00"/>
    <s v="C22429"/>
    <s v="Chair"/>
    <n v="4"/>
    <n v="151.19999999999999"/>
    <s v="965 Main St"/>
    <x v="3"/>
    <s v="Pending"/>
    <s v="TRK38572927"/>
    <n v="9"/>
    <x v="3"/>
    <x v="3"/>
    <n v="604.79999999999995"/>
  </r>
  <r>
    <s v="ORD200697"/>
    <d v="2025-02-04T00:00:00"/>
    <s v="C27430"/>
    <s v="Printer"/>
    <n v="5"/>
    <n v="94.85"/>
    <s v="788 Main St"/>
    <x v="4"/>
    <s v="Shipped"/>
    <s v="TRK45025840"/>
    <n v="6"/>
    <x v="3"/>
    <x v="2"/>
    <n v="474.25"/>
  </r>
  <r>
    <s v="ORD200698"/>
    <d v="2023-01-04T00:00:00"/>
    <s v="C44366"/>
    <s v="Laptop"/>
    <n v="2"/>
    <n v="388.22"/>
    <s v="169 Main St"/>
    <x v="4"/>
    <s v="Delivered"/>
    <s v="TRK48658394"/>
    <n v="2"/>
    <x v="3"/>
    <x v="0"/>
    <n v="776.44"/>
  </r>
  <r>
    <s v="ORD200699"/>
    <d v="2023-11-13T00:00:00"/>
    <s v="C36813"/>
    <s v="Laptop"/>
    <n v="3"/>
    <n v="614.15"/>
    <s v="897 Main St"/>
    <x v="3"/>
    <s v="Cancelled"/>
    <s v="TRK84088900"/>
    <n v="3"/>
    <x v="2"/>
    <x v="3"/>
    <n v="1842.45"/>
  </r>
  <r>
    <s v="ORD200700"/>
    <d v="2024-09-25T00:00:00"/>
    <s v="C40201"/>
    <s v="Laptop"/>
    <n v="2"/>
    <n v="92.91"/>
    <s v="555 Main St"/>
    <x v="4"/>
    <s v="Returned"/>
    <s v="TRK30198779"/>
    <n v="3"/>
    <x v="3"/>
    <x v="0"/>
    <n v="185.82"/>
  </r>
  <r>
    <s v="ORD200701"/>
    <d v="2024-06-23T00:00:00"/>
    <s v="C75456"/>
    <s v="Monitor"/>
    <n v="3"/>
    <n v="92.22"/>
    <s v="115 Main St"/>
    <x v="2"/>
    <s v="Delivered"/>
    <s v="TRK90519490"/>
    <n v="5"/>
    <x v="1"/>
    <x v="2"/>
    <n v="276.66000000000003"/>
  </r>
  <r>
    <s v="ORD200702"/>
    <d v="2024-06-09T00:00:00"/>
    <s v="C33315"/>
    <s v="Printer"/>
    <n v="3"/>
    <n v="562.54999999999995"/>
    <s v="154 Main St"/>
    <x v="0"/>
    <s v="Returned"/>
    <s v="TRK43589369"/>
    <n v="6"/>
    <x v="2"/>
    <x v="2"/>
    <n v="1687.65"/>
  </r>
  <r>
    <s v="ORD200703"/>
    <d v="2023-03-22T00:00:00"/>
    <s v="C89336"/>
    <s v="Desk"/>
    <n v="1"/>
    <n v="92.79"/>
    <s v="799 Main St"/>
    <x v="4"/>
    <s v="Pending"/>
    <s v="TRK47665103"/>
    <n v="3"/>
    <x v="3"/>
    <x v="2"/>
    <n v="92.79"/>
  </r>
  <r>
    <s v="ORD200704"/>
    <d v="2023-06-03T00:00:00"/>
    <s v="C96034"/>
    <s v="Desk"/>
    <n v="4"/>
    <n v="30.27"/>
    <s v="819 Main St"/>
    <x v="1"/>
    <s v="Delivered"/>
    <s v="TRK87261034"/>
    <n v="9"/>
    <x v="1"/>
    <x v="4"/>
    <n v="121.08"/>
  </r>
  <r>
    <s v="ORD200705"/>
    <d v="2025-03-30T00:00:00"/>
    <s v="C50114"/>
    <s v="Monitor"/>
    <n v="2"/>
    <n v="49.08"/>
    <s v="420 Main St"/>
    <x v="0"/>
    <s v="Returned"/>
    <s v="TRK20214786"/>
    <n v="7"/>
    <x v="1"/>
    <x v="0"/>
    <n v="98.16"/>
  </r>
  <r>
    <s v="ORD200706"/>
    <d v="2025-03-02T00:00:00"/>
    <s v="C85330"/>
    <s v="Desk"/>
    <n v="5"/>
    <n v="228.09"/>
    <s v="969 Main St"/>
    <x v="3"/>
    <s v="Returned"/>
    <s v="TRK97693301"/>
    <n v="9"/>
    <x v="1"/>
    <x v="3"/>
    <n v="1140.45"/>
  </r>
  <r>
    <s v="ORD200707"/>
    <d v="2024-11-01T00:00:00"/>
    <s v="C31761"/>
    <s v="Chair"/>
    <n v="4"/>
    <n v="650.04"/>
    <s v="989 Main St"/>
    <x v="3"/>
    <s v="Cancelled"/>
    <s v="TRK17628852"/>
    <n v="6"/>
    <x v="0"/>
    <x v="3"/>
    <n v="2600.16"/>
  </r>
  <r>
    <s v="ORD200708"/>
    <d v="2025-03-04T00:00:00"/>
    <s v="C25268"/>
    <s v="Printer"/>
    <n v="1"/>
    <n v="665.11"/>
    <s v="788 Main St"/>
    <x v="4"/>
    <s v="Pending"/>
    <s v="TRK20481215"/>
    <n v="3"/>
    <x v="1"/>
    <x v="0"/>
    <n v="665.11"/>
  </r>
  <r>
    <s v="ORD200709"/>
    <d v="2024-12-07T00:00:00"/>
    <s v="C17132"/>
    <s v="Desk"/>
    <n v="1"/>
    <n v="386.03"/>
    <s v="855 Main St"/>
    <x v="1"/>
    <s v="Pending"/>
    <s v="TRK37504692"/>
    <n v="4"/>
    <x v="1"/>
    <x v="4"/>
    <n v="386.03"/>
  </r>
  <r>
    <s v="ORD200710"/>
    <d v="2024-07-22T00:00:00"/>
    <s v="C48790"/>
    <s v="Laptop"/>
    <n v="5"/>
    <n v="21.54"/>
    <s v="113 Main St"/>
    <x v="3"/>
    <s v="Returned"/>
    <s v="TRK19086608"/>
    <n v="10"/>
    <x v="2"/>
    <x v="4"/>
    <n v="107.7"/>
  </r>
  <r>
    <s v="ORD200711"/>
    <d v="2024-07-04T00:00:00"/>
    <s v="C61070"/>
    <s v="Tablet"/>
    <n v="2"/>
    <n v="475.78"/>
    <s v="632 Main St"/>
    <x v="1"/>
    <s v="Shipped"/>
    <s v="TRK90764894"/>
    <n v="2"/>
    <x v="3"/>
    <x v="4"/>
    <n v="951.56"/>
  </r>
  <r>
    <s v="ORD200712"/>
    <d v="2024-01-09T00:00:00"/>
    <s v="C56969"/>
    <s v="Tablet"/>
    <n v="2"/>
    <n v="68.400000000000006"/>
    <s v="993 Main St"/>
    <x v="3"/>
    <s v="Pending"/>
    <s v="TRK10513339"/>
    <n v="7"/>
    <x v="1"/>
    <x v="2"/>
    <n v="136.80000000000001"/>
  </r>
  <r>
    <s v="ORD200713"/>
    <d v="2025-06-21T00:00:00"/>
    <s v="C65056"/>
    <s v="Tablet"/>
    <n v="4"/>
    <n v="532.49"/>
    <s v="638 Main St"/>
    <x v="1"/>
    <s v="Cancelled"/>
    <s v="TRK31705278"/>
    <n v="6"/>
    <x v="0"/>
    <x v="3"/>
    <n v="2129.96"/>
  </r>
  <r>
    <s v="ORD200714"/>
    <d v="2023-04-21T00:00:00"/>
    <s v="C84888"/>
    <s v="Laptop"/>
    <n v="1"/>
    <n v="51.73"/>
    <s v="278 Main St"/>
    <x v="0"/>
    <s v="Pending"/>
    <s v="TRK23612847"/>
    <n v="1"/>
    <x v="1"/>
    <x v="3"/>
    <n v="51.73"/>
  </r>
  <r>
    <s v="ORD200715"/>
    <d v="2024-07-26T00:00:00"/>
    <s v="C68266"/>
    <s v="Printer"/>
    <n v="3"/>
    <n v="653.63"/>
    <s v="281 Main St"/>
    <x v="1"/>
    <s v="Delivered"/>
    <s v="TRK96161062"/>
    <n v="7"/>
    <x v="1"/>
    <x v="2"/>
    <n v="1960.89"/>
  </r>
  <r>
    <s v="ORD200716"/>
    <d v="2024-06-13T00:00:00"/>
    <s v="C84115"/>
    <s v="Chair"/>
    <n v="3"/>
    <n v="454.29"/>
    <s v="891 Main St"/>
    <x v="2"/>
    <s v="Pending"/>
    <s v="TRK25466842"/>
    <n v="4"/>
    <x v="3"/>
    <x v="4"/>
    <n v="1362.87"/>
  </r>
  <r>
    <s v="ORD200717"/>
    <d v="2023-10-16T00:00:00"/>
    <s v="C50087"/>
    <s v="Chair"/>
    <n v="3"/>
    <n v="122.11"/>
    <s v="707 Main St"/>
    <x v="1"/>
    <s v="Delivered"/>
    <s v="TRK31143760"/>
    <n v="4"/>
    <x v="3"/>
    <x v="2"/>
    <n v="366.33"/>
  </r>
  <r>
    <s v="ORD200718"/>
    <d v="2023-04-08T00:00:00"/>
    <s v="C16790"/>
    <s v="Laptop"/>
    <n v="4"/>
    <n v="64.739999999999995"/>
    <s v="718 Main St"/>
    <x v="3"/>
    <s v="Cancelled"/>
    <s v="TRK91791367"/>
    <n v="8"/>
    <x v="0"/>
    <x v="4"/>
    <n v="258.95999999999998"/>
  </r>
  <r>
    <s v="ORD200719"/>
    <d v="2024-01-21T00:00:00"/>
    <s v="C46920"/>
    <s v="Laptop"/>
    <n v="2"/>
    <n v="681.06"/>
    <s v="703 Main St"/>
    <x v="0"/>
    <s v="Shipped"/>
    <s v="TRK86403837"/>
    <n v="3"/>
    <x v="1"/>
    <x v="3"/>
    <n v="1362.12"/>
  </r>
  <r>
    <s v="ORD200720"/>
    <d v="2023-09-21T00:00:00"/>
    <s v="C12740"/>
    <s v="Desk"/>
    <n v="5"/>
    <n v="128.94999999999999"/>
    <s v="305 Main St"/>
    <x v="4"/>
    <s v="Pending"/>
    <s v="TRK98506513"/>
    <n v="10"/>
    <x v="1"/>
    <x v="0"/>
    <n v="644.75"/>
  </r>
  <r>
    <s v="ORD200721"/>
    <d v="2024-03-18T00:00:00"/>
    <s v="C46557"/>
    <s v="Desk"/>
    <n v="2"/>
    <n v="118.59"/>
    <s v="890 Main St"/>
    <x v="2"/>
    <s v="Delivered"/>
    <s v="TRK56110689"/>
    <n v="2"/>
    <x v="2"/>
    <x v="2"/>
    <n v="237.18"/>
  </r>
  <r>
    <s v="ORD200722"/>
    <d v="2024-11-15T00:00:00"/>
    <s v="C58156"/>
    <s v="Printer"/>
    <n v="1"/>
    <n v="95.1"/>
    <s v="516 Main St"/>
    <x v="3"/>
    <s v="Pending"/>
    <s v="TRK49719458"/>
    <n v="1"/>
    <x v="3"/>
    <x v="0"/>
    <n v="95.1"/>
  </r>
  <r>
    <s v="ORD200723"/>
    <d v="2023-12-09T00:00:00"/>
    <s v="C14455"/>
    <s v="Desk"/>
    <n v="3"/>
    <n v="54.95"/>
    <s v="385 Main St"/>
    <x v="4"/>
    <s v="Returned"/>
    <s v="TRK50933724"/>
    <n v="8"/>
    <x v="0"/>
    <x v="1"/>
    <n v="164.85"/>
  </r>
  <r>
    <s v="ORD200724"/>
    <d v="2024-10-18T00:00:00"/>
    <s v="C63150"/>
    <s v="Printer"/>
    <n v="3"/>
    <n v="136.97"/>
    <s v="326 Main St"/>
    <x v="2"/>
    <s v="Returned"/>
    <s v="TRK19348078"/>
    <n v="4"/>
    <x v="1"/>
    <x v="1"/>
    <n v="410.91"/>
  </r>
  <r>
    <s v="ORD200725"/>
    <d v="2023-03-12T00:00:00"/>
    <s v="C95269"/>
    <s v="Chair"/>
    <n v="2"/>
    <n v="194.85"/>
    <s v="372 Main St"/>
    <x v="3"/>
    <s v="Returned"/>
    <s v="TRK45670926"/>
    <n v="5"/>
    <x v="2"/>
    <x v="1"/>
    <n v="389.7"/>
  </r>
  <r>
    <s v="ORD200726"/>
    <d v="2024-10-25T00:00:00"/>
    <s v="C18105"/>
    <s v="Laptop"/>
    <n v="4"/>
    <n v="583.02"/>
    <s v="338 Main St"/>
    <x v="1"/>
    <s v="Delivered"/>
    <s v="TRK94006117"/>
    <n v="4"/>
    <x v="1"/>
    <x v="3"/>
    <n v="2332.08"/>
  </r>
  <r>
    <s v="ORD200727"/>
    <d v="2024-09-29T00:00:00"/>
    <s v="C29063"/>
    <s v="Chair"/>
    <n v="5"/>
    <n v="95.75"/>
    <s v="379 Main St"/>
    <x v="1"/>
    <s v="Shipped"/>
    <s v="TRK92745947"/>
    <n v="8"/>
    <x v="0"/>
    <x v="0"/>
    <n v="478.75"/>
  </r>
  <r>
    <s v="ORD200728"/>
    <d v="2024-07-29T00:00:00"/>
    <s v="C10154"/>
    <s v="Desk"/>
    <n v="4"/>
    <n v="325.76"/>
    <s v="827 Main St"/>
    <x v="3"/>
    <s v="Shipped"/>
    <s v="TRK79793300"/>
    <n v="8"/>
    <x v="3"/>
    <x v="2"/>
    <n v="1303.04"/>
  </r>
  <r>
    <s v="ORD200729"/>
    <d v="2023-09-08T00:00:00"/>
    <s v="C36997"/>
    <s v="Phone"/>
    <n v="4"/>
    <n v="186.41"/>
    <s v="819 Main St"/>
    <x v="3"/>
    <s v="Pending"/>
    <s v="TRK92794872"/>
    <n v="6"/>
    <x v="0"/>
    <x v="4"/>
    <n v="745.64"/>
  </r>
  <r>
    <s v="ORD200730"/>
    <d v="2025-02-22T00:00:00"/>
    <s v="C77357"/>
    <s v="Phone"/>
    <n v="1"/>
    <n v="474.6"/>
    <s v="407 Main St"/>
    <x v="0"/>
    <s v="Delivered"/>
    <s v="TRK91943923"/>
    <n v="4"/>
    <x v="0"/>
    <x v="2"/>
    <n v="474.6"/>
  </r>
  <r>
    <s v="ORD200731"/>
    <d v="2024-06-07T00:00:00"/>
    <s v="C71310"/>
    <s v="Printer"/>
    <n v="5"/>
    <n v="584.46"/>
    <s v="308 Main St"/>
    <x v="2"/>
    <s v="Returned"/>
    <s v="TRK48292586"/>
    <n v="8"/>
    <x v="2"/>
    <x v="2"/>
    <n v="2922.3"/>
  </r>
  <r>
    <s v="ORD200732"/>
    <d v="2025-03-07T00:00:00"/>
    <s v="C80987"/>
    <s v="Laptop"/>
    <n v="1"/>
    <n v="132.05000000000001"/>
    <s v="787 Main St"/>
    <x v="1"/>
    <s v="Delivered"/>
    <s v="TRK42187776"/>
    <n v="2"/>
    <x v="2"/>
    <x v="4"/>
    <n v="132.05000000000001"/>
  </r>
  <r>
    <s v="ORD200733"/>
    <d v="2023-12-04T00:00:00"/>
    <s v="C90757"/>
    <s v="Tablet"/>
    <n v="4"/>
    <n v="494.84"/>
    <s v="694 Main St"/>
    <x v="4"/>
    <s v="Returned"/>
    <s v="TRK87991608"/>
    <n v="8"/>
    <x v="0"/>
    <x v="2"/>
    <n v="1979.36"/>
  </r>
  <r>
    <s v="ORD200734"/>
    <d v="2024-01-23T00:00:00"/>
    <s v="C51898"/>
    <s v="Printer"/>
    <n v="4"/>
    <n v="224.61"/>
    <s v="630 Main St"/>
    <x v="2"/>
    <s v="Returned"/>
    <s v="TRK19767885"/>
    <n v="6"/>
    <x v="3"/>
    <x v="3"/>
    <n v="898.44"/>
  </r>
  <r>
    <s v="ORD200735"/>
    <d v="2024-06-28T00:00:00"/>
    <s v="C94508"/>
    <s v="Monitor"/>
    <n v="4"/>
    <n v="44.07"/>
    <s v="359 Main St"/>
    <x v="0"/>
    <s v="Pending"/>
    <s v="TRK13443264"/>
    <n v="6"/>
    <x v="2"/>
    <x v="2"/>
    <n v="176.28"/>
  </r>
  <r>
    <s v="ORD200736"/>
    <d v="2024-02-09T00:00:00"/>
    <s v="C59441"/>
    <s v="Monitor"/>
    <n v="5"/>
    <n v="418.53"/>
    <s v="696 Main St"/>
    <x v="2"/>
    <s v="Pending"/>
    <s v="TRK66186874"/>
    <n v="6"/>
    <x v="1"/>
    <x v="4"/>
    <n v="2092.65"/>
  </r>
  <r>
    <s v="ORD200737"/>
    <d v="2024-01-03T00:00:00"/>
    <s v="C91029"/>
    <s v="Phone"/>
    <n v="4"/>
    <n v="532.87"/>
    <s v="972 Main St"/>
    <x v="4"/>
    <s v="Pending"/>
    <s v="TRK25501930"/>
    <n v="9"/>
    <x v="1"/>
    <x v="0"/>
    <n v="2131.48"/>
  </r>
  <r>
    <s v="ORD200738"/>
    <d v="2025-06-04T00:00:00"/>
    <s v="C96261"/>
    <s v="Phone"/>
    <n v="2"/>
    <n v="485.37"/>
    <s v="264 Main St"/>
    <x v="2"/>
    <s v="Shipped"/>
    <s v="TRK44998396"/>
    <n v="5"/>
    <x v="0"/>
    <x v="2"/>
    <n v="970.74"/>
  </r>
  <r>
    <s v="ORD200739"/>
    <d v="2024-06-13T00:00:00"/>
    <s v="C35123"/>
    <s v="Phone"/>
    <n v="4"/>
    <n v="386.73"/>
    <s v="513 Main St"/>
    <x v="4"/>
    <s v="Delivered"/>
    <s v="TRK58979275"/>
    <n v="4"/>
    <x v="0"/>
    <x v="3"/>
    <n v="1546.92"/>
  </r>
  <r>
    <s v="ORD200740"/>
    <d v="2024-07-20T00:00:00"/>
    <s v="C10892"/>
    <s v="Desk"/>
    <n v="2"/>
    <n v="377.47"/>
    <s v="433 Main St"/>
    <x v="4"/>
    <s v="Pending"/>
    <s v="TRK76154554"/>
    <n v="7"/>
    <x v="2"/>
    <x v="4"/>
    <n v="754.94"/>
  </r>
  <r>
    <s v="ORD200741"/>
    <d v="2025-01-23T00:00:00"/>
    <s v="C99683"/>
    <s v="Monitor"/>
    <n v="5"/>
    <n v="332.64"/>
    <s v="945 Main St"/>
    <x v="3"/>
    <s v="Delivered"/>
    <s v="TRK87305883"/>
    <n v="10"/>
    <x v="2"/>
    <x v="1"/>
    <n v="1663.2"/>
  </r>
  <r>
    <s v="ORD200742"/>
    <d v="2024-11-30T00:00:00"/>
    <s v="C41974"/>
    <s v="Laptop"/>
    <n v="3"/>
    <n v="699.93"/>
    <s v="726 Main St"/>
    <x v="4"/>
    <s v="Returned"/>
    <s v="TRK48051468"/>
    <n v="7"/>
    <x v="0"/>
    <x v="4"/>
    <n v="2099.79"/>
  </r>
  <r>
    <s v="ORD200743"/>
    <d v="2024-09-30T00:00:00"/>
    <s v="C23978"/>
    <s v="Monitor"/>
    <n v="1"/>
    <n v="576.35"/>
    <s v="549 Main St"/>
    <x v="3"/>
    <s v="Returned"/>
    <s v="TRK87090813"/>
    <n v="1"/>
    <x v="3"/>
    <x v="0"/>
    <n v="576.35"/>
  </r>
  <r>
    <s v="ORD200744"/>
    <d v="2024-06-12T00:00:00"/>
    <s v="C10642"/>
    <s v="Tablet"/>
    <n v="2"/>
    <n v="461.37"/>
    <s v="200 Main St"/>
    <x v="4"/>
    <s v="Delivered"/>
    <s v="TRK98725693"/>
    <n v="5"/>
    <x v="0"/>
    <x v="4"/>
    <n v="922.74"/>
  </r>
  <r>
    <s v="ORD200745"/>
    <d v="2023-03-02T00:00:00"/>
    <s v="C73813"/>
    <s v="Printer"/>
    <n v="4"/>
    <n v="111.3"/>
    <s v="364 Main St"/>
    <x v="0"/>
    <s v="Pending"/>
    <s v="TRK89906749"/>
    <n v="7"/>
    <x v="1"/>
    <x v="2"/>
    <n v="445.2"/>
  </r>
  <r>
    <s v="ORD200746"/>
    <d v="2025-02-24T00:00:00"/>
    <s v="C32183"/>
    <s v="Desk"/>
    <n v="3"/>
    <n v="661.89"/>
    <s v="551 Main St"/>
    <x v="1"/>
    <s v="Cancelled"/>
    <s v="TRK76287027"/>
    <n v="6"/>
    <x v="3"/>
    <x v="1"/>
    <n v="1985.67"/>
  </r>
  <r>
    <s v="ORD200747"/>
    <d v="2025-03-12T00:00:00"/>
    <s v="C54277"/>
    <s v="Tablet"/>
    <n v="2"/>
    <n v="259.58"/>
    <s v="940 Main St"/>
    <x v="0"/>
    <s v="Delivered"/>
    <s v="TRK26500181"/>
    <n v="7"/>
    <x v="1"/>
    <x v="0"/>
    <n v="519.16"/>
  </r>
  <r>
    <s v="ORD200748"/>
    <d v="2024-07-15T00:00:00"/>
    <s v="C56553"/>
    <s v="Tablet"/>
    <n v="3"/>
    <n v="70.81"/>
    <s v="249 Main St"/>
    <x v="2"/>
    <s v="Shipped"/>
    <s v="TRK37667360"/>
    <n v="8"/>
    <x v="1"/>
    <x v="1"/>
    <n v="212.43"/>
  </r>
  <r>
    <s v="ORD200749"/>
    <d v="2025-04-13T00:00:00"/>
    <s v="C17551"/>
    <s v="Laptop"/>
    <n v="1"/>
    <n v="518.39"/>
    <s v="997 Main St"/>
    <x v="0"/>
    <s v="Pending"/>
    <s v="TRK88797170"/>
    <n v="4"/>
    <x v="1"/>
    <x v="0"/>
    <n v="518.39"/>
  </r>
  <r>
    <s v="ORD200750"/>
    <d v="2023-01-14T00:00:00"/>
    <s v="C14737"/>
    <s v="Tablet"/>
    <n v="4"/>
    <n v="145.41"/>
    <s v="637 Main St"/>
    <x v="2"/>
    <s v="Returned"/>
    <s v="TRK10295115"/>
    <n v="7"/>
    <x v="1"/>
    <x v="2"/>
    <n v="581.64"/>
  </r>
  <r>
    <s v="ORD200751"/>
    <d v="2023-01-24T00:00:00"/>
    <s v="C35168"/>
    <s v="Tablet"/>
    <n v="2"/>
    <n v="599.86"/>
    <s v="455 Main St"/>
    <x v="3"/>
    <s v="Pending"/>
    <s v="TRK76960854"/>
    <n v="7"/>
    <x v="1"/>
    <x v="3"/>
    <n v="1199.72"/>
  </r>
  <r>
    <s v="ORD200752"/>
    <d v="2024-10-03T00:00:00"/>
    <s v="C82217"/>
    <s v="Phone"/>
    <n v="4"/>
    <n v="429.37"/>
    <s v="299 Main St"/>
    <x v="2"/>
    <s v="Delivered"/>
    <s v="TRK33305694"/>
    <n v="8"/>
    <x v="1"/>
    <x v="4"/>
    <n v="1717.48"/>
  </r>
  <r>
    <s v="ORD200753"/>
    <d v="2024-04-24T00:00:00"/>
    <s v="C42270"/>
    <s v="Phone"/>
    <n v="2"/>
    <n v="241.49"/>
    <s v="864 Main St"/>
    <x v="0"/>
    <s v="Returned"/>
    <s v="TRK72697796"/>
    <n v="7"/>
    <x v="1"/>
    <x v="0"/>
    <n v="482.98"/>
  </r>
  <r>
    <s v="ORD200754"/>
    <d v="2025-05-31T00:00:00"/>
    <s v="C48846"/>
    <s v="Printer"/>
    <n v="2"/>
    <n v="452.05"/>
    <s v="983 Main St"/>
    <x v="2"/>
    <s v="Returned"/>
    <s v="TRK52804097"/>
    <n v="3"/>
    <x v="3"/>
    <x v="2"/>
    <n v="904.1"/>
  </r>
  <r>
    <s v="ORD200755"/>
    <d v="2023-06-13T00:00:00"/>
    <s v="C54160"/>
    <s v="Desk"/>
    <n v="3"/>
    <n v="336.71"/>
    <s v="658 Main St"/>
    <x v="2"/>
    <s v="Pending"/>
    <s v="TRK60515972"/>
    <n v="4"/>
    <x v="2"/>
    <x v="2"/>
    <n v="1010.13"/>
  </r>
  <r>
    <s v="ORD200756"/>
    <d v="2024-06-27T00:00:00"/>
    <s v="C14080"/>
    <s v="Phone"/>
    <n v="1"/>
    <n v="283.69"/>
    <s v="202 Main St"/>
    <x v="3"/>
    <s v="Shipped"/>
    <s v="TRK93163682"/>
    <n v="6"/>
    <x v="2"/>
    <x v="4"/>
    <n v="283.69"/>
  </r>
  <r>
    <s v="ORD200757"/>
    <d v="2024-02-22T00:00:00"/>
    <s v="C81074"/>
    <s v="Desk"/>
    <n v="1"/>
    <n v="157.72"/>
    <s v="597 Main St"/>
    <x v="0"/>
    <s v="Delivered"/>
    <s v="TRK91105190"/>
    <n v="2"/>
    <x v="1"/>
    <x v="4"/>
    <n v="157.72"/>
  </r>
  <r>
    <s v="ORD200758"/>
    <d v="2023-03-26T00:00:00"/>
    <s v="C69021"/>
    <s v="Tablet"/>
    <n v="3"/>
    <n v="624.84"/>
    <s v="917 Main St"/>
    <x v="2"/>
    <s v="Cancelled"/>
    <s v="TRK57148510"/>
    <n v="8"/>
    <x v="3"/>
    <x v="3"/>
    <n v="1874.52"/>
  </r>
  <r>
    <s v="ORD200759"/>
    <d v="2023-07-24T00:00:00"/>
    <s v="C96283"/>
    <s v="Desk"/>
    <n v="3"/>
    <n v="308.01"/>
    <s v="366 Main St"/>
    <x v="4"/>
    <s v="Pending"/>
    <s v="TRK91784124"/>
    <n v="3"/>
    <x v="1"/>
    <x v="3"/>
    <n v="924.03"/>
  </r>
  <r>
    <s v="ORD200760"/>
    <d v="2025-02-18T00:00:00"/>
    <s v="C96636"/>
    <s v="Desk"/>
    <n v="1"/>
    <n v="39.56"/>
    <s v="283 Main St"/>
    <x v="0"/>
    <s v="Cancelled"/>
    <s v="TRK73324346"/>
    <n v="5"/>
    <x v="2"/>
    <x v="4"/>
    <n v="39.56"/>
  </r>
  <r>
    <s v="ORD200761"/>
    <d v="2023-06-02T00:00:00"/>
    <s v="C37235"/>
    <s v="Desk"/>
    <n v="4"/>
    <n v="37.76"/>
    <s v="217 Main St"/>
    <x v="0"/>
    <s v="Delivered"/>
    <s v="TRK67789367"/>
    <n v="7"/>
    <x v="2"/>
    <x v="4"/>
    <n v="151.04"/>
  </r>
  <r>
    <s v="ORD200762"/>
    <d v="2024-09-17T00:00:00"/>
    <s v="C12444"/>
    <s v="Phone"/>
    <n v="3"/>
    <n v="76.959999999999994"/>
    <s v="611 Main St"/>
    <x v="4"/>
    <s v="Returned"/>
    <s v="TRK97621403"/>
    <n v="8"/>
    <x v="1"/>
    <x v="2"/>
    <n v="230.88"/>
  </r>
  <r>
    <s v="ORD200763"/>
    <d v="2023-04-06T00:00:00"/>
    <s v="C79142"/>
    <s v="Laptop"/>
    <n v="1"/>
    <n v="569.96"/>
    <s v="533 Main St"/>
    <x v="1"/>
    <s v="Delivered"/>
    <s v="TRK30915955"/>
    <n v="4"/>
    <x v="1"/>
    <x v="2"/>
    <n v="569.96"/>
  </r>
  <r>
    <s v="ORD200764"/>
    <d v="2024-03-10T00:00:00"/>
    <s v="C35983"/>
    <s v="Laptop"/>
    <n v="5"/>
    <n v="627.42999999999995"/>
    <s v="806 Main St"/>
    <x v="2"/>
    <s v="Cancelled"/>
    <s v="TRK14016163"/>
    <n v="10"/>
    <x v="1"/>
    <x v="2"/>
    <n v="3137.15"/>
  </r>
  <r>
    <s v="ORD200765"/>
    <d v="2023-10-06T00:00:00"/>
    <s v="C36150"/>
    <s v="Laptop"/>
    <n v="2"/>
    <n v="534.91"/>
    <s v="281 Main St"/>
    <x v="0"/>
    <s v="Returned"/>
    <s v="TRK96249043"/>
    <n v="5"/>
    <x v="0"/>
    <x v="4"/>
    <n v="1069.82"/>
  </r>
  <r>
    <s v="ORD200766"/>
    <d v="2023-01-22T00:00:00"/>
    <s v="C91454"/>
    <s v="Printer"/>
    <n v="2"/>
    <n v="278.88"/>
    <s v="494 Main St"/>
    <x v="0"/>
    <s v="Pending"/>
    <s v="TRK99985340"/>
    <n v="3"/>
    <x v="1"/>
    <x v="1"/>
    <n v="557.76"/>
  </r>
  <r>
    <s v="ORD200767"/>
    <d v="2025-04-18T00:00:00"/>
    <s v="C19368"/>
    <s v="Tablet"/>
    <n v="2"/>
    <n v="323.22000000000003"/>
    <s v="517 Main St"/>
    <x v="2"/>
    <s v="Delivered"/>
    <s v="TRK80436037"/>
    <n v="7"/>
    <x v="2"/>
    <x v="0"/>
    <n v="646.44000000000005"/>
  </r>
  <r>
    <s v="ORD200768"/>
    <d v="2023-09-04T00:00:00"/>
    <s v="C35987"/>
    <s v="Tablet"/>
    <n v="5"/>
    <n v="653.46"/>
    <s v="165 Main St"/>
    <x v="4"/>
    <s v="Cancelled"/>
    <s v="TRK28918815"/>
    <n v="9"/>
    <x v="3"/>
    <x v="2"/>
    <n v="3267.3"/>
  </r>
  <r>
    <s v="ORD200769"/>
    <d v="2023-07-06T00:00:00"/>
    <s v="C13366"/>
    <s v="Printer"/>
    <n v="4"/>
    <n v="678.55"/>
    <s v="568 Main St"/>
    <x v="4"/>
    <s v="Delivered"/>
    <s v="TRK98691410"/>
    <n v="5"/>
    <x v="2"/>
    <x v="2"/>
    <n v="2714.2"/>
  </r>
  <r>
    <s v="ORD200770"/>
    <d v="2024-02-11T00:00:00"/>
    <s v="C72166"/>
    <s v="Desk"/>
    <n v="1"/>
    <n v="314.38"/>
    <s v="227 Main St"/>
    <x v="1"/>
    <s v="Returned"/>
    <s v="TRK67733444"/>
    <n v="6"/>
    <x v="2"/>
    <x v="4"/>
    <n v="314.38"/>
  </r>
  <r>
    <s v="ORD200771"/>
    <d v="2024-06-12T00:00:00"/>
    <s v="C20357"/>
    <s v="Phone"/>
    <n v="3"/>
    <n v="692.44"/>
    <s v="272 Main St"/>
    <x v="0"/>
    <s v="Cancelled"/>
    <s v="TRK82236408"/>
    <n v="8"/>
    <x v="1"/>
    <x v="4"/>
    <n v="2077.3200000000002"/>
  </r>
  <r>
    <s v="ORD200772"/>
    <d v="2024-07-28T00:00:00"/>
    <s v="C33802"/>
    <s v="Monitor"/>
    <n v="1"/>
    <n v="604.87"/>
    <s v="461 Main St"/>
    <x v="1"/>
    <s v="Delivered"/>
    <s v="TRK25799478"/>
    <n v="4"/>
    <x v="2"/>
    <x v="0"/>
    <n v="604.87"/>
  </r>
  <r>
    <s v="ORD200773"/>
    <d v="2025-06-28T00:00:00"/>
    <s v="C99205"/>
    <s v="Phone"/>
    <n v="2"/>
    <n v="512.33000000000004"/>
    <s v="415 Main St"/>
    <x v="4"/>
    <s v="Cancelled"/>
    <s v="TRK48904015"/>
    <n v="7"/>
    <x v="2"/>
    <x v="3"/>
    <n v="1024.6600000000001"/>
  </r>
  <r>
    <s v="ORD200774"/>
    <d v="2025-04-15T00:00:00"/>
    <s v="C29701"/>
    <s v="Chair"/>
    <n v="3"/>
    <n v="20.54"/>
    <s v="257 Main St"/>
    <x v="2"/>
    <s v="Cancelled"/>
    <s v="TRK42266846"/>
    <n v="3"/>
    <x v="1"/>
    <x v="0"/>
    <n v="61.62"/>
  </r>
  <r>
    <s v="ORD200775"/>
    <d v="2023-03-04T00:00:00"/>
    <s v="C73941"/>
    <s v="Phone"/>
    <n v="2"/>
    <n v="625.22"/>
    <s v="569 Main St"/>
    <x v="1"/>
    <s v="Cancelled"/>
    <s v="TRK22051900"/>
    <n v="5"/>
    <x v="2"/>
    <x v="4"/>
    <n v="1250.44"/>
  </r>
  <r>
    <s v="ORD200776"/>
    <d v="2023-08-21T00:00:00"/>
    <s v="C69168"/>
    <s v="Tablet"/>
    <n v="1"/>
    <n v="21.19"/>
    <s v="482 Main St"/>
    <x v="4"/>
    <s v="Returned"/>
    <s v="TRK10446197"/>
    <n v="5"/>
    <x v="3"/>
    <x v="4"/>
    <n v="21.19"/>
  </r>
  <r>
    <s v="ORD200777"/>
    <d v="2025-03-21T00:00:00"/>
    <s v="C66116"/>
    <s v="Chair"/>
    <n v="5"/>
    <n v="64.489999999999995"/>
    <s v="633 Main St"/>
    <x v="1"/>
    <s v="Cancelled"/>
    <s v="TRK41967983"/>
    <n v="7"/>
    <x v="2"/>
    <x v="3"/>
    <n v="322.45"/>
  </r>
  <r>
    <s v="ORD200778"/>
    <d v="2023-04-28T00:00:00"/>
    <s v="C85059"/>
    <s v="Laptop"/>
    <n v="4"/>
    <n v="246.85"/>
    <s v="316 Main St"/>
    <x v="2"/>
    <s v="Shipped"/>
    <s v="TRK56503740"/>
    <n v="8"/>
    <x v="3"/>
    <x v="4"/>
    <n v="987.4"/>
  </r>
  <r>
    <s v="ORD200779"/>
    <d v="2023-12-01T00:00:00"/>
    <s v="C18076"/>
    <s v="Phone"/>
    <n v="3"/>
    <n v="588.74"/>
    <s v="751 Main St"/>
    <x v="0"/>
    <s v="Pending"/>
    <s v="TRK26661705"/>
    <n v="8"/>
    <x v="1"/>
    <x v="2"/>
    <n v="1766.22"/>
  </r>
  <r>
    <s v="ORD200780"/>
    <d v="2024-03-31T00:00:00"/>
    <s v="C41284"/>
    <s v="Laptop"/>
    <n v="4"/>
    <n v="184.48"/>
    <s v="661 Main St"/>
    <x v="1"/>
    <s v="Cancelled"/>
    <s v="TRK73613128"/>
    <n v="4"/>
    <x v="3"/>
    <x v="4"/>
    <n v="737.92"/>
  </r>
  <r>
    <s v="ORD200781"/>
    <d v="2024-01-10T00:00:00"/>
    <s v="C43524"/>
    <s v="Phone"/>
    <n v="5"/>
    <n v="524.26"/>
    <s v="934 Main St"/>
    <x v="3"/>
    <s v="Delivered"/>
    <s v="TRK51479426"/>
    <n v="5"/>
    <x v="1"/>
    <x v="1"/>
    <n v="2621.3000000000002"/>
  </r>
  <r>
    <s v="ORD200782"/>
    <d v="2024-08-11T00:00:00"/>
    <s v="C58063"/>
    <s v="Monitor"/>
    <n v="2"/>
    <n v="493.63"/>
    <s v="167 Main St"/>
    <x v="1"/>
    <s v="Returned"/>
    <s v="TRK50548869"/>
    <n v="6"/>
    <x v="0"/>
    <x v="1"/>
    <n v="987.26"/>
  </r>
  <r>
    <s v="ORD200783"/>
    <d v="2025-05-26T00:00:00"/>
    <s v="C19937"/>
    <s v="Printer"/>
    <n v="1"/>
    <n v="438.34"/>
    <s v="281 Main St"/>
    <x v="3"/>
    <s v="Returned"/>
    <s v="TRK46990083"/>
    <n v="5"/>
    <x v="1"/>
    <x v="3"/>
    <n v="438.34"/>
  </r>
  <r>
    <s v="ORD200784"/>
    <d v="2025-05-16T00:00:00"/>
    <s v="C21191"/>
    <s v="Laptop"/>
    <n v="1"/>
    <n v="325.81"/>
    <s v="232 Main St"/>
    <x v="2"/>
    <s v="Pending"/>
    <s v="TRK85771230"/>
    <n v="1"/>
    <x v="3"/>
    <x v="1"/>
    <n v="325.81"/>
  </r>
  <r>
    <s v="ORD200785"/>
    <d v="2023-07-29T00:00:00"/>
    <s v="C45862"/>
    <s v="Chair"/>
    <n v="1"/>
    <n v="176.1"/>
    <s v="342 Main St"/>
    <x v="2"/>
    <s v="Pending"/>
    <s v="TRK53089983"/>
    <n v="1"/>
    <x v="0"/>
    <x v="0"/>
    <n v="176.1"/>
  </r>
  <r>
    <s v="ORD200786"/>
    <d v="2023-08-23T00:00:00"/>
    <s v="C39130"/>
    <s v="Chair"/>
    <n v="5"/>
    <n v="45.31"/>
    <s v="774 Main St"/>
    <x v="1"/>
    <s v="Cancelled"/>
    <s v="TRK99583414"/>
    <n v="8"/>
    <x v="2"/>
    <x v="1"/>
    <n v="226.55"/>
  </r>
  <r>
    <s v="ORD200787"/>
    <d v="2024-03-17T00:00:00"/>
    <s v="C18167"/>
    <s v="Desk"/>
    <n v="4"/>
    <n v="221.96"/>
    <s v="193 Main St"/>
    <x v="4"/>
    <s v="Delivered"/>
    <s v="TRK36841089"/>
    <n v="7"/>
    <x v="2"/>
    <x v="4"/>
    <n v="887.84"/>
  </r>
  <r>
    <s v="ORD200788"/>
    <d v="2023-11-02T00:00:00"/>
    <s v="C47307"/>
    <s v="Chair"/>
    <n v="2"/>
    <n v="601.42999999999995"/>
    <s v="761 Main St"/>
    <x v="1"/>
    <s v="Pending"/>
    <s v="TRK43516112"/>
    <n v="5"/>
    <x v="1"/>
    <x v="0"/>
    <n v="1202.8599999999999"/>
  </r>
  <r>
    <s v="ORD200789"/>
    <d v="2023-08-17T00:00:00"/>
    <s v="C57276"/>
    <s v="Tablet"/>
    <n v="5"/>
    <n v="691.28"/>
    <s v="183 Main St"/>
    <x v="1"/>
    <s v="Delivered"/>
    <s v="TRK75899752"/>
    <n v="10"/>
    <x v="0"/>
    <x v="2"/>
    <n v="3456.4"/>
  </r>
  <r>
    <s v="ORD200790"/>
    <d v="2024-09-14T00:00:00"/>
    <s v="C38928"/>
    <s v="Laptop"/>
    <n v="4"/>
    <n v="417.89"/>
    <s v="302 Main St"/>
    <x v="3"/>
    <s v="Pending"/>
    <s v="TRK96636009"/>
    <n v="4"/>
    <x v="2"/>
    <x v="4"/>
    <n v="1671.56"/>
  </r>
  <r>
    <s v="ORD200791"/>
    <d v="2024-01-13T00:00:00"/>
    <s v="C49710"/>
    <s v="Chair"/>
    <n v="4"/>
    <n v="409.28"/>
    <s v="956 Main St"/>
    <x v="4"/>
    <s v="Pending"/>
    <s v="TRK92591237"/>
    <n v="8"/>
    <x v="2"/>
    <x v="2"/>
    <n v="1637.12"/>
  </r>
  <r>
    <s v="ORD200792"/>
    <d v="2023-06-16T00:00:00"/>
    <s v="C41709"/>
    <s v="Desk"/>
    <n v="2"/>
    <n v="356.35"/>
    <s v="746 Main St"/>
    <x v="0"/>
    <s v="Returned"/>
    <s v="TRK90995294"/>
    <n v="6"/>
    <x v="3"/>
    <x v="3"/>
    <n v="712.7"/>
  </r>
  <r>
    <s v="ORD200793"/>
    <d v="2024-04-15T00:00:00"/>
    <s v="C91255"/>
    <s v="Chair"/>
    <n v="5"/>
    <n v="170.22"/>
    <s v="769 Main St"/>
    <x v="0"/>
    <s v="Delivered"/>
    <s v="TRK69599961"/>
    <n v="8"/>
    <x v="2"/>
    <x v="1"/>
    <n v="851.1"/>
  </r>
  <r>
    <s v="ORD200794"/>
    <d v="2023-03-09T00:00:00"/>
    <s v="C76653"/>
    <s v="Printer"/>
    <n v="4"/>
    <n v="384.85"/>
    <s v="988 Main St"/>
    <x v="1"/>
    <s v="Delivered"/>
    <s v="TRK77052196"/>
    <n v="9"/>
    <x v="1"/>
    <x v="0"/>
    <n v="1539.4"/>
  </r>
  <r>
    <s v="ORD200795"/>
    <d v="2024-11-20T00:00:00"/>
    <s v="C95667"/>
    <s v="Laptop"/>
    <n v="4"/>
    <n v="115.77"/>
    <s v="586 Main St"/>
    <x v="1"/>
    <s v="Pending"/>
    <s v="TRK41266666"/>
    <n v="7"/>
    <x v="0"/>
    <x v="0"/>
    <n v="463.08"/>
  </r>
  <r>
    <s v="ORD200796"/>
    <d v="2025-04-29T00:00:00"/>
    <s v="C33313"/>
    <s v="Phone"/>
    <n v="3"/>
    <n v="579.54999999999995"/>
    <s v="882 Main St"/>
    <x v="3"/>
    <s v="Returned"/>
    <s v="TRK13349970"/>
    <n v="8"/>
    <x v="3"/>
    <x v="3"/>
    <n v="1738.65"/>
  </r>
  <r>
    <s v="ORD200797"/>
    <d v="2023-02-27T00:00:00"/>
    <s v="C36825"/>
    <s v="Laptop"/>
    <n v="2"/>
    <n v="438.76"/>
    <s v="426 Main St"/>
    <x v="0"/>
    <s v="Returned"/>
    <s v="TRK72557318"/>
    <n v="2"/>
    <x v="2"/>
    <x v="3"/>
    <n v="877.52"/>
  </r>
  <r>
    <s v="ORD200798"/>
    <d v="2025-05-19T00:00:00"/>
    <s v="C20861"/>
    <s v="Phone"/>
    <n v="5"/>
    <n v="488.35"/>
    <s v="968 Main St"/>
    <x v="0"/>
    <s v="Returned"/>
    <s v="TRK89372013"/>
    <n v="9"/>
    <x v="1"/>
    <x v="2"/>
    <n v="2441.75"/>
  </r>
  <r>
    <s v="ORD200799"/>
    <d v="2023-04-16T00:00:00"/>
    <s v="C26364"/>
    <s v="Laptop"/>
    <n v="4"/>
    <n v="328.56"/>
    <s v="803 Main St"/>
    <x v="0"/>
    <s v="Returned"/>
    <s v="TRK78924436"/>
    <n v="4"/>
    <x v="1"/>
    <x v="2"/>
    <n v="1314.24"/>
  </r>
  <r>
    <s v="ORD200800"/>
    <d v="2025-03-28T00:00:00"/>
    <s v="C34686"/>
    <s v="Tablet"/>
    <n v="1"/>
    <n v="68.39"/>
    <s v="412 Main St"/>
    <x v="1"/>
    <s v="Returned"/>
    <s v="TRK99468332"/>
    <n v="3"/>
    <x v="3"/>
    <x v="3"/>
    <n v="68.39"/>
  </r>
  <r>
    <s v="ORD200801"/>
    <d v="2023-05-03T00:00:00"/>
    <s v="C97593"/>
    <s v="Printer"/>
    <n v="4"/>
    <n v="595.62"/>
    <s v="738 Main St"/>
    <x v="0"/>
    <s v="Pending"/>
    <s v="TRK58443593"/>
    <n v="8"/>
    <x v="1"/>
    <x v="3"/>
    <n v="2382.48"/>
  </r>
  <r>
    <s v="ORD200802"/>
    <d v="2024-02-17T00:00:00"/>
    <s v="C84331"/>
    <s v="Chair"/>
    <n v="5"/>
    <n v="644.64"/>
    <s v="205 Main St"/>
    <x v="3"/>
    <s v="Cancelled"/>
    <s v="TRK34440714"/>
    <n v="6"/>
    <x v="1"/>
    <x v="2"/>
    <n v="3223.2"/>
  </r>
  <r>
    <s v="ORD200803"/>
    <d v="2023-08-20T00:00:00"/>
    <s v="C88775"/>
    <s v="Monitor"/>
    <n v="5"/>
    <n v="397.81"/>
    <s v="223 Main St"/>
    <x v="0"/>
    <s v="Returned"/>
    <s v="TRK45098068"/>
    <n v="5"/>
    <x v="0"/>
    <x v="1"/>
    <n v="1989.05"/>
  </r>
  <r>
    <s v="ORD200804"/>
    <d v="2024-01-01T00:00:00"/>
    <s v="C76362"/>
    <s v="Chair"/>
    <n v="3"/>
    <n v="236.5"/>
    <s v="916 Main St"/>
    <x v="1"/>
    <s v="Delivered"/>
    <s v="TRK11868618"/>
    <n v="8"/>
    <x v="1"/>
    <x v="2"/>
    <n v="709.5"/>
  </r>
  <r>
    <s v="ORD200805"/>
    <d v="2024-10-15T00:00:00"/>
    <s v="C59278"/>
    <s v="Laptop"/>
    <n v="5"/>
    <n v="472.01"/>
    <s v="178 Main St"/>
    <x v="3"/>
    <s v="Cancelled"/>
    <s v="TRK14590037"/>
    <n v="10"/>
    <x v="0"/>
    <x v="2"/>
    <n v="2360.0500000000002"/>
  </r>
  <r>
    <s v="ORD200806"/>
    <d v="2023-09-01T00:00:00"/>
    <s v="C55819"/>
    <s v="Chair"/>
    <n v="5"/>
    <n v="253.75"/>
    <s v="740 Main St"/>
    <x v="1"/>
    <s v="Pending"/>
    <s v="TRK13775054"/>
    <n v="9"/>
    <x v="3"/>
    <x v="0"/>
    <n v="1268.75"/>
  </r>
  <r>
    <s v="ORD200807"/>
    <d v="2024-11-10T00:00:00"/>
    <s v="C82344"/>
    <s v="Monitor"/>
    <n v="3"/>
    <n v="676.21"/>
    <s v="260 Main St"/>
    <x v="1"/>
    <s v="Delivered"/>
    <s v="TRK70957219"/>
    <n v="5"/>
    <x v="0"/>
    <x v="4"/>
    <n v="2028.63"/>
  </r>
  <r>
    <s v="ORD200808"/>
    <d v="2024-02-13T00:00:00"/>
    <s v="C65565"/>
    <s v="Desk"/>
    <n v="3"/>
    <n v="134.05000000000001"/>
    <s v="192 Main St"/>
    <x v="2"/>
    <s v="Shipped"/>
    <s v="TRK80383756"/>
    <n v="3"/>
    <x v="2"/>
    <x v="4"/>
    <n v="402.15"/>
  </r>
  <r>
    <s v="ORD200809"/>
    <d v="2024-04-09T00:00:00"/>
    <s v="C80416"/>
    <s v="Desk"/>
    <n v="5"/>
    <n v="217.43"/>
    <s v="752 Main St"/>
    <x v="0"/>
    <s v="Shipped"/>
    <s v="TRK54385892"/>
    <n v="10"/>
    <x v="0"/>
    <x v="0"/>
    <n v="1087.1500000000001"/>
  </r>
  <r>
    <s v="ORD200810"/>
    <d v="2023-05-31T00:00:00"/>
    <s v="C23637"/>
    <s v="Tablet"/>
    <n v="1"/>
    <n v="553.55999999999995"/>
    <s v="644 Main St"/>
    <x v="2"/>
    <s v="Cancelled"/>
    <s v="TRK16749863"/>
    <n v="5"/>
    <x v="2"/>
    <x v="1"/>
    <n v="553.55999999999995"/>
  </r>
  <r>
    <s v="ORD200811"/>
    <d v="2023-11-05T00:00:00"/>
    <s v="C24769"/>
    <s v="Laptop"/>
    <n v="2"/>
    <n v="28.55"/>
    <s v="864 Main St"/>
    <x v="3"/>
    <s v="Shipped"/>
    <s v="TRK44538305"/>
    <n v="7"/>
    <x v="0"/>
    <x v="2"/>
    <n v="57.1"/>
  </r>
  <r>
    <s v="ORD200812"/>
    <d v="2024-01-26T00:00:00"/>
    <s v="C81547"/>
    <s v="Phone"/>
    <n v="2"/>
    <n v="255.26"/>
    <s v="803 Main St"/>
    <x v="2"/>
    <s v="Cancelled"/>
    <s v="TRK88437123"/>
    <n v="6"/>
    <x v="1"/>
    <x v="4"/>
    <n v="510.52"/>
  </r>
  <r>
    <s v="ORD200813"/>
    <d v="2025-03-15T00:00:00"/>
    <s v="C12813"/>
    <s v="Laptop"/>
    <n v="5"/>
    <n v="292.54000000000002"/>
    <s v="263 Main St"/>
    <x v="0"/>
    <s v="Cancelled"/>
    <s v="TRK36131660"/>
    <n v="8"/>
    <x v="1"/>
    <x v="2"/>
    <n v="1462.7"/>
  </r>
  <r>
    <s v="ORD200814"/>
    <d v="2024-12-11T00:00:00"/>
    <s v="C50732"/>
    <s v="Chair"/>
    <n v="4"/>
    <n v="147.51"/>
    <s v="979 Main St"/>
    <x v="0"/>
    <s v="Pending"/>
    <s v="TRK21082461"/>
    <n v="4"/>
    <x v="3"/>
    <x v="0"/>
    <n v="590.04"/>
  </r>
  <r>
    <s v="ORD200815"/>
    <d v="2024-08-04T00:00:00"/>
    <s v="C41320"/>
    <s v="Printer"/>
    <n v="3"/>
    <n v="569.84"/>
    <s v="920 Main St"/>
    <x v="3"/>
    <s v="Cancelled"/>
    <s v="TRK77539180"/>
    <n v="8"/>
    <x v="3"/>
    <x v="0"/>
    <n v="1709.52"/>
  </r>
  <r>
    <s v="ORD200816"/>
    <d v="2024-02-21T00:00:00"/>
    <s v="C55286"/>
    <s v="Tablet"/>
    <n v="5"/>
    <n v="574.79"/>
    <s v="497 Main St"/>
    <x v="2"/>
    <s v="Pending"/>
    <s v="TRK39058734"/>
    <n v="8"/>
    <x v="3"/>
    <x v="1"/>
    <n v="2873.95"/>
  </r>
  <r>
    <s v="ORD200817"/>
    <d v="2023-10-05T00:00:00"/>
    <s v="C87994"/>
    <s v="Chair"/>
    <n v="4"/>
    <n v="598.19000000000005"/>
    <s v="430 Main St"/>
    <x v="2"/>
    <s v="Delivered"/>
    <s v="TRK98883971"/>
    <n v="7"/>
    <x v="3"/>
    <x v="2"/>
    <n v="2392.7600000000002"/>
  </r>
  <r>
    <s v="ORD200818"/>
    <d v="2023-03-02T00:00:00"/>
    <s v="C25580"/>
    <s v="Phone"/>
    <n v="4"/>
    <n v="390.84"/>
    <s v="860 Main St"/>
    <x v="2"/>
    <s v="Cancelled"/>
    <s v="TRK58781638"/>
    <n v="9"/>
    <x v="3"/>
    <x v="1"/>
    <n v="1563.36"/>
  </r>
  <r>
    <s v="ORD200819"/>
    <d v="2024-09-28T00:00:00"/>
    <s v="C66196"/>
    <s v="Phone"/>
    <n v="2"/>
    <n v="398.45"/>
    <s v="650 Main St"/>
    <x v="0"/>
    <s v="Cancelled"/>
    <s v="TRK38104650"/>
    <n v="7"/>
    <x v="0"/>
    <x v="4"/>
    <n v="796.9"/>
  </r>
  <r>
    <s v="ORD200820"/>
    <d v="2023-05-27T00:00:00"/>
    <s v="C35377"/>
    <s v="Phone"/>
    <n v="5"/>
    <n v="623.80999999999995"/>
    <s v="171 Main St"/>
    <x v="4"/>
    <s v="Returned"/>
    <s v="TRK17342157"/>
    <n v="6"/>
    <x v="1"/>
    <x v="2"/>
    <n v="3119.05"/>
  </r>
  <r>
    <s v="ORD200821"/>
    <d v="2024-12-14T00:00:00"/>
    <s v="C40771"/>
    <s v="Laptop"/>
    <n v="4"/>
    <n v="174.49"/>
    <s v="259 Main St"/>
    <x v="2"/>
    <s v="Delivered"/>
    <s v="TRK56310345"/>
    <n v="5"/>
    <x v="0"/>
    <x v="3"/>
    <n v="697.96"/>
  </r>
  <r>
    <s v="ORD200822"/>
    <d v="2025-03-15T00:00:00"/>
    <s v="C20624"/>
    <s v="Phone"/>
    <n v="1"/>
    <n v="479.56"/>
    <s v="923 Main St"/>
    <x v="3"/>
    <s v="Returned"/>
    <s v="TRK45123395"/>
    <n v="1"/>
    <x v="0"/>
    <x v="4"/>
    <n v="479.56"/>
  </r>
  <r>
    <s v="ORD200823"/>
    <d v="2024-10-07T00:00:00"/>
    <s v="C27070"/>
    <s v="Laptop"/>
    <n v="4"/>
    <n v="653.13"/>
    <s v="973 Main St"/>
    <x v="2"/>
    <s v="Shipped"/>
    <s v="TRK83842481"/>
    <n v="8"/>
    <x v="3"/>
    <x v="0"/>
    <n v="2612.52"/>
  </r>
  <r>
    <s v="ORD200824"/>
    <d v="2023-08-29T00:00:00"/>
    <s v="C18826"/>
    <s v="Monitor"/>
    <n v="3"/>
    <n v="481.1"/>
    <s v="664 Main St"/>
    <x v="2"/>
    <s v="Returned"/>
    <s v="TRK12530495"/>
    <n v="3"/>
    <x v="1"/>
    <x v="3"/>
    <n v="1443.3"/>
  </r>
  <r>
    <s v="ORD200825"/>
    <d v="2025-03-26T00:00:00"/>
    <s v="C23899"/>
    <s v="Desk"/>
    <n v="5"/>
    <n v="271.69"/>
    <s v="543 Main St"/>
    <x v="1"/>
    <s v="Returned"/>
    <s v="TRK88914760"/>
    <n v="7"/>
    <x v="1"/>
    <x v="0"/>
    <n v="1358.45"/>
  </r>
  <r>
    <s v="ORD200826"/>
    <d v="2025-03-08T00:00:00"/>
    <s v="C43249"/>
    <s v="Printer"/>
    <n v="3"/>
    <n v="463.81"/>
    <s v="283 Main St"/>
    <x v="1"/>
    <s v="Returned"/>
    <s v="TRK32469820"/>
    <n v="8"/>
    <x v="3"/>
    <x v="2"/>
    <n v="1391.43"/>
  </r>
  <r>
    <s v="ORD200827"/>
    <d v="2023-05-25T00:00:00"/>
    <s v="C95856"/>
    <s v="Tablet"/>
    <n v="2"/>
    <n v="639.88"/>
    <s v="432 Main St"/>
    <x v="4"/>
    <s v="Delivered"/>
    <s v="TRK58829625"/>
    <n v="5"/>
    <x v="3"/>
    <x v="0"/>
    <n v="1279.76"/>
  </r>
  <r>
    <s v="ORD200828"/>
    <d v="2024-07-24T00:00:00"/>
    <s v="C86266"/>
    <s v="Chair"/>
    <n v="4"/>
    <n v="404.58"/>
    <s v="510 Main St"/>
    <x v="4"/>
    <s v="Shipped"/>
    <s v="TRK64576020"/>
    <n v="5"/>
    <x v="1"/>
    <x v="0"/>
    <n v="1618.32"/>
  </r>
  <r>
    <s v="ORD200829"/>
    <d v="2023-02-05T00:00:00"/>
    <s v="C39551"/>
    <s v="Monitor"/>
    <n v="1"/>
    <n v="76.930000000000007"/>
    <s v="685 Main St"/>
    <x v="0"/>
    <s v="Delivered"/>
    <s v="TRK68358007"/>
    <n v="6"/>
    <x v="3"/>
    <x v="0"/>
    <n v="76.930000000000007"/>
  </r>
  <r>
    <s v="ORD200830"/>
    <d v="2024-12-11T00:00:00"/>
    <s v="C90310"/>
    <s v="Tablet"/>
    <n v="4"/>
    <n v="190.64"/>
    <s v="853 Main St"/>
    <x v="4"/>
    <s v="Delivered"/>
    <s v="TRK70028457"/>
    <n v="5"/>
    <x v="0"/>
    <x v="2"/>
    <n v="762.56"/>
  </r>
  <r>
    <s v="ORD200831"/>
    <d v="2023-12-18T00:00:00"/>
    <s v="C20124"/>
    <s v="Printer"/>
    <n v="2"/>
    <n v="88.73"/>
    <s v="140 Main St"/>
    <x v="1"/>
    <s v="Pending"/>
    <s v="TRK61346824"/>
    <n v="5"/>
    <x v="2"/>
    <x v="4"/>
    <n v="177.46"/>
  </r>
  <r>
    <s v="ORD200832"/>
    <d v="2024-03-12T00:00:00"/>
    <s v="C63372"/>
    <s v="Chair"/>
    <n v="5"/>
    <n v="485.71"/>
    <s v="903 Main St"/>
    <x v="1"/>
    <s v="Pending"/>
    <s v="TRK14661811"/>
    <n v="10"/>
    <x v="0"/>
    <x v="1"/>
    <n v="2428.5500000000002"/>
  </r>
  <r>
    <s v="ORD200833"/>
    <d v="2025-03-14T00:00:00"/>
    <s v="C90595"/>
    <s v="Phone"/>
    <n v="5"/>
    <n v="78.290000000000006"/>
    <s v="508 Main St"/>
    <x v="2"/>
    <s v="Shipped"/>
    <s v="TRK96573803"/>
    <n v="5"/>
    <x v="3"/>
    <x v="1"/>
    <n v="391.45"/>
  </r>
  <r>
    <s v="ORD200834"/>
    <d v="2024-04-11T00:00:00"/>
    <s v="C98483"/>
    <s v="Printer"/>
    <n v="5"/>
    <n v="22.14"/>
    <s v="456 Main St"/>
    <x v="4"/>
    <s v="Returned"/>
    <s v="TRK22084320"/>
    <n v="10"/>
    <x v="2"/>
    <x v="0"/>
    <n v="110.7"/>
  </r>
  <r>
    <s v="ORD200835"/>
    <d v="2024-03-26T00:00:00"/>
    <s v="C16429"/>
    <s v="Desk"/>
    <n v="1"/>
    <n v="679.65"/>
    <s v="390 Main St"/>
    <x v="0"/>
    <s v="Shipped"/>
    <s v="TRK73888013"/>
    <n v="6"/>
    <x v="1"/>
    <x v="4"/>
    <n v="679.65"/>
  </r>
  <r>
    <s v="ORD200836"/>
    <d v="2023-02-02T00:00:00"/>
    <s v="C31810"/>
    <s v="Phone"/>
    <n v="1"/>
    <n v="178.44"/>
    <s v="328 Main St"/>
    <x v="2"/>
    <s v="Cancelled"/>
    <s v="TRK58725886"/>
    <n v="2"/>
    <x v="1"/>
    <x v="4"/>
    <n v="178.44"/>
  </r>
  <r>
    <s v="ORD200837"/>
    <d v="2025-06-14T00:00:00"/>
    <s v="C88029"/>
    <s v="Chair"/>
    <n v="5"/>
    <n v="655.55"/>
    <s v="282 Main St"/>
    <x v="1"/>
    <s v="Delivered"/>
    <s v="TRK59701278"/>
    <n v="5"/>
    <x v="2"/>
    <x v="2"/>
    <n v="3277.75"/>
  </r>
  <r>
    <s v="ORD200838"/>
    <d v="2024-04-11T00:00:00"/>
    <s v="C57798"/>
    <s v="Desk"/>
    <n v="4"/>
    <n v="577.08000000000004"/>
    <s v="384 Main St"/>
    <x v="1"/>
    <s v="Pending"/>
    <s v="TRK68797566"/>
    <n v="8"/>
    <x v="2"/>
    <x v="3"/>
    <n v="2308.3200000000002"/>
  </r>
  <r>
    <s v="ORD200839"/>
    <d v="2023-08-24T00:00:00"/>
    <s v="C82858"/>
    <s v="Chair"/>
    <n v="3"/>
    <n v="197.97"/>
    <s v="551 Main St"/>
    <x v="1"/>
    <s v="Cancelled"/>
    <s v="TRK90618490"/>
    <n v="5"/>
    <x v="2"/>
    <x v="4"/>
    <n v="593.91"/>
  </r>
  <r>
    <s v="ORD200840"/>
    <d v="2024-01-14T00:00:00"/>
    <s v="C60699"/>
    <s v="Chair"/>
    <n v="3"/>
    <n v="411.95"/>
    <s v="672 Main St"/>
    <x v="2"/>
    <s v="Delivered"/>
    <s v="TRK88660574"/>
    <n v="7"/>
    <x v="1"/>
    <x v="1"/>
    <n v="1235.8499999999999"/>
  </r>
  <r>
    <s v="ORD200841"/>
    <d v="2024-09-19T00:00:00"/>
    <s v="C94658"/>
    <s v="Printer"/>
    <n v="2"/>
    <n v="443.22"/>
    <s v="742 Main St"/>
    <x v="2"/>
    <s v="Delivered"/>
    <s v="TRK51732528"/>
    <n v="5"/>
    <x v="2"/>
    <x v="3"/>
    <n v="886.44"/>
  </r>
  <r>
    <s v="ORD200842"/>
    <d v="2025-05-07T00:00:00"/>
    <s v="C78305"/>
    <s v="Laptop"/>
    <n v="3"/>
    <n v="364.14"/>
    <s v="396 Main St"/>
    <x v="1"/>
    <s v="Pending"/>
    <s v="TRK88312618"/>
    <n v="7"/>
    <x v="3"/>
    <x v="1"/>
    <n v="1092.42"/>
  </r>
  <r>
    <s v="ORD200843"/>
    <d v="2025-05-13T00:00:00"/>
    <s v="C43538"/>
    <s v="Desk"/>
    <n v="3"/>
    <n v="430.06"/>
    <s v="534 Main St"/>
    <x v="3"/>
    <s v="Cancelled"/>
    <s v="TRK20961563"/>
    <n v="8"/>
    <x v="1"/>
    <x v="0"/>
    <n v="1290.18"/>
  </r>
  <r>
    <s v="ORD200844"/>
    <d v="2024-12-04T00:00:00"/>
    <s v="C47486"/>
    <s v="Chair"/>
    <n v="1"/>
    <n v="320.92"/>
    <s v="883 Main St"/>
    <x v="1"/>
    <s v="Returned"/>
    <s v="TRK75984759"/>
    <n v="5"/>
    <x v="1"/>
    <x v="3"/>
    <n v="320.92"/>
  </r>
  <r>
    <s v="ORD200845"/>
    <d v="2023-10-08T00:00:00"/>
    <s v="C24212"/>
    <s v="Phone"/>
    <n v="3"/>
    <n v="107.36"/>
    <s v="808 Main St"/>
    <x v="3"/>
    <s v="Delivered"/>
    <s v="TRK68894675"/>
    <n v="5"/>
    <x v="1"/>
    <x v="4"/>
    <n v="322.08"/>
  </r>
  <r>
    <s v="ORD200846"/>
    <d v="2024-07-04T00:00:00"/>
    <s v="C24765"/>
    <s v="Desk"/>
    <n v="2"/>
    <n v="359.86"/>
    <s v="646 Main St"/>
    <x v="0"/>
    <s v="Cancelled"/>
    <s v="TRK43977698"/>
    <n v="4"/>
    <x v="2"/>
    <x v="1"/>
    <n v="719.72"/>
  </r>
  <r>
    <s v="ORD200847"/>
    <d v="2024-11-18T00:00:00"/>
    <s v="C48176"/>
    <s v="Printer"/>
    <n v="4"/>
    <n v="434.23"/>
    <s v="670 Main St"/>
    <x v="1"/>
    <s v="Shipped"/>
    <s v="TRK90560300"/>
    <n v="8"/>
    <x v="1"/>
    <x v="2"/>
    <n v="1736.92"/>
  </r>
  <r>
    <s v="ORD200848"/>
    <d v="2023-01-01T00:00:00"/>
    <s v="C54675"/>
    <s v="Chair"/>
    <n v="2"/>
    <n v="645.85"/>
    <s v="634 Main St"/>
    <x v="1"/>
    <s v="Shipped"/>
    <s v="TRK18049633"/>
    <n v="5"/>
    <x v="2"/>
    <x v="1"/>
    <n v="1291.7"/>
  </r>
  <r>
    <s v="ORD200849"/>
    <d v="2025-06-09T00:00:00"/>
    <s v="C16675"/>
    <s v="Printer"/>
    <n v="4"/>
    <n v="214.35"/>
    <s v="664 Main St"/>
    <x v="0"/>
    <s v="Cancelled"/>
    <s v="TRK12756945"/>
    <n v="7"/>
    <x v="3"/>
    <x v="1"/>
    <n v="857.4"/>
  </r>
  <r>
    <s v="ORD200850"/>
    <d v="2025-04-27T00:00:00"/>
    <s v="C38557"/>
    <s v="Monitor"/>
    <n v="3"/>
    <n v="638.5"/>
    <s v="890 Main St"/>
    <x v="0"/>
    <s v="Cancelled"/>
    <s v="TRK14832238"/>
    <n v="4"/>
    <x v="1"/>
    <x v="0"/>
    <n v="1915.5"/>
  </r>
  <r>
    <s v="ORD200851"/>
    <d v="2023-12-12T00:00:00"/>
    <s v="C80183"/>
    <s v="Laptop"/>
    <n v="1"/>
    <n v="365.57"/>
    <s v="146 Main St"/>
    <x v="1"/>
    <s v="Cancelled"/>
    <s v="TRK20814598"/>
    <n v="5"/>
    <x v="0"/>
    <x v="2"/>
    <n v="365.57"/>
  </r>
  <r>
    <s v="ORD200852"/>
    <d v="2024-10-24T00:00:00"/>
    <s v="C39530"/>
    <s v="Desk"/>
    <n v="3"/>
    <n v="568.04999999999995"/>
    <s v="618 Main St"/>
    <x v="3"/>
    <s v="Pending"/>
    <s v="TRK69000497"/>
    <n v="6"/>
    <x v="0"/>
    <x v="4"/>
    <n v="1704.15"/>
  </r>
  <r>
    <s v="ORD200853"/>
    <d v="2023-10-16T00:00:00"/>
    <s v="C10002"/>
    <s v="Printer"/>
    <n v="3"/>
    <n v="490.01"/>
    <s v="894 Main St"/>
    <x v="4"/>
    <s v="Returned"/>
    <s v="TRK94641152"/>
    <n v="4"/>
    <x v="0"/>
    <x v="3"/>
    <n v="1470.03"/>
  </r>
  <r>
    <s v="ORD200854"/>
    <d v="2025-06-13T00:00:00"/>
    <s v="C56938"/>
    <s v="Laptop"/>
    <n v="3"/>
    <n v="372.6"/>
    <s v="356 Main St"/>
    <x v="2"/>
    <s v="Delivered"/>
    <s v="TRK67735987"/>
    <n v="7"/>
    <x v="3"/>
    <x v="1"/>
    <n v="1117.8"/>
  </r>
  <r>
    <s v="ORD200855"/>
    <d v="2023-05-25T00:00:00"/>
    <s v="C41331"/>
    <s v="Monitor"/>
    <n v="5"/>
    <n v="240.61"/>
    <s v="785 Main St"/>
    <x v="2"/>
    <s v="Shipped"/>
    <s v="TRK94198179"/>
    <n v="10"/>
    <x v="1"/>
    <x v="2"/>
    <n v="1203.05"/>
  </r>
  <r>
    <s v="ORD200856"/>
    <d v="2024-06-03T00:00:00"/>
    <s v="C94698"/>
    <s v="Phone"/>
    <n v="1"/>
    <n v="586.62"/>
    <s v="871 Main St"/>
    <x v="0"/>
    <s v="Shipped"/>
    <s v="TRK95768773"/>
    <n v="5"/>
    <x v="2"/>
    <x v="3"/>
    <n v="586.62"/>
  </r>
  <r>
    <s v="ORD200857"/>
    <d v="2024-03-10T00:00:00"/>
    <s v="C56506"/>
    <s v="Phone"/>
    <n v="3"/>
    <n v="257.83999999999997"/>
    <s v="185 Main St"/>
    <x v="1"/>
    <s v="Delivered"/>
    <s v="TRK86808324"/>
    <n v="4"/>
    <x v="2"/>
    <x v="0"/>
    <n v="773.52"/>
  </r>
  <r>
    <s v="ORD200858"/>
    <d v="2023-08-20T00:00:00"/>
    <s v="C22167"/>
    <s v="Tablet"/>
    <n v="5"/>
    <n v="435.66"/>
    <s v="891 Main St"/>
    <x v="1"/>
    <s v="Pending"/>
    <s v="TRK70269748"/>
    <n v="9"/>
    <x v="2"/>
    <x v="3"/>
    <n v="2178.3000000000002"/>
  </r>
  <r>
    <s v="ORD200859"/>
    <d v="2024-08-28T00:00:00"/>
    <s v="C11127"/>
    <s v="Chair"/>
    <n v="5"/>
    <n v="261.33"/>
    <s v="154 Main St"/>
    <x v="2"/>
    <s v="Returned"/>
    <s v="TRK73285507"/>
    <n v="5"/>
    <x v="0"/>
    <x v="1"/>
    <n v="1306.6500000000001"/>
  </r>
  <r>
    <s v="ORD200860"/>
    <d v="2024-01-23T00:00:00"/>
    <s v="C69542"/>
    <s v="Printer"/>
    <n v="1"/>
    <n v="422.54"/>
    <s v="876 Main St"/>
    <x v="4"/>
    <s v="Delivered"/>
    <s v="TRK20746505"/>
    <n v="1"/>
    <x v="0"/>
    <x v="4"/>
    <n v="422.54"/>
  </r>
  <r>
    <s v="ORD200861"/>
    <d v="2023-03-19T00:00:00"/>
    <s v="C93276"/>
    <s v="Desk"/>
    <n v="5"/>
    <n v="330.45"/>
    <s v="230 Main St"/>
    <x v="3"/>
    <s v="Shipped"/>
    <s v="TRK44165913"/>
    <n v="10"/>
    <x v="1"/>
    <x v="4"/>
    <n v="1652.25"/>
  </r>
  <r>
    <s v="ORD200862"/>
    <d v="2023-12-02T00:00:00"/>
    <s v="C37969"/>
    <s v="Desk"/>
    <n v="3"/>
    <n v="120.82"/>
    <s v="799 Main St"/>
    <x v="2"/>
    <s v="Shipped"/>
    <s v="TRK69852386"/>
    <n v="5"/>
    <x v="0"/>
    <x v="1"/>
    <n v="362.46"/>
  </r>
  <r>
    <s v="ORD200863"/>
    <d v="2024-05-20T00:00:00"/>
    <s v="C98276"/>
    <s v="Phone"/>
    <n v="1"/>
    <n v="14.06"/>
    <s v="471 Main St"/>
    <x v="2"/>
    <s v="Pending"/>
    <s v="TRK74207282"/>
    <n v="5"/>
    <x v="0"/>
    <x v="1"/>
    <n v="14.06"/>
  </r>
  <r>
    <s v="ORD200864"/>
    <d v="2023-05-03T00:00:00"/>
    <s v="C14240"/>
    <s v="Desk"/>
    <n v="1"/>
    <n v="491.11"/>
    <s v="592 Main St"/>
    <x v="2"/>
    <s v="Delivered"/>
    <s v="TRK58095246"/>
    <n v="4"/>
    <x v="0"/>
    <x v="3"/>
    <n v="491.11"/>
  </r>
  <r>
    <s v="ORD200865"/>
    <d v="2023-04-30T00:00:00"/>
    <s v="C72241"/>
    <s v="Monitor"/>
    <n v="4"/>
    <n v="677.37"/>
    <s v="156 Main St"/>
    <x v="4"/>
    <s v="Pending"/>
    <s v="TRK76270481"/>
    <n v="8"/>
    <x v="0"/>
    <x v="4"/>
    <n v="2709.48"/>
  </r>
  <r>
    <s v="ORD200866"/>
    <d v="2024-07-26T00:00:00"/>
    <s v="C39664"/>
    <s v="Desk"/>
    <n v="5"/>
    <n v="189.25"/>
    <s v="693 Main St"/>
    <x v="0"/>
    <s v="Cancelled"/>
    <s v="TRK39917741"/>
    <n v="10"/>
    <x v="3"/>
    <x v="2"/>
    <n v="946.25"/>
  </r>
  <r>
    <s v="ORD200867"/>
    <d v="2024-05-26T00:00:00"/>
    <s v="C53252"/>
    <s v="Printer"/>
    <n v="4"/>
    <n v="142.58000000000001"/>
    <s v="351 Main St"/>
    <x v="4"/>
    <s v="Delivered"/>
    <s v="TRK65831261"/>
    <n v="4"/>
    <x v="1"/>
    <x v="3"/>
    <n v="570.32000000000005"/>
  </r>
  <r>
    <s v="ORD200868"/>
    <d v="2024-06-29T00:00:00"/>
    <s v="C70452"/>
    <s v="Monitor"/>
    <n v="4"/>
    <n v="316.32"/>
    <s v="309 Main St"/>
    <x v="0"/>
    <s v="Delivered"/>
    <s v="TRK42985882"/>
    <n v="7"/>
    <x v="2"/>
    <x v="3"/>
    <n v="1265.28"/>
  </r>
  <r>
    <s v="ORD200869"/>
    <d v="2024-03-17T00:00:00"/>
    <s v="C29905"/>
    <s v="Desk"/>
    <n v="2"/>
    <n v="533.95000000000005"/>
    <s v="790 Main St"/>
    <x v="1"/>
    <s v="Delivered"/>
    <s v="TRK16788127"/>
    <n v="5"/>
    <x v="3"/>
    <x v="4"/>
    <n v="1067.9000000000001"/>
  </r>
  <r>
    <s v="ORD200870"/>
    <d v="2025-06-01T00:00:00"/>
    <s v="C78725"/>
    <s v="Phone"/>
    <n v="4"/>
    <n v="470.09"/>
    <s v="541 Main St"/>
    <x v="0"/>
    <s v="Delivered"/>
    <s v="TRK72001139"/>
    <n v="4"/>
    <x v="1"/>
    <x v="4"/>
    <n v="1880.36"/>
  </r>
  <r>
    <s v="ORD200871"/>
    <d v="2024-05-16T00:00:00"/>
    <s v="C93768"/>
    <s v="Tablet"/>
    <n v="3"/>
    <n v="324.3"/>
    <s v="720 Main St"/>
    <x v="0"/>
    <s v="Pending"/>
    <s v="TRK22024707"/>
    <n v="8"/>
    <x v="1"/>
    <x v="2"/>
    <n v="972.90000000000009"/>
  </r>
  <r>
    <s v="ORD200872"/>
    <d v="2023-07-10T00:00:00"/>
    <s v="C59169"/>
    <s v="Chair"/>
    <n v="4"/>
    <n v="629.34"/>
    <s v="172 Main St"/>
    <x v="4"/>
    <s v="Shipped"/>
    <s v="TRK90883858"/>
    <n v="7"/>
    <x v="2"/>
    <x v="2"/>
    <n v="2517.36"/>
  </r>
  <r>
    <s v="ORD200873"/>
    <d v="2024-05-12T00:00:00"/>
    <s v="C53488"/>
    <s v="Desk"/>
    <n v="3"/>
    <n v="136.84"/>
    <s v="448 Main St"/>
    <x v="4"/>
    <s v="Delivered"/>
    <s v="TRK27365050"/>
    <n v="3"/>
    <x v="0"/>
    <x v="3"/>
    <n v="410.52"/>
  </r>
  <r>
    <s v="ORD200874"/>
    <d v="2023-10-31T00:00:00"/>
    <s v="C92180"/>
    <s v="Chair"/>
    <n v="2"/>
    <n v="488.9"/>
    <s v="632 Main St"/>
    <x v="4"/>
    <s v="Delivered"/>
    <s v="TRK93315929"/>
    <n v="7"/>
    <x v="1"/>
    <x v="3"/>
    <n v="977.8"/>
  </r>
  <r>
    <s v="ORD200875"/>
    <d v="2023-08-03T00:00:00"/>
    <s v="C25918"/>
    <s v="Laptop"/>
    <n v="5"/>
    <n v="133.38999999999999"/>
    <s v="203 Main St"/>
    <x v="2"/>
    <s v="Delivered"/>
    <s v="TRK66473392"/>
    <n v="6"/>
    <x v="1"/>
    <x v="1"/>
    <n v="666.94999999999993"/>
  </r>
  <r>
    <s v="ORD200876"/>
    <d v="2024-06-09T00:00:00"/>
    <s v="C90363"/>
    <s v="Chair"/>
    <n v="5"/>
    <n v="608.91"/>
    <s v="200 Main St"/>
    <x v="3"/>
    <s v="Pending"/>
    <s v="TRK21534173"/>
    <n v="6"/>
    <x v="0"/>
    <x v="4"/>
    <n v="3044.55"/>
  </r>
  <r>
    <s v="ORD200877"/>
    <d v="2024-07-25T00:00:00"/>
    <s v="C43867"/>
    <s v="Tablet"/>
    <n v="1"/>
    <n v="524.05999999999995"/>
    <s v="269 Main St"/>
    <x v="0"/>
    <s v="Pending"/>
    <s v="TRK97319127"/>
    <n v="3"/>
    <x v="1"/>
    <x v="2"/>
    <n v="524.05999999999995"/>
  </r>
  <r>
    <s v="ORD200878"/>
    <d v="2023-06-01T00:00:00"/>
    <s v="C73873"/>
    <s v="Desk"/>
    <n v="2"/>
    <n v="330.69"/>
    <s v="393 Main St"/>
    <x v="1"/>
    <s v="Cancelled"/>
    <s v="TRK56423132"/>
    <n v="5"/>
    <x v="0"/>
    <x v="4"/>
    <n v="661.38"/>
  </r>
  <r>
    <s v="ORD200879"/>
    <d v="2025-04-08T00:00:00"/>
    <s v="C56622"/>
    <s v="Phone"/>
    <n v="2"/>
    <n v="547.66999999999996"/>
    <s v="932 Main St"/>
    <x v="3"/>
    <s v="Shipped"/>
    <s v="TRK86373987"/>
    <n v="3"/>
    <x v="2"/>
    <x v="0"/>
    <n v="1095.3399999999999"/>
  </r>
  <r>
    <s v="ORD200880"/>
    <d v="2025-03-12T00:00:00"/>
    <s v="C85074"/>
    <s v="Laptop"/>
    <n v="4"/>
    <n v="233.7"/>
    <s v="506 Main St"/>
    <x v="1"/>
    <s v="Shipped"/>
    <s v="TRK63133878"/>
    <n v="8"/>
    <x v="0"/>
    <x v="3"/>
    <n v="934.8"/>
  </r>
  <r>
    <s v="ORD200881"/>
    <d v="2023-01-03T00:00:00"/>
    <s v="C59579"/>
    <s v="Tablet"/>
    <n v="2"/>
    <n v="448.85"/>
    <s v="386 Main St"/>
    <x v="2"/>
    <s v="Pending"/>
    <s v="TRK48000034"/>
    <n v="6"/>
    <x v="2"/>
    <x v="0"/>
    <n v="897.7"/>
  </r>
  <r>
    <s v="ORD200882"/>
    <d v="2025-06-28T00:00:00"/>
    <s v="C43335"/>
    <s v="Phone"/>
    <n v="2"/>
    <n v="274.12"/>
    <s v="533 Main St"/>
    <x v="4"/>
    <s v="Delivered"/>
    <s v="TRK91848650"/>
    <n v="6"/>
    <x v="1"/>
    <x v="1"/>
    <n v="548.24"/>
  </r>
  <r>
    <s v="ORD200883"/>
    <d v="2025-05-13T00:00:00"/>
    <s v="C43595"/>
    <s v="Printer"/>
    <n v="5"/>
    <n v="561.48"/>
    <s v="451 Main St"/>
    <x v="1"/>
    <s v="Delivered"/>
    <s v="TRK25317348"/>
    <n v="9"/>
    <x v="1"/>
    <x v="3"/>
    <n v="2807.4"/>
  </r>
  <r>
    <s v="ORD200884"/>
    <d v="2024-05-15T00:00:00"/>
    <s v="C71471"/>
    <s v="Chair"/>
    <n v="1"/>
    <n v="595.54"/>
    <s v="817 Main St"/>
    <x v="3"/>
    <s v="Shipped"/>
    <s v="TRK52137079"/>
    <n v="4"/>
    <x v="2"/>
    <x v="0"/>
    <n v="595.54"/>
  </r>
  <r>
    <s v="ORD200885"/>
    <d v="2024-04-07T00:00:00"/>
    <s v="C61090"/>
    <s v="Laptop"/>
    <n v="4"/>
    <n v="515.59"/>
    <s v="387 Main St"/>
    <x v="2"/>
    <s v="Shipped"/>
    <s v="TRK36388962"/>
    <n v="7"/>
    <x v="1"/>
    <x v="4"/>
    <n v="2062.36"/>
  </r>
  <r>
    <s v="ORD200886"/>
    <d v="2023-10-25T00:00:00"/>
    <s v="C29620"/>
    <s v="Phone"/>
    <n v="1"/>
    <n v="460.13"/>
    <s v="792 Main St"/>
    <x v="2"/>
    <s v="Returned"/>
    <s v="TRK22046456"/>
    <n v="1"/>
    <x v="2"/>
    <x v="4"/>
    <n v="460.13"/>
  </r>
  <r>
    <s v="ORD200887"/>
    <d v="2024-12-19T00:00:00"/>
    <s v="C67932"/>
    <s v="Chair"/>
    <n v="3"/>
    <n v="171.66"/>
    <s v="857 Main St"/>
    <x v="0"/>
    <s v="Delivered"/>
    <s v="TRK88547534"/>
    <n v="7"/>
    <x v="2"/>
    <x v="4"/>
    <n v="514.98"/>
  </r>
  <r>
    <s v="ORD200888"/>
    <d v="2024-07-23T00:00:00"/>
    <s v="C14427"/>
    <s v="Laptop"/>
    <n v="2"/>
    <n v="266.95"/>
    <s v="833 Main St"/>
    <x v="2"/>
    <s v="Pending"/>
    <s v="TRK58024529"/>
    <n v="3"/>
    <x v="2"/>
    <x v="0"/>
    <n v="533.9"/>
  </r>
  <r>
    <s v="ORD200889"/>
    <d v="2024-10-27T00:00:00"/>
    <s v="C36725"/>
    <s v="Monitor"/>
    <n v="5"/>
    <n v="650.72"/>
    <s v="350 Main St"/>
    <x v="2"/>
    <s v="Cancelled"/>
    <s v="TRK16808790"/>
    <n v="8"/>
    <x v="3"/>
    <x v="2"/>
    <n v="3253.6"/>
  </r>
  <r>
    <s v="ORD200890"/>
    <d v="2023-08-11T00:00:00"/>
    <s v="C51921"/>
    <s v="Laptop"/>
    <n v="3"/>
    <n v="439.53"/>
    <s v="943 Main St"/>
    <x v="0"/>
    <s v="Pending"/>
    <s v="TRK85741716"/>
    <n v="5"/>
    <x v="2"/>
    <x v="4"/>
    <n v="1318.59"/>
  </r>
  <r>
    <s v="ORD200891"/>
    <d v="2023-11-11T00:00:00"/>
    <s v="C36534"/>
    <s v="Monitor"/>
    <n v="3"/>
    <n v="654.54"/>
    <s v="918 Main St"/>
    <x v="4"/>
    <s v="Returned"/>
    <s v="TRK38952138"/>
    <n v="7"/>
    <x v="0"/>
    <x v="1"/>
    <n v="1963.62"/>
  </r>
  <r>
    <s v="ORD200892"/>
    <d v="2024-06-04T00:00:00"/>
    <s v="C72043"/>
    <s v="Desk"/>
    <n v="1"/>
    <n v="394.53"/>
    <s v="480 Main St"/>
    <x v="4"/>
    <s v="Shipped"/>
    <s v="TRK40896408"/>
    <n v="2"/>
    <x v="1"/>
    <x v="1"/>
    <n v="394.53"/>
  </r>
  <r>
    <s v="ORD200893"/>
    <d v="2023-03-21T00:00:00"/>
    <s v="C99533"/>
    <s v="Monitor"/>
    <n v="1"/>
    <n v="678.01"/>
    <s v="696 Main St"/>
    <x v="4"/>
    <s v="Pending"/>
    <s v="TRK55701253"/>
    <n v="4"/>
    <x v="1"/>
    <x v="1"/>
    <n v="678.01"/>
  </r>
  <r>
    <s v="ORD200894"/>
    <d v="2023-05-23T00:00:00"/>
    <s v="C90852"/>
    <s v="Tablet"/>
    <n v="3"/>
    <n v="575.01"/>
    <s v="852 Main St"/>
    <x v="1"/>
    <s v="Cancelled"/>
    <s v="TRK37551831"/>
    <n v="8"/>
    <x v="3"/>
    <x v="0"/>
    <n v="1725.03"/>
  </r>
  <r>
    <s v="ORD200895"/>
    <d v="2023-11-09T00:00:00"/>
    <s v="C81882"/>
    <s v="Chair"/>
    <n v="3"/>
    <n v="154.63999999999999"/>
    <s v="832 Main St"/>
    <x v="0"/>
    <s v="Pending"/>
    <s v="TRK62371264"/>
    <n v="6"/>
    <x v="3"/>
    <x v="3"/>
    <n v="463.92"/>
  </r>
  <r>
    <s v="ORD200896"/>
    <d v="2024-10-18T00:00:00"/>
    <s v="C85466"/>
    <s v="Desk"/>
    <n v="3"/>
    <n v="147.29"/>
    <s v="102 Main St"/>
    <x v="3"/>
    <s v="Shipped"/>
    <s v="TRK66764177"/>
    <n v="3"/>
    <x v="1"/>
    <x v="4"/>
    <n v="441.87"/>
  </r>
  <r>
    <s v="ORD200897"/>
    <d v="2024-09-03T00:00:00"/>
    <s v="C87995"/>
    <s v="Laptop"/>
    <n v="4"/>
    <n v="481.48"/>
    <s v="358 Main St"/>
    <x v="3"/>
    <s v="Delivered"/>
    <s v="TRK38730545"/>
    <n v="5"/>
    <x v="0"/>
    <x v="0"/>
    <n v="1925.92"/>
  </r>
  <r>
    <s v="ORD200898"/>
    <d v="2025-03-05T00:00:00"/>
    <s v="C44619"/>
    <s v="Monitor"/>
    <n v="3"/>
    <n v="158.37"/>
    <s v="742 Main St"/>
    <x v="4"/>
    <s v="Shipped"/>
    <s v="TRK66662528"/>
    <n v="6"/>
    <x v="2"/>
    <x v="1"/>
    <n v="475.11"/>
  </r>
  <r>
    <s v="ORD200899"/>
    <d v="2025-04-23T00:00:00"/>
    <s v="C99904"/>
    <s v="Printer"/>
    <n v="2"/>
    <n v="323.37"/>
    <s v="552 Main St"/>
    <x v="1"/>
    <s v="Pending"/>
    <s v="TRK83843411"/>
    <n v="3"/>
    <x v="0"/>
    <x v="0"/>
    <n v="646.74"/>
  </r>
  <r>
    <s v="ORD200900"/>
    <d v="2025-02-07T00:00:00"/>
    <s v="C52342"/>
    <s v="Laptop"/>
    <n v="5"/>
    <n v="73.83"/>
    <s v="991 Main St"/>
    <x v="0"/>
    <s v="Pending"/>
    <s v="TRK67342586"/>
    <n v="9"/>
    <x v="2"/>
    <x v="0"/>
    <n v="369.15"/>
  </r>
  <r>
    <s v="ORD200901"/>
    <d v="2024-04-28T00:00:00"/>
    <s v="C44277"/>
    <s v="Tablet"/>
    <n v="1"/>
    <n v="458.63"/>
    <s v="839 Main St"/>
    <x v="0"/>
    <s v="Returned"/>
    <s v="TRK79321479"/>
    <n v="4"/>
    <x v="3"/>
    <x v="1"/>
    <n v="458.63"/>
  </r>
  <r>
    <s v="ORD200902"/>
    <d v="2024-07-13T00:00:00"/>
    <s v="C61162"/>
    <s v="Monitor"/>
    <n v="4"/>
    <n v="180.25"/>
    <s v="813 Main St"/>
    <x v="0"/>
    <s v="Cancelled"/>
    <s v="TRK76712124"/>
    <n v="7"/>
    <x v="2"/>
    <x v="3"/>
    <n v="721"/>
  </r>
  <r>
    <s v="ORD200903"/>
    <d v="2023-05-17T00:00:00"/>
    <s v="C80868"/>
    <s v="Monitor"/>
    <n v="3"/>
    <n v="473.49"/>
    <s v="205 Main St"/>
    <x v="2"/>
    <s v="Pending"/>
    <s v="TRK56186636"/>
    <n v="7"/>
    <x v="2"/>
    <x v="2"/>
    <n v="1420.47"/>
  </r>
  <r>
    <s v="ORD200904"/>
    <d v="2025-02-05T00:00:00"/>
    <s v="C16693"/>
    <s v="Monitor"/>
    <n v="4"/>
    <n v="237.43"/>
    <s v="262 Main St"/>
    <x v="4"/>
    <s v="Cancelled"/>
    <s v="TRK41146508"/>
    <n v="8"/>
    <x v="3"/>
    <x v="1"/>
    <n v="949.72"/>
  </r>
  <r>
    <s v="ORD200905"/>
    <d v="2023-11-23T00:00:00"/>
    <s v="C67818"/>
    <s v="Laptop"/>
    <n v="1"/>
    <n v="442.39"/>
    <s v="101 Main St"/>
    <x v="3"/>
    <s v="Pending"/>
    <s v="TRK81978113"/>
    <n v="6"/>
    <x v="1"/>
    <x v="3"/>
    <n v="442.39"/>
  </r>
  <r>
    <s v="ORD200906"/>
    <d v="2024-09-03T00:00:00"/>
    <s v="C49938"/>
    <s v="Monitor"/>
    <n v="1"/>
    <n v="62.12"/>
    <s v="141 Main St"/>
    <x v="4"/>
    <s v="Returned"/>
    <s v="TRK80175572"/>
    <n v="2"/>
    <x v="2"/>
    <x v="2"/>
    <n v="62.12"/>
  </r>
  <r>
    <s v="ORD200907"/>
    <d v="2024-08-04T00:00:00"/>
    <s v="C90898"/>
    <s v="Desk"/>
    <n v="5"/>
    <n v="298.39"/>
    <s v="583 Main St"/>
    <x v="3"/>
    <s v="Cancelled"/>
    <s v="TRK52935170"/>
    <n v="7"/>
    <x v="3"/>
    <x v="1"/>
    <n v="1491.95"/>
  </r>
  <r>
    <s v="ORD200908"/>
    <d v="2025-05-06T00:00:00"/>
    <s v="C35117"/>
    <s v="Desk"/>
    <n v="2"/>
    <n v="697.93"/>
    <s v="332 Main St"/>
    <x v="2"/>
    <s v="Cancelled"/>
    <s v="TRK27155709"/>
    <n v="2"/>
    <x v="0"/>
    <x v="4"/>
    <n v="1395.86"/>
  </r>
  <r>
    <s v="ORD200909"/>
    <d v="2024-05-27T00:00:00"/>
    <s v="C60203"/>
    <s v="Tablet"/>
    <n v="2"/>
    <n v="291.85000000000002"/>
    <s v="569 Main St"/>
    <x v="4"/>
    <s v="Shipped"/>
    <s v="TRK76525279"/>
    <n v="5"/>
    <x v="1"/>
    <x v="0"/>
    <n v="583.70000000000005"/>
  </r>
  <r>
    <s v="ORD200910"/>
    <d v="2024-05-31T00:00:00"/>
    <s v="C36174"/>
    <s v="Printer"/>
    <n v="3"/>
    <n v="308.98"/>
    <s v="348 Main St"/>
    <x v="4"/>
    <s v="Delivered"/>
    <s v="TRK26397548"/>
    <n v="3"/>
    <x v="0"/>
    <x v="0"/>
    <n v="926.94"/>
  </r>
  <r>
    <s v="ORD200911"/>
    <d v="2024-08-13T00:00:00"/>
    <s v="C80872"/>
    <s v="Desk"/>
    <n v="5"/>
    <n v="396.86"/>
    <s v="593 Main St"/>
    <x v="4"/>
    <s v="Cancelled"/>
    <s v="TRK43967487"/>
    <n v="9"/>
    <x v="0"/>
    <x v="0"/>
    <n v="1984.3"/>
  </r>
  <r>
    <s v="ORD200912"/>
    <d v="2024-01-22T00:00:00"/>
    <s v="C67604"/>
    <s v="Desk"/>
    <n v="2"/>
    <n v="139.69"/>
    <s v="318 Main St"/>
    <x v="1"/>
    <s v="Returned"/>
    <s v="TRK85545920"/>
    <n v="7"/>
    <x v="1"/>
    <x v="2"/>
    <n v="279.38"/>
  </r>
  <r>
    <s v="ORD200913"/>
    <d v="2023-02-16T00:00:00"/>
    <s v="C45599"/>
    <s v="Printer"/>
    <n v="5"/>
    <n v="475.95"/>
    <s v="505 Main St"/>
    <x v="2"/>
    <s v="Returned"/>
    <s v="TRK62277685"/>
    <n v="8"/>
    <x v="3"/>
    <x v="3"/>
    <n v="2379.75"/>
  </r>
  <r>
    <s v="ORD200914"/>
    <d v="2025-02-10T00:00:00"/>
    <s v="C70352"/>
    <s v="Desk"/>
    <n v="1"/>
    <n v="626.6"/>
    <s v="955 Main St"/>
    <x v="3"/>
    <s v="Returned"/>
    <s v="TRK51589589"/>
    <n v="4"/>
    <x v="3"/>
    <x v="3"/>
    <n v="626.6"/>
  </r>
  <r>
    <s v="ORD200915"/>
    <d v="2024-02-16T00:00:00"/>
    <s v="C20643"/>
    <s v="Laptop"/>
    <n v="4"/>
    <n v="502.99"/>
    <s v="939 Main St"/>
    <x v="0"/>
    <s v="Shipped"/>
    <s v="TRK30736692"/>
    <n v="4"/>
    <x v="3"/>
    <x v="1"/>
    <n v="2011.96"/>
  </r>
  <r>
    <s v="ORD200916"/>
    <d v="2024-06-21T00:00:00"/>
    <s v="C35669"/>
    <s v="Printer"/>
    <n v="5"/>
    <n v="578.83000000000004"/>
    <s v="165 Main St"/>
    <x v="4"/>
    <s v="Returned"/>
    <s v="TRK13928455"/>
    <n v="6"/>
    <x v="2"/>
    <x v="1"/>
    <n v="2894.15"/>
  </r>
  <r>
    <s v="ORD200917"/>
    <d v="2025-01-20T00:00:00"/>
    <s v="C65524"/>
    <s v="Laptop"/>
    <n v="5"/>
    <n v="383.82"/>
    <s v="836 Main St"/>
    <x v="2"/>
    <s v="Returned"/>
    <s v="TRK19315310"/>
    <n v="7"/>
    <x v="1"/>
    <x v="4"/>
    <n v="1919.1"/>
  </r>
  <r>
    <s v="ORD200918"/>
    <d v="2025-06-24T00:00:00"/>
    <s v="C74359"/>
    <s v="Laptop"/>
    <n v="5"/>
    <n v="368.25"/>
    <s v="706 Main St"/>
    <x v="1"/>
    <s v="Delivered"/>
    <s v="TRK18250450"/>
    <n v="5"/>
    <x v="2"/>
    <x v="0"/>
    <n v="1841.25"/>
  </r>
  <r>
    <s v="ORD200919"/>
    <d v="2025-02-07T00:00:00"/>
    <s v="C92086"/>
    <s v="Printer"/>
    <n v="2"/>
    <n v="374.6"/>
    <s v="187 Main St"/>
    <x v="1"/>
    <s v="Shipped"/>
    <s v="TRK23357668"/>
    <n v="3"/>
    <x v="1"/>
    <x v="1"/>
    <n v="749.2"/>
  </r>
  <r>
    <s v="ORD200920"/>
    <d v="2025-03-12T00:00:00"/>
    <s v="C26137"/>
    <s v="Tablet"/>
    <n v="2"/>
    <n v="428.09"/>
    <s v="978 Main St"/>
    <x v="2"/>
    <s v="Returned"/>
    <s v="TRK98110407"/>
    <n v="6"/>
    <x v="2"/>
    <x v="0"/>
    <n v="856.18"/>
  </r>
  <r>
    <s v="ORD200921"/>
    <d v="2023-07-24T00:00:00"/>
    <s v="C90573"/>
    <s v="Tablet"/>
    <n v="1"/>
    <n v="438.93"/>
    <s v="144 Main St"/>
    <x v="3"/>
    <s v="Cancelled"/>
    <s v="TRK90075720"/>
    <n v="3"/>
    <x v="0"/>
    <x v="1"/>
    <n v="438.93"/>
  </r>
  <r>
    <s v="ORD200922"/>
    <d v="2024-06-17T00:00:00"/>
    <s v="C81857"/>
    <s v="Desk"/>
    <n v="2"/>
    <n v="563.82000000000005"/>
    <s v="487 Main St"/>
    <x v="2"/>
    <s v="Pending"/>
    <s v="TRK79737732"/>
    <n v="3"/>
    <x v="2"/>
    <x v="0"/>
    <n v="1127.6400000000001"/>
  </r>
  <r>
    <s v="ORD200923"/>
    <d v="2023-02-11T00:00:00"/>
    <s v="C91582"/>
    <s v="Printer"/>
    <n v="3"/>
    <n v="649.92999999999995"/>
    <s v="836 Main St"/>
    <x v="2"/>
    <s v="Pending"/>
    <s v="TRK99938245"/>
    <n v="7"/>
    <x v="3"/>
    <x v="3"/>
    <n v="1949.79"/>
  </r>
  <r>
    <s v="ORD200924"/>
    <d v="2025-03-22T00:00:00"/>
    <s v="C81319"/>
    <s v="Printer"/>
    <n v="5"/>
    <n v="268.43"/>
    <s v="991 Main St"/>
    <x v="4"/>
    <s v="Returned"/>
    <s v="TRK55330558"/>
    <n v="5"/>
    <x v="0"/>
    <x v="2"/>
    <n v="1342.15"/>
  </r>
  <r>
    <s v="ORD200925"/>
    <d v="2024-12-20T00:00:00"/>
    <s v="C78500"/>
    <s v="Monitor"/>
    <n v="5"/>
    <n v="502.47"/>
    <s v="304 Main St"/>
    <x v="1"/>
    <s v="Shipped"/>
    <s v="TRK97460884"/>
    <n v="10"/>
    <x v="3"/>
    <x v="2"/>
    <n v="2512.35"/>
  </r>
  <r>
    <s v="ORD200926"/>
    <d v="2024-03-20T00:00:00"/>
    <s v="C67533"/>
    <s v="Desk"/>
    <n v="1"/>
    <n v="26.95"/>
    <s v="672 Main St"/>
    <x v="4"/>
    <s v="Delivered"/>
    <s v="TRK14566395"/>
    <n v="1"/>
    <x v="3"/>
    <x v="2"/>
    <n v="26.95"/>
  </r>
  <r>
    <s v="ORD200927"/>
    <d v="2023-02-14T00:00:00"/>
    <s v="C35566"/>
    <s v="Laptop"/>
    <n v="4"/>
    <n v="64.69"/>
    <s v="638 Main St"/>
    <x v="0"/>
    <s v="Shipped"/>
    <s v="TRK10003020"/>
    <n v="7"/>
    <x v="3"/>
    <x v="4"/>
    <n v="258.76"/>
  </r>
  <r>
    <s v="ORD200928"/>
    <d v="2024-05-09T00:00:00"/>
    <s v="C77166"/>
    <s v="Laptop"/>
    <n v="3"/>
    <n v="247.11"/>
    <s v="821 Main St"/>
    <x v="0"/>
    <s v="Returned"/>
    <s v="TRK18896595"/>
    <n v="3"/>
    <x v="3"/>
    <x v="1"/>
    <n v="741.33"/>
  </r>
  <r>
    <s v="ORD200929"/>
    <d v="2024-10-16T00:00:00"/>
    <s v="C67936"/>
    <s v="Tablet"/>
    <n v="2"/>
    <n v="536.25"/>
    <s v="553 Main St"/>
    <x v="0"/>
    <s v="Pending"/>
    <s v="TRK71803414"/>
    <n v="3"/>
    <x v="2"/>
    <x v="2"/>
    <n v="1072.5"/>
  </r>
  <r>
    <s v="ORD200930"/>
    <d v="2024-12-16T00:00:00"/>
    <s v="C59554"/>
    <s v="Phone"/>
    <n v="2"/>
    <n v="456.04"/>
    <s v="382 Main St"/>
    <x v="0"/>
    <s v="Returned"/>
    <s v="TRK28182447"/>
    <n v="4"/>
    <x v="1"/>
    <x v="2"/>
    <n v="912.08"/>
  </r>
  <r>
    <s v="ORD200931"/>
    <d v="2024-01-01T00:00:00"/>
    <s v="C14005"/>
    <s v="Printer"/>
    <n v="2"/>
    <n v="40.229999999999997"/>
    <s v="623 Main St"/>
    <x v="2"/>
    <s v="Cancelled"/>
    <s v="TRK87567926"/>
    <n v="4"/>
    <x v="0"/>
    <x v="4"/>
    <n v="80.459999999999994"/>
  </r>
  <r>
    <s v="ORD200932"/>
    <d v="2023-03-26T00:00:00"/>
    <s v="C26118"/>
    <s v="Laptop"/>
    <n v="2"/>
    <n v="72.39"/>
    <s v="168 Main St"/>
    <x v="1"/>
    <s v="Delivered"/>
    <s v="TRK15334251"/>
    <n v="7"/>
    <x v="3"/>
    <x v="0"/>
    <n v="144.78"/>
  </r>
  <r>
    <s v="ORD200933"/>
    <d v="2023-01-26T00:00:00"/>
    <s v="C59685"/>
    <s v="Monitor"/>
    <n v="2"/>
    <n v="394.16"/>
    <s v="255 Main St"/>
    <x v="1"/>
    <s v="Shipped"/>
    <s v="TRK43718093"/>
    <n v="2"/>
    <x v="2"/>
    <x v="1"/>
    <n v="788.32"/>
  </r>
  <r>
    <s v="ORD200934"/>
    <d v="2025-06-01T00:00:00"/>
    <s v="C40304"/>
    <s v="Laptop"/>
    <n v="4"/>
    <n v="119.84"/>
    <s v="692 Main St"/>
    <x v="3"/>
    <s v="Shipped"/>
    <s v="TRK85790948"/>
    <n v="8"/>
    <x v="1"/>
    <x v="1"/>
    <n v="479.36"/>
  </r>
  <r>
    <s v="ORD200935"/>
    <d v="2023-11-24T00:00:00"/>
    <s v="C39593"/>
    <s v="Phone"/>
    <n v="3"/>
    <n v="692.71"/>
    <s v="398 Main St"/>
    <x v="2"/>
    <s v="Delivered"/>
    <s v="TRK62405253"/>
    <n v="3"/>
    <x v="1"/>
    <x v="0"/>
    <n v="2078.13"/>
  </r>
  <r>
    <s v="ORD200936"/>
    <d v="2024-01-12T00:00:00"/>
    <s v="C50612"/>
    <s v="Chair"/>
    <n v="4"/>
    <n v="56.66"/>
    <s v="737 Main St"/>
    <x v="1"/>
    <s v="Delivered"/>
    <s v="TRK44140968"/>
    <n v="4"/>
    <x v="0"/>
    <x v="0"/>
    <n v="226.64"/>
  </r>
  <r>
    <s v="ORD200937"/>
    <d v="2024-01-16T00:00:00"/>
    <s v="C39791"/>
    <s v="Chair"/>
    <n v="2"/>
    <n v="298.52999999999997"/>
    <s v="536 Main St"/>
    <x v="0"/>
    <s v="Cancelled"/>
    <s v="TRK46221436"/>
    <n v="5"/>
    <x v="3"/>
    <x v="2"/>
    <n v="597.05999999999995"/>
  </r>
  <r>
    <s v="ORD200938"/>
    <d v="2023-07-12T00:00:00"/>
    <s v="C39017"/>
    <s v="Chair"/>
    <n v="3"/>
    <n v="331.46"/>
    <s v="696 Main St"/>
    <x v="2"/>
    <s v="Cancelled"/>
    <s v="TRK91155214"/>
    <n v="6"/>
    <x v="3"/>
    <x v="1"/>
    <n v="994.37999999999988"/>
  </r>
  <r>
    <s v="ORD200939"/>
    <d v="2025-04-16T00:00:00"/>
    <s v="C48510"/>
    <s v="Laptop"/>
    <n v="2"/>
    <n v="521.4"/>
    <s v="212 Main St"/>
    <x v="4"/>
    <s v="Delivered"/>
    <s v="TRK53152886"/>
    <n v="7"/>
    <x v="0"/>
    <x v="0"/>
    <n v="1042.8"/>
  </r>
  <r>
    <s v="ORD200940"/>
    <d v="2023-03-27T00:00:00"/>
    <s v="C74003"/>
    <s v="Printer"/>
    <n v="4"/>
    <n v="305.32"/>
    <s v="679 Main St"/>
    <x v="1"/>
    <s v="Cancelled"/>
    <s v="TRK91525779"/>
    <n v="4"/>
    <x v="0"/>
    <x v="4"/>
    <n v="1221.28"/>
  </r>
  <r>
    <s v="ORD200941"/>
    <d v="2023-07-17T00:00:00"/>
    <s v="C91155"/>
    <s v="Printer"/>
    <n v="5"/>
    <n v="111.7"/>
    <s v="599 Main St"/>
    <x v="2"/>
    <s v="Cancelled"/>
    <s v="TRK82162952"/>
    <n v="9"/>
    <x v="1"/>
    <x v="2"/>
    <n v="558.5"/>
  </r>
  <r>
    <s v="ORD200942"/>
    <d v="2023-09-29T00:00:00"/>
    <s v="C17591"/>
    <s v="Tablet"/>
    <n v="1"/>
    <n v="479.76"/>
    <s v="882 Main St"/>
    <x v="2"/>
    <s v="Pending"/>
    <s v="TRK56070470"/>
    <n v="1"/>
    <x v="2"/>
    <x v="2"/>
    <n v="479.76"/>
  </r>
  <r>
    <s v="ORD200943"/>
    <d v="2023-12-27T00:00:00"/>
    <s v="C43330"/>
    <s v="Monitor"/>
    <n v="3"/>
    <n v="193.49"/>
    <s v="355 Main St"/>
    <x v="3"/>
    <s v="Returned"/>
    <s v="TRK71594838"/>
    <n v="6"/>
    <x v="1"/>
    <x v="3"/>
    <n v="580.47"/>
  </r>
  <r>
    <s v="ORD200944"/>
    <d v="2024-12-16T00:00:00"/>
    <s v="C32687"/>
    <s v="Laptop"/>
    <n v="2"/>
    <n v="426.22"/>
    <s v="448 Main St"/>
    <x v="1"/>
    <s v="Delivered"/>
    <s v="TRK98284560"/>
    <n v="7"/>
    <x v="3"/>
    <x v="4"/>
    <n v="852.44"/>
  </r>
  <r>
    <s v="ORD200945"/>
    <d v="2023-08-20T00:00:00"/>
    <s v="C79722"/>
    <s v="Tablet"/>
    <n v="5"/>
    <n v="276.44"/>
    <s v="619 Main St"/>
    <x v="3"/>
    <s v="Shipped"/>
    <s v="TRK29976438"/>
    <n v="10"/>
    <x v="1"/>
    <x v="1"/>
    <n v="1382.2"/>
  </r>
  <r>
    <s v="ORD200946"/>
    <d v="2024-05-04T00:00:00"/>
    <s v="C65021"/>
    <s v="Phone"/>
    <n v="2"/>
    <n v="404.96"/>
    <s v="546 Main St"/>
    <x v="4"/>
    <s v="Shipped"/>
    <s v="TRK20626179"/>
    <n v="4"/>
    <x v="0"/>
    <x v="2"/>
    <n v="809.92"/>
  </r>
  <r>
    <s v="ORD200947"/>
    <d v="2023-09-07T00:00:00"/>
    <s v="C85520"/>
    <s v="Phone"/>
    <n v="4"/>
    <n v="465.66"/>
    <s v="119 Main St"/>
    <x v="1"/>
    <s v="Returned"/>
    <s v="TRK65994177"/>
    <n v="9"/>
    <x v="1"/>
    <x v="2"/>
    <n v="1862.64"/>
  </r>
  <r>
    <s v="ORD200948"/>
    <d v="2024-06-21T00:00:00"/>
    <s v="C94569"/>
    <s v="Phone"/>
    <n v="2"/>
    <n v="594.07000000000005"/>
    <s v="739 Main St"/>
    <x v="3"/>
    <s v="Cancelled"/>
    <s v="TRK79269291"/>
    <n v="2"/>
    <x v="2"/>
    <x v="4"/>
    <n v="1188.1400000000001"/>
  </r>
  <r>
    <s v="ORD200949"/>
    <d v="2023-11-09T00:00:00"/>
    <s v="C55778"/>
    <s v="Desk"/>
    <n v="5"/>
    <n v="110.38"/>
    <s v="319 Main St"/>
    <x v="4"/>
    <s v="Pending"/>
    <s v="TRK93797108"/>
    <n v="10"/>
    <x v="2"/>
    <x v="1"/>
    <n v="551.9"/>
  </r>
  <r>
    <s v="ORD200950"/>
    <d v="2024-05-31T00:00:00"/>
    <s v="C19722"/>
    <s v="Laptop"/>
    <n v="1"/>
    <n v="596.24"/>
    <s v="891 Main St"/>
    <x v="2"/>
    <s v="Returned"/>
    <s v="TRK78094361"/>
    <n v="4"/>
    <x v="1"/>
    <x v="0"/>
    <n v="596.24"/>
  </r>
  <r>
    <s v="ORD200951"/>
    <d v="2024-07-22T00:00:00"/>
    <s v="C74928"/>
    <s v="Printer"/>
    <n v="2"/>
    <n v="306.24"/>
    <s v="589 Main St"/>
    <x v="1"/>
    <s v="Returned"/>
    <s v="TRK39845914"/>
    <n v="4"/>
    <x v="1"/>
    <x v="2"/>
    <n v="612.48"/>
  </r>
  <r>
    <s v="ORD200952"/>
    <d v="2025-02-27T00:00:00"/>
    <s v="C49111"/>
    <s v="Monitor"/>
    <n v="3"/>
    <n v="503.39"/>
    <s v="225 Main St"/>
    <x v="1"/>
    <s v="Pending"/>
    <s v="TRK45303393"/>
    <n v="5"/>
    <x v="2"/>
    <x v="3"/>
    <n v="1510.17"/>
  </r>
  <r>
    <s v="ORD200953"/>
    <d v="2023-02-06T00:00:00"/>
    <s v="C43721"/>
    <s v="Phone"/>
    <n v="1"/>
    <n v="131.61000000000001"/>
    <s v="971 Main St"/>
    <x v="4"/>
    <s v="Shipped"/>
    <s v="TRK89392104"/>
    <n v="2"/>
    <x v="1"/>
    <x v="3"/>
    <n v="131.61000000000001"/>
  </r>
  <r>
    <s v="ORD200954"/>
    <d v="2024-10-22T00:00:00"/>
    <s v="C68609"/>
    <s v="Chair"/>
    <n v="3"/>
    <n v="443.44"/>
    <s v="240 Main St"/>
    <x v="3"/>
    <s v="Shipped"/>
    <s v="TRK58273778"/>
    <n v="3"/>
    <x v="1"/>
    <x v="4"/>
    <n v="1330.32"/>
  </r>
  <r>
    <s v="ORD200955"/>
    <d v="2023-01-23T00:00:00"/>
    <s v="C82068"/>
    <s v="Chair"/>
    <n v="1"/>
    <n v="408.13"/>
    <s v="164 Main St"/>
    <x v="3"/>
    <s v="Shipped"/>
    <s v="TRK25779180"/>
    <n v="3"/>
    <x v="3"/>
    <x v="0"/>
    <n v="408.13"/>
  </r>
  <r>
    <s v="ORD200956"/>
    <d v="2024-04-11T00:00:00"/>
    <s v="C21191"/>
    <s v="Phone"/>
    <n v="2"/>
    <n v="160.97999999999999"/>
    <s v="381 Main St"/>
    <x v="0"/>
    <s v="Delivered"/>
    <s v="TRK86246309"/>
    <n v="3"/>
    <x v="0"/>
    <x v="1"/>
    <n v="321.95999999999998"/>
  </r>
  <r>
    <s v="ORD200957"/>
    <d v="2023-01-12T00:00:00"/>
    <s v="C73575"/>
    <s v="Monitor"/>
    <n v="5"/>
    <n v="643.89"/>
    <s v="851 Main St"/>
    <x v="4"/>
    <s v="Returned"/>
    <s v="TRK23387612"/>
    <n v="8"/>
    <x v="3"/>
    <x v="3"/>
    <n v="3219.45"/>
  </r>
  <r>
    <s v="ORD200958"/>
    <d v="2023-05-13T00:00:00"/>
    <s v="C82685"/>
    <s v="Desk"/>
    <n v="3"/>
    <n v="158.66"/>
    <s v="537 Main St"/>
    <x v="3"/>
    <s v="Delivered"/>
    <s v="TRK70184320"/>
    <n v="7"/>
    <x v="3"/>
    <x v="2"/>
    <n v="475.98"/>
  </r>
  <r>
    <s v="ORD200959"/>
    <d v="2024-04-13T00:00:00"/>
    <s v="C73996"/>
    <s v="Tablet"/>
    <n v="2"/>
    <n v="143.82"/>
    <s v="856 Main St"/>
    <x v="2"/>
    <s v="Returned"/>
    <s v="TRK74579570"/>
    <n v="6"/>
    <x v="0"/>
    <x v="0"/>
    <n v="287.64"/>
  </r>
  <r>
    <s v="ORD200960"/>
    <d v="2023-12-11T00:00:00"/>
    <s v="C87687"/>
    <s v="Laptop"/>
    <n v="3"/>
    <n v="379.07"/>
    <s v="312 Main St"/>
    <x v="3"/>
    <s v="Pending"/>
    <s v="TRK60383805"/>
    <n v="3"/>
    <x v="3"/>
    <x v="4"/>
    <n v="1137.21"/>
  </r>
  <r>
    <s v="ORD200961"/>
    <d v="2024-11-11T00:00:00"/>
    <s v="C55464"/>
    <s v="Phone"/>
    <n v="1"/>
    <n v="601.36"/>
    <s v="532 Main St"/>
    <x v="1"/>
    <s v="Shipped"/>
    <s v="TRK81178598"/>
    <n v="1"/>
    <x v="2"/>
    <x v="3"/>
    <n v="601.36"/>
  </r>
  <r>
    <s v="ORD200962"/>
    <d v="2024-09-06T00:00:00"/>
    <s v="C12459"/>
    <s v="Phone"/>
    <n v="2"/>
    <n v="142.08000000000001"/>
    <s v="838 Main St"/>
    <x v="3"/>
    <s v="Delivered"/>
    <s v="TRK30674085"/>
    <n v="4"/>
    <x v="0"/>
    <x v="1"/>
    <n v="284.16000000000003"/>
  </r>
  <r>
    <s v="ORD200963"/>
    <d v="2024-03-11T00:00:00"/>
    <s v="C88075"/>
    <s v="Chair"/>
    <n v="5"/>
    <n v="530.34"/>
    <s v="970 Main St"/>
    <x v="1"/>
    <s v="Shipped"/>
    <s v="TRK42832976"/>
    <n v="9"/>
    <x v="1"/>
    <x v="4"/>
    <n v="2651.7"/>
  </r>
  <r>
    <s v="ORD200964"/>
    <d v="2023-08-20T00:00:00"/>
    <s v="C18583"/>
    <s v="Phone"/>
    <n v="5"/>
    <n v="364.42"/>
    <s v="778 Main St"/>
    <x v="2"/>
    <s v="Cancelled"/>
    <s v="TRK43084595"/>
    <n v="10"/>
    <x v="0"/>
    <x v="1"/>
    <n v="1822.1"/>
  </r>
  <r>
    <s v="ORD200965"/>
    <d v="2025-06-18T00:00:00"/>
    <s v="C70412"/>
    <s v="Laptop"/>
    <n v="4"/>
    <n v="578.28"/>
    <s v="791 Main St"/>
    <x v="3"/>
    <s v="Cancelled"/>
    <s v="TRK22192783"/>
    <n v="5"/>
    <x v="1"/>
    <x v="2"/>
    <n v="2313.12"/>
  </r>
  <r>
    <s v="ORD200966"/>
    <d v="2025-05-20T00:00:00"/>
    <s v="C58503"/>
    <s v="Monitor"/>
    <n v="5"/>
    <n v="280.52"/>
    <s v="290 Main St"/>
    <x v="2"/>
    <s v="Cancelled"/>
    <s v="TRK12981657"/>
    <n v="7"/>
    <x v="3"/>
    <x v="3"/>
    <n v="1402.6"/>
  </r>
  <r>
    <s v="ORD200967"/>
    <d v="2025-05-06T00:00:00"/>
    <s v="C52879"/>
    <s v="Tablet"/>
    <n v="5"/>
    <n v="638.91999999999996"/>
    <s v="502 Main St"/>
    <x v="2"/>
    <s v="Returned"/>
    <s v="TRK67403284"/>
    <n v="5"/>
    <x v="1"/>
    <x v="4"/>
    <n v="3194.6"/>
  </r>
  <r>
    <s v="ORD200968"/>
    <d v="2024-02-08T00:00:00"/>
    <s v="C67870"/>
    <s v="Monitor"/>
    <n v="4"/>
    <n v="412.2"/>
    <s v="664 Main St"/>
    <x v="2"/>
    <s v="Shipped"/>
    <s v="TRK72602178"/>
    <n v="6"/>
    <x v="3"/>
    <x v="1"/>
    <n v="1648.8"/>
  </r>
  <r>
    <s v="ORD200969"/>
    <d v="2025-06-05T00:00:00"/>
    <s v="C19439"/>
    <s v="Desk"/>
    <n v="1"/>
    <n v="440.34"/>
    <s v="675 Main St"/>
    <x v="3"/>
    <s v="Shipped"/>
    <s v="TRK25383993"/>
    <n v="2"/>
    <x v="3"/>
    <x v="3"/>
    <n v="440.34"/>
  </r>
  <r>
    <s v="ORD200970"/>
    <d v="2024-09-07T00:00:00"/>
    <s v="C72664"/>
    <s v="Desk"/>
    <n v="1"/>
    <n v="627.15"/>
    <s v="241 Main St"/>
    <x v="4"/>
    <s v="Delivered"/>
    <s v="TRK86694331"/>
    <n v="5"/>
    <x v="0"/>
    <x v="0"/>
    <n v="627.15"/>
  </r>
  <r>
    <s v="ORD200971"/>
    <d v="2024-05-27T00:00:00"/>
    <s v="C32650"/>
    <s v="Monitor"/>
    <n v="2"/>
    <n v="605.26"/>
    <s v="934 Main St"/>
    <x v="4"/>
    <s v="Cancelled"/>
    <s v="TRK66648743"/>
    <n v="4"/>
    <x v="3"/>
    <x v="1"/>
    <n v="1210.52"/>
  </r>
  <r>
    <s v="ORD200972"/>
    <d v="2024-06-09T00:00:00"/>
    <s v="C66438"/>
    <s v="Laptop"/>
    <n v="1"/>
    <n v="90.27"/>
    <s v="816 Main St"/>
    <x v="4"/>
    <s v="Delivered"/>
    <s v="TRK32035271"/>
    <n v="5"/>
    <x v="0"/>
    <x v="3"/>
    <n v="90.27"/>
  </r>
  <r>
    <s v="ORD200973"/>
    <d v="2025-06-09T00:00:00"/>
    <s v="C70010"/>
    <s v="Desk"/>
    <n v="5"/>
    <n v="230.77"/>
    <s v="141 Main St"/>
    <x v="1"/>
    <s v="Pending"/>
    <s v="TRK50594008"/>
    <n v="10"/>
    <x v="3"/>
    <x v="1"/>
    <n v="1153.8499999999999"/>
  </r>
  <r>
    <s v="ORD200974"/>
    <d v="2023-09-27T00:00:00"/>
    <s v="C30722"/>
    <s v="Desk"/>
    <n v="5"/>
    <n v="266.77999999999997"/>
    <s v="274 Main St"/>
    <x v="3"/>
    <s v="Cancelled"/>
    <s v="TRK52088168"/>
    <n v="5"/>
    <x v="2"/>
    <x v="2"/>
    <n v="1333.9"/>
  </r>
  <r>
    <s v="ORD200975"/>
    <d v="2023-05-18T00:00:00"/>
    <s v="C70529"/>
    <s v="Desk"/>
    <n v="1"/>
    <n v="105.92"/>
    <s v="974 Main St"/>
    <x v="3"/>
    <s v="Returned"/>
    <s v="TRK82165408"/>
    <n v="6"/>
    <x v="0"/>
    <x v="2"/>
    <n v="105.92"/>
  </r>
  <r>
    <s v="ORD200976"/>
    <d v="2024-04-04T00:00:00"/>
    <s v="C18984"/>
    <s v="Tablet"/>
    <n v="3"/>
    <n v="589.29999999999995"/>
    <s v="650 Main St"/>
    <x v="2"/>
    <s v="Returned"/>
    <s v="TRK49298239"/>
    <n v="6"/>
    <x v="3"/>
    <x v="1"/>
    <n v="1767.9"/>
  </r>
  <r>
    <s v="ORD200977"/>
    <d v="2023-01-28T00:00:00"/>
    <s v="C85841"/>
    <s v="Chair"/>
    <n v="4"/>
    <n v="649.47"/>
    <s v="608 Main St"/>
    <x v="4"/>
    <s v="Pending"/>
    <s v="TRK99820544"/>
    <n v="8"/>
    <x v="0"/>
    <x v="4"/>
    <n v="2597.88"/>
  </r>
  <r>
    <s v="ORD200978"/>
    <d v="2024-06-25T00:00:00"/>
    <s v="C41508"/>
    <s v="Printer"/>
    <n v="4"/>
    <n v="107.49"/>
    <s v="993 Main St"/>
    <x v="4"/>
    <s v="Delivered"/>
    <s v="TRK61047536"/>
    <n v="5"/>
    <x v="2"/>
    <x v="4"/>
    <n v="429.96"/>
  </r>
  <r>
    <s v="ORD200979"/>
    <d v="2023-05-31T00:00:00"/>
    <s v="C75018"/>
    <s v="Monitor"/>
    <n v="3"/>
    <n v="669.06"/>
    <s v="299 Main St"/>
    <x v="4"/>
    <s v="Delivered"/>
    <s v="TRK51794806"/>
    <n v="7"/>
    <x v="0"/>
    <x v="3"/>
    <n v="2007.18"/>
  </r>
  <r>
    <s v="ORD200980"/>
    <d v="2023-10-14T00:00:00"/>
    <s v="C84320"/>
    <s v="Chair"/>
    <n v="3"/>
    <n v="69.650000000000006"/>
    <s v="107 Main St"/>
    <x v="4"/>
    <s v="Delivered"/>
    <s v="TRK81093218"/>
    <n v="7"/>
    <x v="3"/>
    <x v="0"/>
    <n v="208.95"/>
  </r>
  <r>
    <s v="ORD200981"/>
    <d v="2023-11-26T00:00:00"/>
    <s v="C12609"/>
    <s v="Phone"/>
    <n v="4"/>
    <n v="136.83000000000001"/>
    <s v="490 Main St"/>
    <x v="0"/>
    <s v="Pending"/>
    <s v="TRK56379337"/>
    <n v="8"/>
    <x v="0"/>
    <x v="2"/>
    <n v="547.32000000000005"/>
  </r>
  <r>
    <s v="ORD200982"/>
    <d v="2024-09-06T00:00:00"/>
    <s v="C64935"/>
    <s v="Monitor"/>
    <n v="1"/>
    <n v="304.11"/>
    <s v="707 Main St"/>
    <x v="3"/>
    <s v="Shipped"/>
    <s v="TRK42969065"/>
    <n v="2"/>
    <x v="0"/>
    <x v="1"/>
    <n v="304.11"/>
  </r>
  <r>
    <s v="ORD200983"/>
    <d v="2024-11-24T00:00:00"/>
    <s v="C67528"/>
    <s v="Monitor"/>
    <n v="4"/>
    <n v="296.27999999999997"/>
    <s v="110 Main St"/>
    <x v="3"/>
    <s v="Shipped"/>
    <s v="TRK60865210"/>
    <n v="5"/>
    <x v="0"/>
    <x v="2"/>
    <n v="1185.1199999999999"/>
  </r>
  <r>
    <s v="ORD200984"/>
    <d v="2025-02-28T00:00:00"/>
    <s v="C44176"/>
    <s v="Desk"/>
    <n v="1"/>
    <n v="77.64"/>
    <s v="706 Main St"/>
    <x v="2"/>
    <s v="Shipped"/>
    <s v="TRK68704764"/>
    <n v="1"/>
    <x v="1"/>
    <x v="3"/>
    <n v="77.64"/>
  </r>
  <r>
    <s v="ORD200985"/>
    <d v="2024-07-20T00:00:00"/>
    <s v="C92788"/>
    <s v="Desk"/>
    <n v="1"/>
    <n v="243.71"/>
    <s v="948 Main St"/>
    <x v="3"/>
    <s v="Delivered"/>
    <s v="TRK83835361"/>
    <n v="6"/>
    <x v="0"/>
    <x v="4"/>
    <n v="243.71"/>
  </r>
  <r>
    <s v="ORD200986"/>
    <d v="2024-09-07T00:00:00"/>
    <s v="C69213"/>
    <s v="Laptop"/>
    <n v="4"/>
    <n v="644.96"/>
    <s v="533 Main St"/>
    <x v="2"/>
    <s v="Pending"/>
    <s v="TRK67837331"/>
    <n v="7"/>
    <x v="1"/>
    <x v="2"/>
    <n v="2579.84"/>
  </r>
  <r>
    <s v="ORD200987"/>
    <d v="2025-06-05T00:00:00"/>
    <s v="C67387"/>
    <s v="Phone"/>
    <n v="5"/>
    <n v="283.73"/>
    <s v="436 Main St"/>
    <x v="3"/>
    <s v="Pending"/>
    <s v="TRK54120003"/>
    <n v="8"/>
    <x v="1"/>
    <x v="0"/>
    <n v="1418.65"/>
  </r>
  <r>
    <s v="ORD200988"/>
    <d v="2025-02-04T00:00:00"/>
    <s v="C90318"/>
    <s v="Desk"/>
    <n v="2"/>
    <n v="629.55999999999995"/>
    <s v="818 Main St"/>
    <x v="3"/>
    <s v="Cancelled"/>
    <s v="TRK52765043"/>
    <n v="5"/>
    <x v="3"/>
    <x v="0"/>
    <n v="1259.1199999999999"/>
  </r>
  <r>
    <s v="ORD200989"/>
    <d v="2023-03-23T00:00:00"/>
    <s v="C49995"/>
    <s v="Laptop"/>
    <n v="4"/>
    <n v="246.11"/>
    <s v="559 Main St"/>
    <x v="2"/>
    <s v="Pending"/>
    <s v="TRK33212013"/>
    <n v="4"/>
    <x v="0"/>
    <x v="0"/>
    <n v="984.44"/>
  </r>
  <r>
    <s v="ORD200990"/>
    <d v="2023-11-19T00:00:00"/>
    <s v="C52313"/>
    <s v="Phone"/>
    <n v="2"/>
    <n v="418.26"/>
    <s v="913 Main St"/>
    <x v="0"/>
    <s v="Pending"/>
    <s v="TRK67368559"/>
    <n v="2"/>
    <x v="0"/>
    <x v="4"/>
    <n v="836.52"/>
  </r>
  <r>
    <s v="ORD200991"/>
    <d v="2024-05-09T00:00:00"/>
    <s v="C10211"/>
    <s v="Desk"/>
    <n v="5"/>
    <n v="127.18"/>
    <s v="598 Main St"/>
    <x v="0"/>
    <s v="Cancelled"/>
    <s v="TRK68938335"/>
    <n v="10"/>
    <x v="1"/>
    <x v="4"/>
    <n v="635.90000000000009"/>
  </r>
  <r>
    <s v="ORD200992"/>
    <d v="2024-08-27T00:00:00"/>
    <s v="C97907"/>
    <s v="Printer"/>
    <n v="3"/>
    <n v="586.21"/>
    <s v="933 Main St"/>
    <x v="3"/>
    <s v="Pending"/>
    <s v="TRK89637569"/>
    <n v="4"/>
    <x v="3"/>
    <x v="1"/>
    <n v="1758.63"/>
  </r>
  <r>
    <s v="ORD200993"/>
    <d v="2024-04-06T00:00:00"/>
    <s v="C61384"/>
    <s v="Monitor"/>
    <n v="3"/>
    <n v="267.45"/>
    <s v="576 Main St"/>
    <x v="3"/>
    <s v="Delivered"/>
    <s v="TRK33323210"/>
    <n v="5"/>
    <x v="3"/>
    <x v="0"/>
    <n v="802.34999999999991"/>
  </r>
  <r>
    <s v="ORD200994"/>
    <d v="2024-06-27T00:00:00"/>
    <s v="C27613"/>
    <s v="Tablet"/>
    <n v="4"/>
    <n v="615.65"/>
    <s v="971 Main St"/>
    <x v="0"/>
    <s v="Delivered"/>
    <s v="TRK63701318"/>
    <n v="9"/>
    <x v="3"/>
    <x v="4"/>
    <n v="2462.6"/>
  </r>
  <r>
    <s v="ORD200995"/>
    <d v="2023-11-18T00:00:00"/>
    <s v="C99271"/>
    <s v="Monitor"/>
    <n v="2"/>
    <n v="113.29"/>
    <s v="959 Main St"/>
    <x v="4"/>
    <s v="Pending"/>
    <s v="TRK87832736"/>
    <n v="5"/>
    <x v="0"/>
    <x v="3"/>
    <n v="226.58"/>
  </r>
  <r>
    <s v="ORD200996"/>
    <d v="2024-04-28T00:00:00"/>
    <s v="C28648"/>
    <s v="Monitor"/>
    <n v="4"/>
    <n v="473.86"/>
    <s v="101 Main St"/>
    <x v="0"/>
    <s v="Delivered"/>
    <s v="TRK92240846"/>
    <n v="7"/>
    <x v="0"/>
    <x v="3"/>
    <n v="1895.44"/>
  </r>
  <r>
    <s v="ORD200997"/>
    <d v="2023-11-27T00:00:00"/>
    <s v="C26210"/>
    <s v="Laptop"/>
    <n v="3"/>
    <n v="444.75"/>
    <s v="805 Main St"/>
    <x v="4"/>
    <s v="Delivered"/>
    <s v="TRK40616861"/>
    <n v="6"/>
    <x v="0"/>
    <x v="3"/>
    <n v="1334.25"/>
  </r>
  <r>
    <s v="ORD200998"/>
    <d v="2023-05-19T00:00:00"/>
    <s v="C90350"/>
    <s v="Phone"/>
    <n v="2"/>
    <n v="183.67"/>
    <s v="783 Main St"/>
    <x v="0"/>
    <s v="Cancelled"/>
    <s v="TRK22824230"/>
    <n v="6"/>
    <x v="0"/>
    <x v="4"/>
    <n v="367.34"/>
  </r>
  <r>
    <s v="ORD200999"/>
    <d v="2023-12-24T00:00:00"/>
    <s v="C61957"/>
    <s v="Printer"/>
    <n v="1"/>
    <n v="483.38"/>
    <s v="652 Main St"/>
    <x v="4"/>
    <s v="Pending"/>
    <s v="TRK43983841"/>
    <n v="6"/>
    <x v="1"/>
    <x v="4"/>
    <n v="483.38"/>
  </r>
  <r>
    <s v="ORD201000"/>
    <d v="2023-06-21T00:00:00"/>
    <s v="C90132"/>
    <s v="Printer"/>
    <n v="5"/>
    <n v="260.93"/>
    <s v="582 Main St"/>
    <x v="1"/>
    <s v="Delivered"/>
    <s v="TRK52664903"/>
    <n v="9"/>
    <x v="0"/>
    <x v="2"/>
    <n v="1304.6500000000001"/>
  </r>
  <r>
    <s v="ORD201001"/>
    <d v="2023-12-08T00:00:00"/>
    <s v="C31371"/>
    <s v="Printer"/>
    <n v="2"/>
    <n v="253.68"/>
    <s v="122 Main St"/>
    <x v="3"/>
    <s v="Shipped"/>
    <s v="TRK19554327"/>
    <n v="6"/>
    <x v="2"/>
    <x v="1"/>
    <n v="507.36"/>
  </r>
  <r>
    <s v="ORD201002"/>
    <d v="2025-06-19T00:00:00"/>
    <s v="C83911"/>
    <s v="Tablet"/>
    <n v="4"/>
    <n v="699.88"/>
    <s v="944 Main St"/>
    <x v="4"/>
    <s v="Pending"/>
    <s v="TRK33188106"/>
    <n v="5"/>
    <x v="3"/>
    <x v="1"/>
    <n v="2799.52"/>
  </r>
  <r>
    <s v="ORD201003"/>
    <d v="2023-01-11T00:00:00"/>
    <s v="C84700"/>
    <s v="Printer"/>
    <n v="5"/>
    <n v="319.97000000000003"/>
    <s v="582 Main St"/>
    <x v="4"/>
    <s v="Shipped"/>
    <s v="TRK14706969"/>
    <n v="7"/>
    <x v="0"/>
    <x v="4"/>
    <n v="1599.85"/>
  </r>
  <r>
    <s v="ORD201004"/>
    <d v="2025-06-09T00:00:00"/>
    <s v="C87529"/>
    <s v="Chair"/>
    <n v="4"/>
    <n v="246.91"/>
    <s v="296 Main St"/>
    <x v="1"/>
    <s v="Pending"/>
    <s v="TRK15739505"/>
    <n v="8"/>
    <x v="0"/>
    <x v="1"/>
    <n v="987.64"/>
  </r>
  <r>
    <s v="ORD201005"/>
    <d v="2023-03-02T00:00:00"/>
    <s v="C38065"/>
    <s v="Printer"/>
    <n v="3"/>
    <n v="392.85"/>
    <s v="426 Main St"/>
    <x v="2"/>
    <s v="Returned"/>
    <s v="TRK11448295"/>
    <n v="6"/>
    <x v="2"/>
    <x v="4"/>
    <n v="1178.55"/>
  </r>
  <r>
    <s v="ORD201006"/>
    <d v="2024-05-27T00:00:00"/>
    <s v="C27435"/>
    <s v="Tablet"/>
    <n v="5"/>
    <n v="420.98"/>
    <s v="860 Main St"/>
    <x v="4"/>
    <s v="Delivered"/>
    <s v="TRK91458233"/>
    <n v="7"/>
    <x v="0"/>
    <x v="3"/>
    <n v="2104.9"/>
  </r>
  <r>
    <s v="ORD201007"/>
    <d v="2024-03-20T00:00:00"/>
    <s v="C46651"/>
    <s v="Monitor"/>
    <n v="2"/>
    <n v="73.260000000000005"/>
    <s v="839 Main St"/>
    <x v="4"/>
    <s v="Pending"/>
    <s v="TRK60444502"/>
    <n v="4"/>
    <x v="3"/>
    <x v="3"/>
    <n v="146.52000000000001"/>
  </r>
  <r>
    <s v="ORD201008"/>
    <d v="2023-01-13T00:00:00"/>
    <s v="C62557"/>
    <s v="Monitor"/>
    <n v="3"/>
    <n v="410.88"/>
    <s v="257 Main St"/>
    <x v="4"/>
    <s v="Delivered"/>
    <s v="TRK12742366"/>
    <n v="8"/>
    <x v="1"/>
    <x v="0"/>
    <n v="1232.6400000000001"/>
  </r>
  <r>
    <s v="ORD201009"/>
    <d v="2023-09-02T00:00:00"/>
    <s v="C54494"/>
    <s v="Tablet"/>
    <n v="2"/>
    <n v="176.46"/>
    <s v="696 Main St"/>
    <x v="2"/>
    <s v="Delivered"/>
    <s v="TRK95958645"/>
    <n v="2"/>
    <x v="1"/>
    <x v="2"/>
    <n v="352.92"/>
  </r>
  <r>
    <s v="ORD201010"/>
    <d v="2023-03-31T00:00:00"/>
    <s v="C33729"/>
    <s v="Monitor"/>
    <n v="3"/>
    <n v="659.57"/>
    <s v="533 Main St"/>
    <x v="2"/>
    <s v="Cancelled"/>
    <s v="TRK35649833"/>
    <n v="6"/>
    <x v="0"/>
    <x v="2"/>
    <n v="1978.71"/>
  </r>
  <r>
    <s v="ORD201011"/>
    <d v="2024-12-03T00:00:00"/>
    <s v="C47823"/>
    <s v="Phone"/>
    <n v="2"/>
    <n v="478.36"/>
    <s v="654 Main St"/>
    <x v="1"/>
    <s v="Shipped"/>
    <s v="TRK22271097"/>
    <n v="3"/>
    <x v="2"/>
    <x v="4"/>
    <n v="956.72"/>
  </r>
  <r>
    <s v="ORD201012"/>
    <d v="2024-12-03T00:00:00"/>
    <s v="C84570"/>
    <s v="Printer"/>
    <n v="4"/>
    <n v="30.05"/>
    <s v="301 Main St"/>
    <x v="1"/>
    <s v="Returned"/>
    <s v="TRK12551882"/>
    <n v="6"/>
    <x v="2"/>
    <x v="3"/>
    <n v="120.2"/>
  </r>
  <r>
    <s v="ORD201013"/>
    <d v="2025-04-26T00:00:00"/>
    <s v="C91123"/>
    <s v="Laptop"/>
    <n v="4"/>
    <n v="300.56"/>
    <s v="842 Main St"/>
    <x v="4"/>
    <s v="Cancelled"/>
    <s v="TRK49568409"/>
    <n v="9"/>
    <x v="1"/>
    <x v="3"/>
    <n v="1202.24"/>
  </r>
  <r>
    <s v="ORD201014"/>
    <d v="2024-02-04T00:00:00"/>
    <s v="C92548"/>
    <s v="Tablet"/>
    <n v="5"/>
    <n v="226.45"/>
    <s v="160 Main St"/>
    <x v="0"/>
    <s v="Returned"/>
    <s v="TRK21682892"/>
    <n v="6"/>
    <x v="1"/>
    <x v="2"/>
    <n v="1132.25"/>
  </r>
  <r>
    <s v="ORD201015"/>
    <d v="2024-01-26T00:00:00"/>
    <s v="C97454"/>
    <s v="Printer"/>
    <n v="2"/>
    <n v="349.4"/>
    <s v="892 Main St"/>
    <x v="1"/>
    <s v="Shipped"/>
    <s v="TRK73249329"/>
    <n v="2"/>
    <x v="0"/>
    <x v="0"/>
    <n v="698.8"/>
  </r>
  <r>
    <s v="ORD201016"/>
    <d v="2023-12-29T00:00:00"/>
    <s v="C20257"/>
    <s v="Tablet"/>
    <n v="5"/>
    <n v="268.77999999999997"/>
    <s v="669 Main St"/>
    <x v="0"/>
    <s v="Delivered"/>
    <s v="TRK62135578"/>
    <n v="7"/>
    <x v="3"/>
    <x v="2"/>
    <n v="1343.9"/>
  </r>
  <r>
    <s v="ORD201017"/>
    <d v="2024-08-25T00:00:00"/>
    <s v="C51694"/>
    <s v="Chair"/>
    <n v="2"/>
    <n v="680.85"/>
    <s v="953 Main St"/>
    <x v="3"/>
    <s v="Delivered"/>
    <s v="TRK83122112"/>
    <n v="6"/>
    <x v="1"/>
    <x v="1"/>
    <n v="1361.7"/>
  </r>
  <r>
    <s v="ORD201018"/>
    <d v="2023-07-08T00:00:00"/>
    <s v="C77499"/>
    <s v="Laptop"/>
    <n v="3"/>
    <n v="182.48"/>
    <s v="209 Main St"/>
    <x v="4"/>
    <s v="Delivered"/>
    <s v="TRK20703086"/>
    <n v="3"/>
    <x v="2"/>
    <x v="0"/>
    <n v="547.43999999999994"/>
  </r>
  <r>
    <s v="ORD201019"/>
    <d v="2024-04-06T00:00:00"/>
    <s v="C28386"/>
    <s v="Desk"/>
    <n v="1"/>
    <n v="277.08999999999997"/>
    <s v="293 Main St"/>
    <x v="4"/>
    <s v="Returned"/>
    <s v="TRK32954229"/>
    <n v="2"/>
    <x v="0"/>
    <x v="1"/>
    <n v="277.08999999999997"/>
  </r>
  <r>
    <s v="ORD201020"/>
    <d v="2024-04-22T00:00:00"/>
    <s v="C50211"/>
    <s v="Tablet"/>
    <n v="2"/>
    <n v="26.5"/>
    <s v="312 Main St"/>
    <x v="1"/>
    <s v="Delivered"/>
    <s v="TRK47787981"/>
    <n v="3"/>
    <x v="0"/>
    <x v="0"/>
    <n v="53"/>
  </r>
  <r>
    <s v="ORD201021"/>
    <d v="2023-10-23T00:00:00"/>
    <s v="C74519"/>
    <s v="Phone"/>
    <n v="3"/>
    <n v="315.27"/>
    <s v="309 Main St"/>
    <x v="2"/>
    <s v="Cancelled"/>
    <s v="TRK97351945"/>
    <n v="4"/>
    <x v="0"/>
    <x v="2"/>
    <n v="945.81"/>
  </r>
  <r>
    <s v="ORD201022"/>
    <d v="2025-02-24T00:00:00"/>
    <s v="C19071"/>
    <s v="Tablet"/>
    <n v="3"/>
    <n v="450.98"/>
    <s v="396 Main St"/>
    <x v="2"/>
    <s v="Shipped"/>
    <s v="TRK66537096"/>
    <n v="8"/>
    <x v="0"/>
    <x v="1"/>
    <n v="1352.94"/>
  </r>
  <r>
    <s v="ORD201023"/>
    <d v="2024-09-23T00:00:00"/>
    <s v="C65251"/>
    <s v="Laptop"/>
    <n v="5"/>
    <n v="233.67"/>
    <s v="291 Main St"/>
    <x v="4"/>
    <s v="Shipped"/>
    <s v="TRK32059025"/>
    <n v="10"/>
    <x v="2"/>
    <x v="1"/>
    <n v="1168.3499999999999"/>
  </r>
  <r>
    <s v="ORD201024"/>
    <d v="2024-01-29T00:00:00"/>
    <s v="C90612"/>
    <s v="Chair"/>
    <n v="3"/>
    <n v="367.75"/>
    <s v="731 Main St"/>
    <x v="4"/>
    <s v="Pending"/>
    <s v="TRK93022878"/>
    <n v="7"/>
    <x v="1"/>
    <x v="3"/>
    <n v="1103.25"/>
  </r>
  <r>
    <s v="ORD201025"/>
    <d v="2025-05-17T00:00:00"/>
    <s v="C28406"/>
    <s v="Chair"/>
    <n v="1"/>
    <n v="23.53"/>
    <s v="174 Main St"/>
    <x v="3"/>
    <s v="Delivered"/>
    <s v="TRK98841457"/>
    <n v="2"/>
    <x v="1"/>
    <x v="0"/>
    <n v="23.53"/>
  </r>
  <r>
    <s v="ORD201026"/>
    <d v="2023-05-01T00:00:00"/>
    <s v="C55454"/>
    <s v="Monitor"/>
    <n v="1"/>
    <n v="677.48"/>
    <s v="807 Main St"/>
    <x v="1"/>
    <s v="Delivered"/>
    <s v="TRK13281370"/>
    <n v="1"/>
    <x v="3"/>
    <x v="3"/>
    <n v="677.48"/>
  </r>
  <r>
    <s v="ORD201027"/>
    <d v="2024-05-21T00:00:00"/>
    <s v="C93467"/>
    <s v="Laptop"/>
    <n v="4"/>
    <n v="554.83000000000004"/>
    <s v="983 Main St"/>
    <x v="4"/>
    <s v="Returned"/>
    <s v="TRK77377373"/>
    <n v="6"/>
    <x v="2"/>
    <x v="4"/>
    <n v="2219.3200000000002"/>
  </r>
  <r>
    <s v="ORD201028"/>
    <d v="2023-02-17T00:00:00"/>
    <s v="C60042"/>
    <s v="Desk"/>
    <n v="4"/>
    <n v="440.31"/>
    <s v="610 Main St"/>
    <x v="4"/>
    <s v="Cancelled"/>
    <s v="TRK84651559"/>
    <n v="6"/>
    <x v="2"/>
    <x v="0"/>
    <n v="1761.24"/>
  </r>
  <r>
    <s v="ORD201029"/>
    <d v="2025-03-01T00:00:00"/>
    <s v="C44733"/>
    <s v="Desk"/>
    <n v="1"/>
    <n v="87.06"/>
    <s v="851 Main St"/>
    <x v="2"/>
    <s v="Shipped"/>
    <s v="TRK41500198"/>
    <n v="4"/>
    <x v="1"/>
    <x v="2"/>
    <n v="87.06"/>
  </r>
  <r>
    <s v="ORD201030"/>
    <d v="2023-10-02T00:00:00"/>
    <s v="C61773"/>
    <s v="Phone"/>
    <n v="4"/>
    <n v="245.28"/>
    <s v="176 Main St"/>
    <x v="2"/>
    <s v="Delivered"/>
    <s v="TRK12936357"/>
    <n v="6"/>
    <x v="3"/>
    <x v="2"/>
    <n v="981.12"/>
  </r>
  <r>
    <s v="ORD201031"/>
    <d v="2023-02-28T00:00:00"/>
    <s v="C59183"/>
    <s v="Phone"/>
    <n v="5"/>
    <n v="664.51"/>
    <s v="136 Main St"/>
    <x v="0"/>
    <s v="Pending"/>
    <s v="TRK18129706"/>
    <n v="8"/>
    <x v="0"/>
    <x v="2"/>
    <n v="3322.55"/>
  </r>
  <r>
    <s v="ORD201032"/>
    <d v="2023-04-20T00:00:00"/>
    <s v="C26188"/>
    <s v="Chair"/>
    <n v="1"/>
    <n v="618.67999999999995"/>
    <s v="990 Main St"/>
    <x v="1"/>
    <s v="Delivered"/>
    <s v="TRK61634201"/>
    <n v="6"/>
    <x v="3"/>
    <x v="1"/>
    <n v="618.67999999999995"/>
  </r>
  <r>
    <s v="ORD201033"/>
    <d v="2024-12-24T00:00:00"/>
    <s v="C20338"/>
    <s v="Monitor"/>
    <n v="1"/>
    <n v="370.85"/>
    <s v="331 Main St"/>
    <x v="3"/>
    <s v="Delivered"/>
    <s v="TRK30654048"/>
    <n v="2"/>
    <x v="1"/>
    <x v="1"/>
    <n v="370.85"/>
  </r>
  <r>
    <s v="ORD201034"/>
    <d v="2024-06-16T00:00:00"/>
    <s v="C84524"/>
    <s v="Printer"/>
    <n v="4"/>
    <n v="517.98"/>
    <s v="766 Main St"/>
    <x v="4"/>
    <s v="Cancelled"/>
    <s v="TRK76751888"/>
    <n v="8"/>
    <x v="1"/>
    <x v="3"/>
    <n v="2071.92"/>
  </r>
  <r>
    <s v="ORD201035"/>
    <d v="2023-11-12T00:00:00"/>
    <s v="C70315"/>
    <s v="Laptop"/>
    <n v="4"/>
    <n v="506.11"/>
    <s v="911 Main St"/>
    <x v="4"/>
    <s v="Cancelled"/>
    <s v="TRK97732085"/>
    <n v="5"/>
    <x v="2"/>
    <x v="1"/>
    <n v="2024.44"/>
  </r>
  <r>
    <s v="ORD201036"/>
    <d v="2024-05-31T00:00:00"/>
    <s v="C98278"/>
    <s v="Phone"/>
    <n v="3"/>
    <n v="413.83"/>
    <s v="552 Main St"/>
    <x v="3"/>
    <s v="Shipped"/>
    <s v="TRK49684737"/>
    <n v="8"/>
    <x v="0"/>
    <x v="3"/>
    <n v="1241.49"/>
  </r>
  <r>
    <s v="ORD201037"/>
    <d v="2023-12-13T00:00:00"/>
    <s v="C32347"/>
    <s v="Printer"/>
    <n v="1"/>
    <n v="249.81"/>
    <s v="408 Main St"/>
    <x v="4"/>
    <s v="Pending"/>
    <s v="TRK54073964"/>
    <n v="1"/>
    <x v="0"/>
    <x v="4"/>
    <n v="249.81"/>
  </r>
  <r>
    <s v="ORD201038"/>
    <d v="2025-03-15T00:00:00"/>
    <s v="C77961"/>
    <s v="Tablet"/>
    <n v="3"/>
    <n v="362.53"/>
    <s v="422 Main St"/>
    <x v="0"/>
    <s v="Returned"/>
    <s v="TRK28969024"/>
    <n v="5"/>
    <x v="2"/>
    <x v="3"/>
    <n v="1087.5899999999999"/>
  </r>
  <r>
    <s v="ORD201039"/>
    <d v="2025-06-28T00:00:00"/>
    <s v="C49137"/>
    <s v="Desk"/>
    <n v="2"/>
    <n v="299.23"/>
    <s v="177 Main St"/>
    <x v="2"/>
    <s v="Cancelled"/>
    <s v="TRK79362428"/>
    <n v="2"/>
    <x v="3"/>
    <x v="0"/>
    <n v="598.46"/>
  </r>
  <r>
    <s v="ORD201040"/>
    <d v="2023-11-15T00:00:00"/>
    <s v="C13169"/>
    <s v="Tablet"/>
    <n v="1"/>
    <n v="536.07000000000005"/>
    <s v="932 Main St"/>
    <x v="0"/>
    <s v="Delivered"/>
    <s v="TRK66288666"/>
    <n v="5"/>
    <x v="1"/>
    <x v="4"/>
    <n v="536.07000000000005"/>
  </r>
  <r>
    <s v="ORD201041"/>
    <d v="2023-02-11T00:00:00"/>
    <s v="C21167"/>
    <s v="Monitor"/>
    <n v="4"/>
    <n v="558.9"/>
    <s v="948 Main St"/>
    <x v="3"/>
    <s v="Shipped"/>
    <s v="TRK97737564"/>
    <n v="9"/>
    <x v="3"/>
    <x v="4"/>
    <n v="2235.6"/>
  </r>
  <r>
    <s v="ORD201042"/>
    <d v="2024-12-09T00:00:00"/>
    <s v="C59724"/>
    <s v="Tablet"/>
    <n v="2"/>
    <n v="409.75"/>
    <s v="414 Main St"/>
    <x v="0"/>
    <s v="Shipped"/>
    <s v="TRK67878272"/>
    <n v="2"/>
    <x v="3"/>
    <x v="3"/>
    <n v="819.5"/>
  </r>
  <r>
    <s v="ORD201043"/>
    <d v="2025-01-11T00:00:00"/>
    <s v="C43965"/>
    <s v="Tablet"/>
    <n v="2"/>
    <n v="179.96"/>
    <s v="675 Main St"/>
    <x v="3"/>
    <s v="Shipped"/>
    <s v="TRK94346739"/>
    <n v="5"/>
    <x v="2"/>
    <x v="0"/>
    <n v="359.92"/>
  </r>
  <r>
    <s v="ORD201044"/>
    <d v="2025-06-22T00:00:00"/>
    <s v="C63018"/>
    <s v="Printer"/>
    <n v="1"/>
    <n v="38.49"/>
    <s v="215 Main St"/>
    <x v="2"/>
    <s v="Delivered"/>
    <s v="TRK52335337"/>
    <n v="4"/>
    <x v="1"/>
    <x v="1"/>
    <n v="38.49"/>
  </r>
  <r>
    <s v="ORD201045"/>
    <d v="2024-09-20T00:00:00"/>
    <s v="C11893"/>
    <s v="Laptop"/>
    <n v="5"/>
    <n v="316.39999999999998"/>
    <s v="671 Main St"/>
    <x v="3"/>
    <s v="Returned"/>
    <s v="TRK72012758"/>
    <n v="7"/>
    <x v="2"/>
    <x v="2"/>
    <n v="1582"/>
  </r>
  <r>
    <s v="ORD201046"/>
    <d v="2024-10-07T00:00:00"/>
    <s v="C85421"/>
    <s v="Tablet"/>
    <n v="3"/>
    <n v="547.15"/>
    <s v="466 Main St"/>
    <x v="1"/>
    <s v="Shipped"/>
    <s v="TRK16524006"/>
    <n v="4"/>
    <x v="3"/>
    <x v="0"/>
    <n v="1641.45"/>
  </r>
  <r>
    <s v="ORD201047"/>
    <d v="2023-06-23T00:00:00"/>
    <s v="C81726"/>
    <s v="Chair"/>
    <n v="4"/>
    <n v="540.34"/>
    <s v="394 Main St"/>
    <x v="3"/>
    <s v="Shipped"/>
    <s v="TRK69872994"/>
    <n v="6"/>
    <x v="3"/>
    <x v="1"/>
    <n v="2161.36"/>
  </r>
  <r>
    <s v="ORD201048"/>
    <d v="2024-09-09T00:00:00"/>
    <s v="C57601"/>
    <s v="Monitor"/>
    <n v="4"/>
    <n v="73.650000000000006"/>
    <s v="889 Main St"/>
    <x v="0"/>
    <s v="Shipped"/>
    <s v="TRK21153699"/>
    <n v="9"/>
    <x v="2"/>
    <x v="4"/>
    <n v="294.60000000000002"/>
  </r>
  <r>
    <s v="ORD201049"/>
    <d v="2024-07-18T00:00:00"/>
    <s v="C60575"/>
    <s v="Desk"/>
    <n v="5"/>
    <n v="391.86"/>
    <s v="587 Main St"/>
    <x v="2"/>
    <s v="Shipped"/>
    <s v="TRK44468232"/>
    <n v="6"/>
    <x v="2"/>
    <x v="0"/>
    <n v="1959.3"/>
  </r>
  <r>
    <s v="ORD201050"/>
    <d v="2023-08-20T00:00:00"/>
    <s v="C70659"/>
    <s v="Laptop"/>
    <n v="5"/>
    <n v="69.7"/>
    <s v="722 Main St"/>
    <x v="1"/>
    <s v="Returned"/>
    <s v="TRK49663597"/>
    <n v="9"/>
    <x v="2"/>
    <x v="0"/>
    <n v="348.5"/>
  </r>
  <r>
    <s v="ORD201051"/>
    <d v="2025-03-05T00:00:00"/>
    <s v="C35043"/>
    <s v="Monitor"/>
    <n v="5"/>
    <n v="26.43"/>
    <s v="820 Main St"/>
    <x v="3"/>
    <s v="Shipped"/>
    <s v="TRK65097450"/>
    <n v="5"/>
    <x v="1"/>
    <x v="3"/>
    <n v="132.15"/>
  </r>
  <r>
    <s v="ORD201052"/>
    <d v="2023-09-11T00:00:00"/>
    <s v="C12301"/>
    <s v="Tablet"/>
    <n v="1"/>
    <n v="531.74"/>
    <s v="493 Main St"/>
    <x v="1"/>
    <s v="Shipped"/>
    <s v="TRK25145796"/>
    <n v="1"/>
    <x v="3"/>
    <x v="4"/>
    <n v="531.74"/>
  </r>
  <r>
    <s v="ORD201053"/>
    <d v="2024-09-15T00:00:00"/>
    <s v="C32798"/>
    <s v="Phone"/>
    <n v="2"/>
    <n v="496.62"/>
    <s v="679 Main St"/>
    <x v="1"/>
    <s v="Pending"/>
    <s v="TRK37375451"/>
    <n v="2"/>
    <x v="0"/>
    <x v="0"/>
    <n v="993.24"/>
  </r>
  <r>
    <s v="ORD201054"/>
    <d v="2023-11-29T00:00:00"/>
    <s v="C42949"/>
    <s v="Printer"/>
    <n v="1"/>
    <n v="660.66"/>
    <s v="447 Main St"/>
    <x v="0"/>
    <s v="Delivered"/>
    <s v="TRK46415143"/>
    <n v="3"/>
    <x v="3"/>
    <x v="0"/>
    <n v="660.66"/>
  </r>
  <r>
    <s v="ORD201055"/>
    <d v="2023-10-23T00:00:00"/>
    <s v="C10787"/>
    <s v="Monitor"/>
    <n v="4"/>
    <n v="274.82"/>
    <s v="932 Main St"/>
    <x v="0"/>
    <s v="Delivered"/>
    <s v="TRK91512567"/>
    <n v="9"/>
    <x v="3"/>
    <x v="2"/>
    <n v="1099.28"/>
  </r>
  <r>
    <s v="ORD201056"/>
    <d v="2024-06-14T00:00:00"/>
    <s v="C26152"/>
    <s v="Phone"/>
    <n v="2"/>
    <n v="486.35"/>
    <s v="790 Main St"/>
    <x v="1"/>
    <s v="Pending"/>
    <s v="TRK49382455"/>
    <n v="6"/>
    <x v="0"/>
    <x v="1"/>
    <n v="972.7"/>
  </r>
  <r>
    <s v="ORD201057"/>
    <d v="2024-09-24T00:00:00"/>
    <s v="C46210"/>
    <s v="Laptop"/>
    <n v="3"/>
    <n v="428.88"/>
    <s v="535 Main St"/>
    <x v="0"/>
    <s v="Shipped"/>
    <s v="TRK81611937"/>
    <n v="3"/>
    <x v="3"/>
    <x v="3"/>
    <n v="1286.6400000000001"/>
  </r>
  <r>
    <s v="ORD201058"/>
    <d v="2023-09-08T00:00:00"/>
    <s v="C32943"/>
    <s v="Desk"/>
    <n v="2"/>
    <n v="412.14"/>
    <s v="127 Main St"/>
    <x v="2"/>
    <s v="Returned"/>
    <s v="TRK26949106"/>
    <n v="2"/>
    <x v="1"/>
    <x v="0"/>
    <n v="824.28"/>
  </r>
  <r>
    <s v="ORD201059"/>
    <d v="2024-09-22T00:00:00"/>
    <s v="C73629"/>
    <s v="Desk"/>
    <n v="1"/>
    <n v="265.64"/>
    <s v="601 Main St"/>
    <x v="2"/>
    <s v="Returned"/>
    <s v="TRK11492924"/>
    <n v="3"/>
    <x v="3"/>
    <x v="0"/>
    <n v="265.64"/>
  </r>
  <r>
    <s v="ORD201060"/>
    <d v="2024-05-07T00:00:00"/>
    <s v="C38024"/>
    <s v="Tablet"/>
    <n v="2"/>
    <n v="273.43"/>
    <s v="824 Main St"/>
    <x v="4"/>
    <s v="Shipped"/>
    <s v="TRK93370912"/>
    <n v="7"/>
    <x v="3"/>
    <x v="1"/>
    <n v="546.86"/>
  </r>
  <r>
    <s v="ORD201061"/>
    <d v="2025-01-29T00:00:00"/>
    <s v="C25445"/>
    <s v="Laptop"/>
    <n v="5"/>
    <n v="131.69999999999999"/>
    <s v="830 Main St"/>
    <x v="4"/>
    <s v="Shipped"/>
    <s v="TRK12402431"/>
    <n v="8"/>
    <x v="1"/>
    <x v="4"/>
    <n v="658.5"/>
  </r>
  <r>
    <s v="ORD201062"/>
    <d v="2023-08-23T00:00:00"/>
    <s v="C13501"/>
    <s v="Chair"/>
    <n v="5"/>
    <n v="85.52"/>
    <s v="301 Main St"/>
    <x v="3"/>
    <s v="Cancelled"/>
    <s v="TRK65149372"/>
    <n v="5"/>
    <x v="2"/>
    <x v="3"/>
    <n v="427.6"/>
  </r>
  <r>
    <s v="ORD201063"/>
    <d v="2024-06-19T00:00:00"/>
    <s v="C42108"/>
    <s v="Desk"/>
    <n v="2"/>
    <n v="320.68"/>
    <s v="336 Main St"/>
    <x v="2"/>
    <s v="Shipped"/>
    <s v="TRK58407918"/>
    <n v="5"/>
    <x v="1"/>
    <x v="1"/>
    <n v="641.36"/>
  </r>
  <r>
    <s v="ORD201064"/>
    <d v="2025-02-12T00:00:00"/>
    <s v="C32121"/>
    <s v="Laptop"/>
    <n v="4"/>
    <n v="198.81"/>
    <s v="654 Main St"/>
    <x v="4"/>
    <s v="Returned"/>
    <s v="TRK96074264"/>
    <n v="9"/>
    <x v="1"/>
    <x v="1"/>
    <n v="795.24"/>
  </r>
  <r>
    <s v="ORD201065"/>
    <d v="2023-10-30T00:00:00"/>
    <s v="C47778"/>
    <s v="Printer"/>
    <n v="5"/>
    <n v="666.8"/>
    <s v="488 Main St"/>
    <x v="0"/>
    <s v="Delivered"/>
    <s v="TRK79504329"/>
    <n v="7"/>
    <x v="0"/>
    <x v="1"/>
    <n v="3334"/>
  </r>
  <r>
    <s v="ORD201066"/>
    <d v="2023-12-20T00:00:00"/>
    <s v="C10791"/>
    <s v="Desk"/>
    <n v="1"/>
    <n v="355.09"/>
    <s v="674 Main St"/>
    <x v="0"/>
    <s v="Cancelled"/>
    <s v="TRK20321248"/>
    <n v="5"/>
    <x v="0"/>
    <x v="0"/>
    <n v="355.09"/>
  </r>
  <r>
    <s v="ORD201067"/>
    <d v="2023-06-06T00:00:00"/>
    <s v="C78959"/>
    <s v="Phone"/>
    <n v="2"/>
    <n v="316.2"/>
    <s v="384 Main St"/>
    <x v="1"/>
    <s v="Returned"/>
    <s v="TRK37426359"/>
    <n v="2"/>
    <x v="2"/>
    <x v="0"/>
    <n v="632.4"/>
  </r>
  <r>
    <s v="ORD201068"/>
    <d v="2024-08-03T00:00:00"/>
    <s v="C29914"/>
    <s v="Laptop"/>
    <n v="1"/>
    <n v="133.38999999999999"/>
    <s v="469 Main St"/>
    <x v="0"/>
    <s v="Shipped"/>
    <s v="TRK22073506"/>
    <n v="2"/>
    <x v="0"/>
    <x v="1"/>
    <n v="133.38999999999999"/>
  </r>
  <r>
    <s v="ORD201069"/>
    <d v="2023-02-25T00:00:00"/>
    <s v="C70506"/>
    <s v="Monitor"/>
    <n v="1"/>
    <n v="454.23"/>
    <s v="255 Main St"/>
    <x v="3"/>
    <s v="Returned"/>
    <s v="TRK12518384"/>
    <n v="3"/>
    <x v="2"/>
    <x v="3"/>
    <n v="454.23"/>
  </r>
  <r>
    <s v="ORD201070"/>
    <d v="2024-09-06T00:00:00"/>
    <s v="C46873"/>
    <s v="Desk"/>
    <n v="4"/>
    <n v="491.29"/>
    <s v="496 Main St"/>
    <x v="0"/>
    <s v="Pending"/>
    <s v="TRK10926575"/>
    <n v="6"/>
    <x v="2"/>
    <x v="2"/>
    <n v="1965.16"/>
  </r>
  <r>
    <s v="ORD201071"/>
    <d v="2025-06-24T00:00:00"/>
    <s v="C94037"/>
    <s v="Phone"/>
    <n v="2"/>
    <n v="255.14"/>
    <s v="216 Main St"/>
    <x v="4"/>
    <s v="Shipped"/>
    <s v="TRK47536985"/>
    <n v="2"/>
    <x v="2"/>
    <x v="4"/>
    <n v="510.28"/>
  </r>
  <r>
    <s v="ORD201072"/>
    <d v="2023-02-26T00:00:00"/>
    <s v="C88644"/>
    <s v="Monitor"/>
    <n v="1"/>
    <n v="392.61"/>
    <s v="977 Main St"/>
    <x v="3"/>
    <s v="Cancelled"/>
    <s v="TRK14900878"/>
    <n v="4"/>
    <x v="0"/>
    <x v="1"/>
    <n v="392.61"/>
  </r>
  <r>
    <s v="ORD201073"/>
    <d v="2024-10-11T00:00:00"/>
    <s v="C69471"/>
    <s v="Tablet"/>
    <n v="4"/>
    <n v="362.06"/>
    <s v="294 Main St"/>
    <x v="0"/>
    <s v="Returned"/>
    <s v="TRK11107152"/>
    <n v="4"/>
    <x v="2"/>
    <x v="3"/>
    <n v="1448.24"/>
  </r>
  <r>
    <s v="ORD201074"/>
    <d v="2024-05-10T00:00:00"/>
    <s v="C21437"/>
    <s v="Phone"/>
    <n v="1"/>
    <n v="222.73"/>
    <s v="120 Main St"/>
    <x v="1"/>
    <s v="Returned"/>
    <s v="TRK81624772"/>
    <n v="4"/>
    <x v="2"/>
    <x v="4"/>
    <n v="222.73"/>
  </r>
  <r>
    <s v="ORD201075"/>
    <d v="2024-08-31T00:00:00"/>
    <s v="C40949"/>
    <s v="Monitor"/>
    <n v="2"/>
    <n v="552.63"/>
    <s v="609 Main St"/>
    <x v="0"/>
    <s v="Delivered"/>
    <s v="TRK43066749"/>
    <n v="7"/>
    <x v="3"/>
    <x v="0"/>
    <n v="1105.26"/>
  </r>
  <r>
    <s v="ORD201076"/>
    <d v="2023-05-08T00:00:00"/>
    <s v="C99116"/>
    <s v="Laptop"/>
    <n v="4"/>
    <n v="686.61"/>
    <s v="176 Main St"/>
    <x v="4"/>
    <s v="Shipped"/>
    <s v="TRK52711973"/>
    <n v="6"/>
    <x v="2"/>
    <x v="1"/>
    <n v="2746.44"/>
  </r>
  <r>
    <s v="ORD201077"/>
    <d v="2025-03-07T00:00:00"/>
    <s v="C57861"/>
    <s v="Printer"/>
    <n v="3"/>
    <n v="305.16000000000003"/>
    <s v="115 Main St"/>
    <x v="2"/>
    <s v="Cancelled"/>
    <s v="TRK47775217"/>
    <n v="8"/>
    <x v="0"/>
    <x v="1"/>
    <n v="915.48"/>
  </r>
  <r>
    <s v="ORD201078"/>
    <d v="2023-03-18T00:00:00"/>
    <s v="C62627"/>
    <s v="Desk"/>
    <n v="1"/>
    <n v="41.09"/>
    <s v="881 Main St"/>
    <x v="1"/>
    <s v="Returned"/>
    <s v="TRK90060232"/>
    <n v="4"/>
    <x v="3"/>
    <x v="2"/>
    <n v="41.09"/>
  </r>
  <r>
    <s v="ORD201079"/>
    <d v="2024-06-20T00:00:00"/>
    <s v="C89979"/>
    <s v="Phone"/>
    <n v="5"/>
    <n v="634"/>
    <s v="144 Main St"/>
    <x v="3"/>
    <s v="Delivered"/>
    <s v="TRK99055909"/>
    <n v="8"/>
    <x v="2"/>
    <x v="2"/>
    <n v="3170"/>
  </r>
  <r>
    <s v="ORD201080"/>
    <d v="2023-01-20T00:00:00"/>
    <s v="C70613"/>
    <s v="Laptop"/>
    <n v="5"/>
    <n v="464.74"/>
    <s v="438 Main St"/>
    <x v="3"/>
    <s v="Delivered"/>
    <s v="TRK33140293"/>
    <n v="7"/>
    <x v="2"/>
    <x v="1"/>
    <n v="2323.6999999999998"/>
  </r>
  <r>
    <s v="ORD201081"/>
    <d v="2023-04-21T00:00:00"/>
    <s v="C55636"/>
    <s v="Monitor"/>
    <n v="4"/>
    <n v="425.6"/>
    <s v="494 Main St"/>
    <x v="2"/>
    <s v="Pending"/>
    <s v="TRK85897054"/>
    <n v="5"/>
    <x v="1"/>
    <x v="4"/>
    <n v="1702.4"/>
  </r>
  <r>
    <s v="ORD201082"/>
    <d v="2023-10-06T00:00:00"/>
    <s v="C96595"/>
    <s v="Chair"/>
    <n v="3"/>
    <n v="573.22"/>
    <s v="177 Main St"/>
    <x v="0"/>
    <s v="Pending"/>
    <s v="TRK59779174"/>
    <n v="5"/>
    <x v="0"/>
    <x v="2"/>
    <n v="1719.66"/>
  </r>
  <r>
    <s v="ORD201083"/>
    <d v="2024-07-09T00:00:00"/>
    <s v="C68508"/>
    <s v="Chair"/>
    <n v="1"/>
    <n v="123.28"/>
    <s v="895 Main St"/>
    <x v="2"/>
    <s v="Delivered"/>
    <s v="TRK98960285"/>
    <n v="3"/>
    <x v="0"/>
    <x v="2"/>
    <n v="123.28"/>
  </r>
  <r>
    <s v="ORD201084"/>
    <d v="2023-01-08T00:00:00"/>
    <s v="C45175"/>
    <s v="Phone"/>
    <n v="1"/>
    <n v="70.819999999999993"/>
    <s v="128 Main St"/>
    <x v="3"/>
    <s v="Pending"/>
    <s v="TRK41792296"/>
    <n v="1"/>
    <x v="3"/>
    <x v="0"/>
    <n v="70.819999999999993"/>
  </r>
  <r>
    <s v="ORD201085"/>
    <d v="2023-05-21T00:00:00"/>
    <s v="C28049"/>
    <s v="Printer"/>
    <n v="2"/>
    <n v="646.69000000000005"/>
    <s v="404 Main St"/>
    <x v="0"/>
    <s v="Shipped"/>
    <s v="TRK91426444"/>
    <n v="7"/>
    <x v="3"/>
    <x v="0"/>
    <n v="1293.3800000000001"/>
  </r>
  <r>
    <s v="ORD201086"/>
    <d v="2023-12-23T00:00:00"/>
    <s v="C46967"/>
    <s v="Tablet"/>
    <n v="2"/>
    <n v="513.41999999999996"/>
    <s v="401 Main St"/>
    <x v="1"/>
    <s v="Pending"/>
    <s v="TRK91439791"/>
    <n v="5"/>
    <x v="3"/>
    <x v="0"/>
    <n v="1026.8399999999999"/>
  </r>
  <r>
    <s v="ORD201087"/>
    <d v="2025-03-23T00:00:00"/>
    <s v="C84134"/>
    <s v="Laptop"/>
    <n v="4"/>
    <n v="693.07"/>
    <s v="530 Main St"/>
    <x v="1"/>
    <s v="Shipped"/>
    <s v="TRK48659380"/>
    <n v="8"/>
    <x v="0"/>
    <x v="0"/>
    <n v="2772.28"/>
  </r>
  <r>
    <s v="ORD201088"/>
    <d v="2023-11-30T00:00:00"/>
    <s v="C49831"/>
    <s v="Desk"/>
    <n v="3"/>
    <n v="491.43"/>
    <s v="213 Main St"/>
    <x v="3"/>
    <s v="Shipped"/>
    <s v="TRK21232601"/>
    <n v="6"/>
    <x v="3"/>
    <x v="0"/>
    <n v="1474.29"/>
  </r>
  <r>
    <s v="ORD201089"/>
    <d v="2025-03-15T00:00:00"/>
    <s v="C13324"/>
    <s v="Tablet"/>
    <n v="2"/>
    <n v="599.74"/>
    <s v="440 Main St"/>
    <x v="3"/>
    <s v="Shipped"/>
    <s v="TRK66967997"/>
    <n v="2"/>
    <x v="2"/>
    <x v="0"/>
    <n v="1199.48"/>
  </r>
  <r>
    <s v="ORD201090"/>
    <d v="2023-02-25T00:00:00"/>
    <s v="C61225"/>
    <s v="Monitor"/>
    <n v="2"/>
    <n v="650.25"/>
    <s v="996 Main St"/>
    <x v="3"/>
    <s v="Returned"/>
    <s v="TRK37022954"/>
    <n v="6"/>
    <x v="2"/>
    <x v="0"/>
    <n v="1300.5"/>
  </r>
  <r>
    <s v="ORD201091"/>
    <d v="2024-10-08T00:00:00"/>
    <s v="C16400"/>
    <s v="Laptop"/>
    <n v="3"/>
    <n v="209.48"/>
    <s v="123 Main St"/>
    <x v="0"/>
    <s v="Pending"/>
    <s v="TRK57771859"/>
    <n v="4"/>
    <x v="2"/>
    <x v="2"/>
    <n v="628.43999999999994"/>
  </r>
  <r>
    <s v="ORD201092"/>
    <d v="2023-08-21T00:00:00"/>
    <s v="C38642"/>
    <s v="Laptop"/>
    <n v="5"/>
    <n v="209.2"/>
    <s v="930 Main St"/>
    <x v="0"/>
    <s v="Delivered"/>
    <s v="TRK47744396"/>
    <n v="6"/>
    <x v="3"/>
    <x v="2"/>
    <n v="1046"/>
  </r>
  <r>
    <s v="ORD201093"/>
    <d v="2023-06-09T00:00:00"/>
    <s v="C86773"/>
    <s v="Phone"/>
    <n v="4"/>
    <n v="197.36"/>
    <s v="557 Main St"/>
    <x v="3"/>
    <s v="Returned"/>
    <s v="TRK22612240"/>
    <n v="9"/>
    <x v="1"/>
    <x v="0"/>
    <n v="789.44"/>
  </r>
  <r>
    <s v="ORD201094"/>
    <d v="2023-06-28T00:00:00"/>
    <s v="C66093"/>
    <s v="Printer"/>
    <n v="4"/>
    <n v="648.91"/>
    <s v="615 Main St"/>
    <x v="2"/>
    <s v="Shipped"/>
    <s v="TRK54950785"/>
    <n v="6"/>
    <x v="0"/>
    <x v="0"/>
    <n v="2595.64"/>
  </r>
  <r>
    <s v="ORD201095"/>
    <d v="2024-04-23T00:00:00"/>
    <s v="C33051"/>
    <s v="Phone"/>
    <n v="2"/>
    <n v="441.54"/>
    <s v="397 Main St"/>
    <x v="1"/>
    <s v="Delivered"/>
    <s v="TRK92929755"/>
    <n v="2"/>
    <x v="0"/>
    <x v="2"/>
    <n v="883.08"/>
  </r>
  <r>
    <s v="ORD201096"/>
    <d v="2025-05-03T00:00:00"/>
    <s v="C18169"/>
    <s v="Tablet"/>
    <n v="2"/>
    <n v="464.92"/>
    <s v="782 Main St"/>
    <x v="0"/>
    <s v="Returned"/>
    <s v="TRK49482923"/>
    <n v="2"/>
    <x v="2"/>
    <x v="3"/>
    <n v="929.84"/>
  </r>
  <r>
    <s v="ORD201097"/>
    <d v="2024-12-26T00:00:00"/>
    <s v="C81370"/>
    <s v="Monitor"/>
    <n v="5"/>
    <n v="506.45"/>
    <s v="344 Main St"/>
    <x v="3"/>
    <s v="Shipped"/>
    <s v="TRK99682998"/>
    <n v="7"/>
    <x v="3"/>
    <x v="4"/>
    <n v="2532.25"/>
  </r>
  <r>
    <s v="ORD201098"/>
    <d v="2023-06-17T00:00:00"/>
    <s v="C91103"/>
    <s v="Monitor"/>
    <n v="4"/>
    <n v="255.86"/>
    <s v="155 Main St"/>
    <x v="2"/>
    <s v="Delivered"/>
    <s v="TRK91653000"/>
    <n v="7"/>
    <x v="2"/>
    <x v="2"/>
    <n v="1023.44"/>
  </r>
  <r>
    <s v="ORD201099"/>
    <d v="2024-09-19T00:00:00"/>
    <s v="C21953"/>
    <s v="Laptop"/>
    <n v="2"/>
    <n v="125.23"/>
    <s v="272 Main St"/>
    <x v="4"/>
    <s v="Cancelled"/>
    <s v="TRK60774796"/>
    <n v="3"/>
    <x v="1"/>
    <x v="2"/>
    <n v="250.46"/>
  </r>
  <r>
    <s v="ORD201100"/>
    <d v="2023-08-17T00:00:00"/>
    <s v="C15146"/>
    <s v="Laptop"/>
    <n v="5"/>
    <n v="38.11"/>
    <s v="428 Main St"/>
    <x v="0"/>
    <s v="Cancelled"/>
    <s v="TRK79790530"/>
    <n v="6"/>
    <x v="3"/>
    <x v="0"/>
    <n v="190.55"/>
  </r>
  <r>
    <s v="ORD201101"/>
    <d v="2025-06-08T00:00:00"/>
    <s v="C43546"/>
    <s v="Monitor"/>
    <n v="3"/>
    <n v="161.97"/>
    <s v="904 Main St"/>
    <x v="4"/>
    <s v="Pending"/>
    <s v="TRK85871121"/>
    <n v="4"/>
    <x v="0"/>
    <x v="2"/>
    <n v="485.91"/>
  </r>
  <r>
    <s v="ORD201102"/>
    <d v="2024-06-03T00:00:00"/>
    <s v="C98474"/>
    <s v="Chair"/>
    <n v="4"/>
    <n v="347.17"/>
    <s v="997 Main St"/>
    <x v="0"/>
    <s v="Shipped"/>
    <s v="TRK86192984"/>
    <n v="8"/>
    <x v="2"/>
    <x v="0"/>
    <n v="1388.68"/>
  </r>
  <r>
    <s v="ORD201103"/>
    <d v="2023-04-24T00:00:00"/>
    <s v="C90292"/>
    <s v="Laptop"/>
    <n v="4"/>
    <n v="276.32"/>
    <s v="129 Main St"/>
    <x v="1"/>
    <s v="Delivered"/>
    <s v="TRK26270357"/>
    <n v="5"/>
    <x v="2"/>
    <x v="4"/>
    <n v="1105.28"/>
  </r>
  <r>
    <s v="ORD201104"/>
    <d v="2024-07-25T00:00:00"/>
    <s v="C17075"/>
    <s v="Tablet"/>
    <n v="4"/>
    <n v="314.76"/>
    <s v="850 Main St"/>
    <x v="1"/>
    <s v="Shipped"/>
    <s v="TRK63547510"/>
    <n v="8"/>
    <x v="2"/>
    <x v="0"/>
    <n v="1259.04"/>
  </r>
  <r>
    <s v="ORD201105"/>
    <d v="2024-01-08T00:00:00"/>
    <s v="C12487"/>
    <s v="Tablet"/>
    <n v="3"/>
    <n v="475.69"/>
    <s v="884 Main St"/>
    <x v="3"/>
    <s v="Cancelled"/>
    <s v="TRK23324770"/>
    <n v="3"/>
    <x v="1"/>
    <x v="4"/>
    <n v="1427.07"/>
  </r>
  <r>
    <s v="ORD201106"/>
    <d v="2023-03-12T00:00:00"/>
    <s v="C34555"/>
    <s v="Chair"/>
    <n v="1"/>
    <n v="372.8"/>
    <s v="903 Main St"/>
    <x v="4"/>
    <s v="Cancelled"/>
    <s v="TRK72859458"/>
    <n v="6"/>
    <x v="0"/>
    <x v="3"/>
    <n v="372.8"/>
  </r>
  <r>
    <s v="ORD201107"/>
    <d v="2025-06-30T00:00:00"/>
    <s v="C25110"/>
    <s v="Tablet"/>
    <n v="2"/>
    <n v="63.21"/>
    <s v="282 Main St"/>
    <x v="1"/>
    <s v="Cancelled"/>
    <s v="TRK80963328"/>
    <n v="4"/>
    <x v="0"/>
    <x v="4"/>
    <n v="126.42"/>
  </r>
  <r>
    <s v="ORD201108"/>
    <d v="2023-03-20T00:00:00"/>
    <s v="C35136"/>
    <s v="Laptop"/>
    <n v="1"/>
    <n v="634.94000000000005"/>
    <s v="462 Main St"/>
    <x v="1"/>
    <s v="Cancelled"/>
    <s v="TRK49753703"/>
    <n v="5"/>
    <x v="3"/>
    <x v="0"/>
    <n v="634.94000000000005"/>
  </r>
  <r>
    <s v="ORD201109"/>
    <d v="2024-04-08T00:00:00"/>
    <s v="C62277"/>
    <s v="Printer"/>
    <n v="4"/>
    <n v="77.47"/>
    <s v="474 Main St"/>
    <x v="3"/>
    <s v="Returned"/>
    <s v="TRK32026174"/>
    <n v="7"/>
    <x v="0"/>
    <x v="0"/>
    <n v="309.88"/>
  </r>
  <r>
    <s v="ORD201110"/>
    <d v="2024-02-25T00:00:00"/>
    <s v="C12472"/>
    <s v="Chair"/>
    <n v="3"/>
    <n v="84.31"/>
    <s v="912 Main St"/>
    <x v="2"/>
    <s v="Shipped"/>
    <s v="TRK36103184"/>
    <n v="3"/>
    <x v="0"/>
    <x v="2"/>
    <n v="252.93"/>
  </r>
  <r>
    <s v="ORD201111"/>
    <d v="2023-05-06T00:00:00"/>
    <s v="C24047"/>
    <s v="Monitor"/>
    <n v="4"/>
    <n v="234.45"/>
    <s v="362 Main St"/>
    <x v="1"/>
    <s v="Cancelled"/>
    <s v="TRK91338580"/>
    <n v="9"/>
    <x v="1"/>
    <x v="0"/>
    <n v="937.8"/>
  </r>
  <r>
    <s v="ORD201112"/>
    <d v="2023-10-13T00:00:00"/>
    <s v="C76929"/>
    <s v="Desk"/>
    <n v="1"/>
    <n v="356.81"/>
    <s v="563 Main St"/>
    <x v="1"/>
    <s v="Delivered"/>
    <s v="TRK80694400"/>
    <n v="1"/>
    <x v="3"/>
    <x v="0"/>
    <n v="356.81"/>
  </r>
  <r>
    <s v="ORD201113"/>
    <d v="2023-03-19T00:00:00"/>
    <s v="C52914"/>
    <s v="Desk"/>
    <n v="4"/>
    <n v="209.99"/>
    <s v="168 Main St"/>
    <x v="4"/>
    <s v="Delivered"/>
    <s v="TRK80819053"/>
    <n v="8"/>
    <x v="2"/>
    <x v="4"/>
    <n v="839.96"/>
  </r>
  <r>
    <s v="ORD201114"/>
    <d v="2023-03-16T00:00:00"/>
    <s v="C55164"/>
    <s v="Tablet"/>
    <n v="3"/>
    <n v="659.88"/>
    <s v="609 Main St"/>
    <x v="3"/>
    <s v="Cancelled"/>
    <s v="TRK79610967"/>
    <n v="3"/>
    <x v="2"/>
    <x v="4"/>
    <n v="1979.64"/>
  </r>
  <r>
    <s v="ORD201115"/>
    <d v="2025-06-20T00:00:00"/>
    <s v="C70426"/>
    <s v="Laptop"/>
    <n v="2"/>
    <n v="336.32"/>
    <s v="562 Main St"/>
    <x v="1"/>
    <s v="Returned"/>
    <s v="TRK89687816"/>
    <n v="3"/>
    <x v="2"/>
    <x v="4"/>
    <n v="672.64"/>
  </r>
  <r>
    <s v="ORD201116"/>
    <d v="2023-10-14T00:00:00"/>
    <s v="C69149"/>
    <s v="Printer"/>
    <n v="2"/>
    <n v="531.49"/>
    <s v="562 Main St"/>
    <x v="2"/>
    <s v="Delivered"/>
    <s v="TRK61265132"/>
    <n v="7"/>
    <x v="3"/>
    <x v="3"/>
    <n v="1062.98"/>
  </r>
  <r>
    <s v="ORD201117"/>
    <d v="2024-05-20T00:00:00"/>
    <s v="C78684"/>
    <s v="Chair"/>
    <n v="3"/>
    <n v="588.44000000000005"/>
    <s v="858 Main St"/>
    <x v="3"/>
    <s v="Shipped"/>
    <s v="TRK95779073"/>
    <n v="8"/>
    <x v="3"/>
    <x v="4"/>
    <n v="1765.32"/>
  </r>
  <r>
    <s v="ORD201118"/>
    <d v="2024-05-24T00:00:00"/>
    <s v="C58168"/>
    <s v="Phone"/>
    <n v="3"/>
    <n v="251.48"/>
    <s v="359 Main St"/>
    <x v="2"/>
    <s v="Returned"/>
    <s v="TRK99102265"/>
    <n v="4"/>
    <x v="2"/>
    <x v="2"/>
    <n v="754.43999999999994"/>
  </r>
  <r>
    <s v="ORD201119"/>
    <d v="2024-11-24T00:00:00"/>
    <s v="C99024"/>
    <s v="Laptop"/>
    <n v="1"/>
    <n v="684.65"/>
    <s v="250 Main St"/>
    <x v="2"/>
    <s v="Delivered"/>
    <s v="TRK24675988"/>
    <n v="1"/>
    <x v="1"/>
    <x v="2"/>
    <n v="684.65"/>
  </r>
  <r>
    <s v="ORD201120"/>
    <d v="2025-05-10T00:00:00"/>
    <s v="C22919"/>
    <s v="Tablet"/>
    <n v="1"/>
    <n v="195.86"/>
    <s v="267 Main St"/>
    <x v="1"/>
    <s v="Pending"/>
    <s v="TRK82416295"/>
    <n v="3"/>
    <x v="2"/>
    <x v="3"/>
    <n v="195.86"/>
  </r>
  <r>
    <s v="ORD201121"/>
    <d v="2023-05-28T00:00:00"/>
    <s v="C98354"/>
    <s v="Phone"/>
    <n v="3"/>
    <n v="50.34"/>
    <s v="393 Main St"/>
    <x v="3"/>
    <s v="Returned"/>
    <s v="TRK43070888"/>
    <n v="3"/>
    <x v="1"/>
    <x v="0"/>
    <n v="151.02000000000001"/>
  </r>
  <r>
    <s v="ORD201122"/>
    <d v="2023-06-07T00:00:00"/>
    <s v="C38840"/>
    <s v="Monitor"/>
    <n v="5"/>
    <n v="678.19"/>
    <s v="766 Main St"/>
    <x v="1"/>
    <s v="Returned"/>
    <s v="TRK32496970"/>
    <n v="8"/>
    <x v="2"/>
    <x v="3"/>
    <n v="3390.95"/>
  </r>
  <r>
    <s v="ORD201123"/>
    <d v="2023-04-14T00:00:00"/>
    <s v="C68936"/>
    <s v="Tablet"/>
    <n v="3"/>
    <n v="554.25"/>
    <s v="843 Main St"/>
    <x v="0"/>
    <s v="Shipped"/>
    <s v="TRK73163634"/>
    <n v="6"/>
    <x v="3"/>
    <x v="1"/>
    <n v="1662.75"/>
  </r>
  <r>
    <s v="ORD201124"/>
    <d v="2023-05-09T00:00:00"/>
    <s v="C33744"/>
    <s v="Chair"/>
    <n v="4"/>
    <n v="576.87"/>
    <s v="888 Main St"/>
    <x v="3"/>
    <s v="Returned"/>
    <s v="TRK40245983"/>
    <n v="5"/>
    <x v="2"/>
    <x v="0"/>
    <n v="2307.48"/>
  </r>
  <r>
    <s v="ORD201125"/>
    <d v="2023-10-16T00:00:00"/>
    <s v="C23555"/>
    <s v="Desk"/>
    <n v="4"/>
    <n v="408.36"/>
    <s v="156 Main St"/>
    <x v="3"/>
    <s v="Cancelled"/>
    <s v="TRK67210247"/>
    <n v="4"/>
    <x v="1"/>
    <x v="1"/>
    <n v="1633.44"/>
  </r>
  <r>
    <s v="ORD201126"/>
    <d v="2024-07-22T00:00:00"/>
    <s v="C34337"/>
    <s v="Phone"/>
    <n v="5"/>
    <n v="190.11"/>
    <s v="325 Main St"/>
    <x v="4"/>
    <s v="Delivered"/>
    <s v="TRK36195559"/>
    <n v="7"/>
    <x v="0"/>
    <x v="4"/>
    <n v="950.55000000000007"/>
  </r>
  <r>
    <s v="ORD201127"/>
    <d v="2025-03-15T00:00:00"/>
    <s v="C69396"/>
    <s v="Printer"/>
    <n v="3"/>
    <n v="602.75"/>
    <s v="920 Main St"/>
    <x v="2"/>
    <s v="Shipped"/>
    <s v="TRK33155049"/>
    <n v="6"/>
    <x v="0"/>
    <x v="2"/>
    <n v="1808.25"/>
  </r>
  <r>
    <s v="ORD201128"/>
    <d v="2023-08-17T00:00:00"/>
    <s v="C49198"/>
    <s v="Monitor"/>
    <n v="3"/>
    <n v="646.79"/>
    <s v="447 Main St"/>
    <x v="4"/>
    <s v="Cancelled"/>
    <s v="TRK10883354"/>
    <n v="5"/>
    <x v="3"/>
    <x v="4"/>
    <n v="1940.37"/>
  </r>
  <r>
    <s v="ORD201129"/>
    <d v="2023-06-11T00:00:00"/>
    <s v="C43911"/>
    <s v="Chair"/>
    <n v="4"/>
    <n v="418.71"/>
    <s v="239 Main St"/>
    <x v="4"/>
    <s v="Pending"/>
    <s v="TRK37495481"/>
    <n v="8"/>
    <x v="1"/>
    <x v="0"/>
    <n v="1674.84"/>
  </r>
  <r>
    <s v="ORD201130"/>
    <d v="2025-02-16T00:00:00"/>
    <s v="C24347"/>
    <s v="Laptop"/>
    <n v="2"/>
    <n v="323.45"/>
    <s v="533 Main St"/>
    <x v="2"/>
    <s v="Returned"/>
    <s v="TRK27233265"/>
    <n v="5"/>
    <x v="1"/>
    <x v="0"/>
    <n v="646.9"/>
  </r>
  <r>
    <s v="ORD201131"/>
    <d v="2024-07-18T00:00:00"/>
    <s v="C21043"/>
    <s v="Phone"/>
    <n v="1"/>
    <n v="694.5"/>
    <s v="195 Main St"/>
    <x v="2"/>
    <s v="Pending"/>
    <s v="TRK41691086"/>
    <n v="3"/>
    <x v="3"/>
    <x v="3"/>
    <n v="694.5"/>
  </r>
  <r>
    <s v="ORD201132"/>
    <d v="2024-12-02T00:00:00"/>
    <s v="C58858"/>
    <s v="Chair"/>
    <n v="2"/>
    <n v="337.32"/>
    <s v="948 Main St"/>
    <x v="2"/>
    <s v="Cancelled"/>
    <s v="TRK30406357"/>
    <n v="4"/>
    <x v="0"/>
    <x v="2"/>
    <n v="674.64"/>
  </r>
  <r>
    <s v="ORD201133"/>
    <d v="2024-04-09T00:00:00"/>
    <s v="C20670"/>
    <s v="Printer"/>
    <n v="2"/>
    <n v="467.91"/>
    <s v="432 Main St"/>
    <x v="3"/>
    <s v="Returned"/>
    <s v="TRK76731303"/>
    <n v="5"/>
    <x v="3"/>
    <x v="3"/>
    <n v="935.82"/>
  </r>
  <r>
    <s v="ORD201134"/>
    <d v="2024-06-08T00:00:00"/>
    <s v="C90993"/>
    <s v="Desk"/>
    <n v="4"/>
    <n v="38.28"/>
    <s v="950 Main St"/>
    <x v="0"/>
    <s v="Cancelled"/>
    <s v="TRK53964711"/>
    <n v="4"/>
    <x v="3"/>
    <x v="3"/>
    <n v="153.12"/>
  </r>
  <r>
    <s v="ORD201135"/>
    <d v="2023-12-28T00:00:00"/>
    <s v="C11473"/>
    <s v="Printer"/>
    <n v="2"/>
    <n v="73.41"/>
    <s v="562 Main St"/>
    <x v="1"/>
    <s v="Shipped"/>
    <s v="TRK97793275"/>
    <n v="2"/>
    <x v="0"/>
    <x v="4"/>
    <n v="146.82"/>
  </r>
  <r>
    <s v="ORD201136"/>
    <d v="2023-09-24T00:00:00"/>
    <s v="C71899"/>
    <s v="Tablet"/>
    <n v="3"/>
    <n v="668.33"/>
    <s v="799 Main St"/>
    <x v="3"/>
    <s v="Pending"/>
    <s v="TRK34856025"/>
    <n v="4"/>
    <x v="3"/>
    <x v="3"/>
    <n v="2004.99"/>
  </r>
  <r>
    <s v="ORD201137"/>
    <d v="2024-07-29T00:00:00"/>
    <s v="C48577"/>
    <s v="Printer"/>
    <n v="4"/>
    <n v="410.21"/>
    <s v="841 Main St"/>
    <x v="4"/>
    <s v="Pending"/>
    <s v="TRK59911645"/>
    <n v="5"/>
    <x v="3"/>
    <x v="0"/>
    <n v="1640.84"/>
  </r>
  <r>
    <s v="ORD201138"/>
    <d v="2023-12-18T00:00:00"/>
    <s v="C13100"/>
    <s v="Desk"/>
    <n v="4"/>
    <n v="294.41000000000003"/>
    <s v="188 Main St"/>
    <x v="0"/>
    <s v="Pending"/>
    <s v="TRK55565668"/>
    <n v="4"/>
    <x v="2"/>
    <x v="0"/>
    <n v="1177.6400000000001"/>
  </r>
  <r>
    <s v="ORD201139"/>
    <d v="2025-03-01T00:00:00"/>
    <s v="C70659"/>
    <s v="Chair"/>
    <n v="3"/>
    <n v="501.82"/>
    <s v="568 Main St"/>
    <x v="3"/>
    <s v="Cancelled"/>
    <s v="TRK28290825"/>
    <n v="4"/>
    <x v="1"/>
    <x v="2"/>
    <n v="1505.46"/>
  </r>
  <r>
    <s v="ORD201140"/>
    <d v="2024-06-24T00:00:00"/>
    <s v="C49838"/>
    <s v="Printer"/>
    <n v="2"/>
    <n v="552.83000000000004"/>
    <s v="904 Main St"/>
    <x v="2"/>
    <s v="Cancelled"/>
    <s v="TRK38297718"/>
    <n v="3"/>
    <x v="2"/>
    <x v="1"/>
    <n v="1105.6600000000001"/>
  </r>
  <r>
    <s v="ORD201141"/>
    <d v="2025-02-16T00:00:00"/>
    <s v="C11998"/>
    <s v="Chair"/>
    <n v="3"/>
    <n v="498.66"/>
    <s v="382 Main St"/>
    <x v="4"/>
    <s v="Cancelled"/>
    <s v="TRK26707221"/>
    <n v="6"/>
    <x v="2"/>
    <x v="2"/>
    <n v="1495.98"/>
  </r>
  <r>
    <s v="ORD201142"/>
    <d v="2024-08-23T00:00:00"/>
    <s v="C23405"/>
    <s v="Phone"/>
    <n v="4"/>
    <n v="695.1"/>
    <s v="484 Main St"/>
    <x v="0"/>
    <s v="Returned"/>
    <s v="TRK83678708"/>
    <n v="8"/>
    <x v="2"/>
    <x v="2"/>
    <n v="2780.4"/>
  </r>
  <r>
    <s v="ORD201143"/>
    <d v="2023-04-03T00:00:00"/>
    <s v="C41132"/>
    <s v="Chair"/>
    <n v="1"/>
    <n v="381.61"/>
    <s v="114 Main St"/>
    <x v="0"/>
    <s v="Pending"/>
    <s v="TRK51040137"/>
    <n v="5"/>
    <x v="2"/>
    <x v="2"/>
    <n v="381.61"/>
  </r>
  <r>
    <s v="ORD201144"/>
    <d v="2023-02-16T00:00:00"/>
    <s v="C88463"/>
    <s v="Desk"/>
    <n v="5"/>
    <n v="507.94"/>
    <s v="292 Main St"/>
    <x v="1"/>
    <s v="Cancelled"/>
    <s v="TRK88749996"/>
    <n v="9"/>
    <x v="2"/>
    <x v="3"/>
    <n v="2539.6999999999998"/>
  </r>
  <r>
    <s v="ORD201145"/>
    <d v="2025-05-12T00:00:00"/>
    <s v="C28152"/>
    <s v="Desk"/>
    <n v="3"/>
    <n v="571.53"/>
    <s v="821 Main St"/>
    <x v="0"/>
    <s v="Delivered"/>
    <s v="TRK59642814"/>
    <n v="6"/>
    <x v="1"/>
    <x v="3"/>
    <n v="1714.59"/>
  </r>
  <r>
    <s v="ORD201146"/>
    <d v="2024-10-03T00:00:00"/>
    <s v="C36383"/>
    <s v="Monitor"/>
    <n v="5"/>
    <n v="421.44"/>
    <s v="286 Main St"/>
    <x v="4"/>
    <s v="Pending"/>
    <s v="TRK93336357"/>
    <n v="5"/>
    <x v="0"/>
    <x v="0"/>
    <n v="2107.1999999999998"/>
  </r>
  <r>
    <s v="ORD201147"/>
    <d v="2025-01-02T00:00:00"/>
    <s v="C19759"/>
    <s v="Chair"/>
    <n v="2"/>
    <n v="588.29999999999995"/>
    <s v="234 Main St"/>
    <x v="1"/>
    <s v="Pending"/>
    <s v="TRK22515454"/>
    <n v="2"/>
    <x v="1"/>
    <x v="2"/>
    <n v="1176.5999999999999"/>
  </r>
  <r>
    <s v="ORD201148"/>
    <d v="2024-06-25T00:00:00"/>
    <s v="C54886"/>
    <s v="Phone"/>
    <n v="1"/>
    <n v="355.15"/>
    <s v="442 Main St"/>
    <x v="4"/>
    <s v="Returned"/>
    <s v="TRK66241930"/>
    <n v="2"/>
    <x v="0"/>
    <x v="2"/>
    <n v="355.15"/>
  </r>
  <r>
    <s v="ORD201149"/>
    <d v="2024-07-25T00:00:00"/>
    <s v="C27305"/>
    <s v="Chair"/>
    <n v="2"/>
    <n v="695.29"/>
    <s v="957 Main St"/>
    <x v="2"/>
    <s v="Pending"/>
    <s v="TRK28789916"/>
    <n v="6"/>
    <x v="1"/>
    <x v="0"/>
    <n v="1390.58"/>
  </r>
  <r>
    <s v="ORD201150"/>
    <d v="2023-02-20T00:00:00"/>
    <s v="C17921"/>
    <s v="Desk"/>
    <n v="4"/>
    <n v="302.64999999999998"/>
    <s v="119 Main St"/>
    <x v="2"/>
    <s v="Cancelled"/>
    <s v="TRK79291524"/>
    <n v="8"/>
    <x v="0"/>
    <x v="1"/>
    <n v="1210.5999999999999"/>
  </r>
  <r>
    <s v="ORD201151"/>
    <d v="2023-01-29T00:00:00"/>
    <s v="C94381"/>
    <s v="Chair"/>
    <n v="2"/>
    <n v="608.04"/>
    <s v="962 Main St"/>
    <x v="4"/>
    <s v="Cancelled"/>
    <s v="TRK69804304"/>
    <n v="4"/>
    <x v="2"/>
    <x v="4"/>
    <n v="1216.08"/>
  </r>
  <r>
    <s v="ORD201152"/>
    <d v="2023-11-09T00:00:00"/>
    <s v="C25162"/>
    <s v="Tablet"/>
    <n v="2"/>
    <n v="344.18"/>
    <s v="533 Main St"/>
    <x v="2"/>
    <s v="Shipped"/>
    <s v="TRK42183078"/>
    <n v="7"/>
    <x v="2"/>
    <x v="1"/>
    <n v="688.36"/>
  </r>
  <r>
    <s v="ORD201153"/>
    <d v="2024-12-16T00:00:00"/>
    <s v="C98317"/>
    <s v="Monitor"/>
    <n v="4"/>
    <n v="696.71"/>
    <s v="276 Main St"/>
    <x v="0"/>
    <s v="Shipped"/>
    <s v="TRK37172138"/>
    <n v="4"/>
    <x v="2"/>
    <x v="0"/>
    <n v="2786.84"/>
  </r>
  <r>
    <s v="ORD201154"/>
    <d v="2025-06-11T00:00:00"/>
    <s v="C53631"/>
    <s v="Monitor"/>
    <n v="3"/>
    <n v="198.63"/>
    <s v="593 Main St"/>
    <x v="4"/>
    <s v="Pending"/>
    <s v="TRK67589167"/>
    <n v="8"/>
    <x v="0"/>
    <x v="0"/>
    <n v="595.89"/>
  </r>
  <r>
    <s v="ORD201155"/>
    <d v="2023-08-13T00:00:00"/>
    <s v="C41478"/>
    <s v="Printer"/>
    <n v="4"/>
    <n v="534.57000000000005"/>
    <s v="667 Main St"/>
    <x v="2"/>
    <s v="Delivered"/>
    <s v="TRK62068126"/>
    <n v="6"/>
    <x v="1"/>
    <x v="3"/>
    <n v="2138.2800000000002"/>
  </r>
  <r>
    <s v="ORD201156"/>
    <d v="2023-07-19T00:00:00"/>
    <s v="C20512"/>
    <s v="Laptop"/>
    <n v="4"/>
    <n v="690.78"/>
    <s v="980 Main St"/>
    <x v="2"/>
    <s v="Shipped"/>
    <s v="TRK98234737"/>
    <n v="9"/>
    <x v="2"/>
    <x v="1"/>
    <n v="2763.12"/>
  </r>
  <r>
    <s v="ORD201157"/>
    <d v="2024-05-29T00:00:00"/>
    <s v="C25841"/>
    <s v="Monitor"/>
    <n v="3"/>
    <n v="301.55"/>
    <s v="242 Main St"/>
    <x v="0"/>
    <s v="Delivered"/>
    <s v="TRK21451375"/>
    <n v="5"/>
    <x v="1"/>
    <x v="4"/>
    <n v="904.65000000000009"/>
  </r>
  <r>
    <s v="ORD201158"/>
    <d v="2023-04-20T00:00:00"/>
    <s v="C82781"/>
    <s v="Monitor"/>
    <n v="4"/>
    <n v="27.42"/>
    <s v="661 Main St"/>
    <x v="0"/>
    <s v="Pending"/>
    <s v="TRK20605418"/>
    <n v="4"/>
    <x v="0"/>
    <x v="1"/>
    <n v="109.68"/>
  </r>
  <r>
    <s v="ORD201159"/>
    <d v="2024-02-23T00:00:00"/>
    <s v="C66112"/>
    <s v="Desk"/>
    <n v="4"/>
    <n v="466.7"/>
    <s v="874 Main St"/>
    <x v="0"/>
    <s v="Returned"/>
    <s v="TRK60955607"/>
    <n v="8"/>
    <x v="2"/>
    <x v="0"/>
    <n v="1866.8"/>
  </r>
  <r>
    <s v="ORD201160"/>
    <d v="2024-09-04T00:00:00"/>
    <s v="C40466"/>
    <s v="Desk"/>
    <n v="1"/>
    <n v="541.64"/>
    <s v="449 Main St"/>
    <x v="0"/>
    <s v="Shipped"/>
    <s v="TRK70255168"/>
    <n v="5"/>
    <x v="0"/>
    <x v="2"/>
    <n v="541.64"/>
  </r>
  <r>
    <s v="ORD201161"/>
    <d v="2023-10-16T00:00:00"/>
    <s v="C32570"/>
    <s v="Phone"/>
    <n v="1"/>
    <n v="11.39"/>
    <s v="826 Main St"/>
    <x v="4"/>
    <s v="Cancelled"/>
    <s v="TRK35969968"/>
    <n v="6"/>
    <x v="3"/>
    <x v="2"/>
    <n v="11.39"/>
  </r>
  <r>
    <s v="ORD201162"/>
    <d v="2025-03-11T00:00:00"/>
    <s v="C29405"/>
    <s v="Phone"/>
    <n v="2"/>
    <n v="224.37"/>
    <s v="251 Main St"/>
    <x v="0"/>
    <s v="Delivered"/>
    <s v="TRK33125798"/>
    <n v="3"/>
    <x v="3"/>
    <x v="1"/>
    <n v="448.74"/>
  </r>
  <r>
    <s v="ORD201163"/>
    <d v="2024-06-11T00:00:00"/>
    <s v="C30643"/>
    <s v="Laptop"/>
    <n v="3"/>
    <n v="306.29000000000002"/>
    <s v="966 Main St"/>
    <x v="2"/>
    <s v="Returned"/>
    <s v="TRK19477485"/>
    <n v="7"/>
    <x v="3"/>
    <x v="0"/>
    <n v="918.87000000000012"/>
  </r>
  <r>
    <s v="ORD201164"/>
    <d v="2024-01-08T00:00:00"/>
    <s v="C65890"/>
    <s v="Tablet"/>
    <n v="5"/>
    <n v="315.57"/>
    <s v="340 Main St"/>
    <x v="0"/>
    <s v="Delivered"/>
    <s v="TRK64530489"/>
    <n v="6"/>
    <x v="3"/>
    <x v="2"/>
    <n v="1577.85"/>
  </r>
  <r>
    <s v="ORD201165"/>
    <d v="2023-07-14T00:00:00"/>
    <s v="C36992"/>
    <s v="Chair"/>
    <n v="3"/>
    <n v="223.79"/>
    <s v="617 Main St"/>
    <x v="0"/>
    <s v="Pending"/>
    <s v="TRK63460217"/>
    <n v="3"/>
    <x v="2"/>
    <x v="4"/>
    <n v="671.37"/>
  </r>
  <r>
    <s v="ORD201166"/>
    <d v="2023-07-31T00:00:00"/>
    <s v="C95568"/>
    <s v="Chair"/>
    <n v="3"/>
    <n v="324.47000000000003"/>
    <s v="971 Main St"/>
    <x v="4"/>
    <s v="Delivered"/>
    <s v="TRK37075292"/>
    <n v="4"/>
    <x v="3"/>
    <x v="2"/>
    <n v="973.41000000000008"/>
  </r>
  <r>
    <s v="ORD201167"/>
    <d v="2023-10-17T00:00:00"/>
    <s v="C17966"/>
    <s v="Printer"/>
    <n v="2"/>
    <n v="92.87"/>
    <s v="360 Main St"/>
    <x v="2"/>
    <s v="Pending"/>
    <s v="TRK31169396"/>
    <n v="5"/>
    <x v="1"/>
    <x v="3"/>
    <n v="185.74"/>
  </r>
  <r>
    <s v="ORD201168"/>
    <d v="2023-04-08T00:00:00"/>
    <s v="C89559"/>
    <s v="Laptop"/>
    <n v="2"/>
    <n v="331.42"/>
    <s v="297 Main St"/>
    <x v="2"/>
    <s v="Delivered"/>
    <s v="TRK82838108"/>
    <n v="6"/>
    <x v="3"/>
    <x v="4"/>
    <n v="662.84"/>
  </r>
  <r>
    <s v="ORD201169"/>
    <d v="2024-12-23T00:00:00"/>
    <s v="C15849"/>
    <s v="Chair"/>
    <n v="1"/>
    <n v="525.42999999999995"/>
    <s v="643 Main St"/>
    <x v="4"/>
    <s v="Cancelled"/>
    <s v="TRK26794546"/>
    <n v="2"/>
    <x v="0"/>
    <x v="0"/>
    <n v="525.42999999999995"/>
  </r>
  <r>
    <s v="ORD201170"/>
    <d v="2023-08-03T00:00:00"/>
    <s v="C94257"/>
    <s v="Printer"/>
    <n v="2"/>
    <n v="697.19"/>
    <s v="762 Main St"/>
    <x v="4"/>
    <s v="Returned"/>
    <s v="TRK40220743"/>
    <n v="7"/>
    <x v="1"/>
    <x v="2"/>
    <n v="1394.38"/>
  </r>
  <r>
    <s v="ORD201171"/>
    <d v="2023-08-28T00:00:00"/>
    <s v="C39911"/>
    <s v="Phone"/>
    <n v="4"/>
    <n v="518.4"/>
    <s v="699 Main St"/>
    <x v="2"/>
    <s v="Delivered"/>
    <s v="TRK80431998"/>
    <n v="7"/>
    <x v="0"/>
    <x v="3"/>
    <n v="2073.6"/>
  </r>
  <r>
    <s v="ORD201172"/>
    <d v="2025-02-04T00:00:00"/>
    <s v="C28828"/>
    <s v="Desk"/>
    <n v="3"/>
    <n v="131.96"/>
    <s v="745 Main St"/>
    <x v="2"/>
    <s v="Pending"/>
    <s v="TRK32550359"/>
    <n v="8"/>
    <x v="2"/>
    <x v="0"/>
    <n v="395.88"/>
  </r>
  <r>
    <s v="ORD201173"/>
    <d v="2024-10-04T00:00:00"/>
    <s v="C82921"/>
    <s v="Monitor"/>
    <n v="1"/>
    <n v="208.36"/>
    <s v="703 Main St"/>
    <x v="1"/>
    <s v="Shipped"/>
    <s v="TRK31079911"/>
    <n v="4"/>
    <x v="1"/>
    <x v="2"/>
    <n v="208.36"/>
  </r>
  <r>
    <s v="ORD201174"/>
    <d v="2023-11-27T00:00:00"/>
    <s v="C50159"/>
    <s v="Printer"/>
    <n v="3"/>
    <n v="222.34"/>
    <s v="105 Main St"/>
    <x v="2"/>
    <s v="Returned"/>
    <s v="TRK53737452"/>
    <n v="5"/>
    <x v="3"/>
    <x v="2"/>
    <n v="667.02"/>
  </r>
  <r>
    <s v="ORD201175"/>
    <d v="2024-09-10T00:00:00"/>
    <s v="C62512"/>
    <s v="Printer"/>
    <n v="3"/>
    <n v="91.74"/>
    <s v="368 Main St"/>
    <x v="0"/>
    <s v="Returned"/>
    <s v="TRK24139954"/>
    <n v="8"/>
    <x v="1"/>
    <x v="1"/>
    <n v="275.22000000000003"/>
  </r>
  <r>
    <s v="ORD201176"/>
    <d v="2023-08-13T00:00:00"/>
    <s v="C39260"/>
    <s v="Tablet"/>
    <n v="2"/>
    <n v="213.83"/>
    <s v="374 Main St"/>
    <x v="0"/>
    <s v="Cancelled"/>
    <s v="TRK55587314"/>
    <n v="2"/>
    <x v="3"/>
    <x v="2"/>
    <n v="427.66"/>
  </r>
  <r>
    <s v="ORD201177"/>
    <d v="2023-04-27T00:00:00"/>
    <s v="C23917"/>
    <s v="Printer"/>
    <n v="1"/>
    <n v="127.55"/>
    <s v="433 Main St"/>
    <x v="4"/>
    <s v="Shipped"/>
    <s v="TRK44434536"/>
    <n v="3"/>
    <x v="0"/>
    <x v="1"/>
    <n v="127.55"/>
  </r>
  <r>
    <s v="ORD201178"/>
    <d v="2024-09-08T00:00:00"/>
    <s v="C65107"/>
    <s v="Monitor"/>
    <n v="1"/>
    <n v="70.239999999999995"/>
    <s v="456 Main St"/>
    <x v="2"/>
    <s v="Cancelled"/>
    <s v="TRK10261578"/>
    <n v="4"/>
    <x v="1"/>
    <x v="4"/>
    <n v="70.239999999999995"/>
  </r>
  <r>
    <s v="ORD201179"/>
    <d v="2023-01-08T00:00:00"/>
    <s v="C84630"/>
    <s v="Laptop"/>
    <n v="5"/>
    <n v="518.54999999999995"/>
    <s v="907 Main St"/>
    <x v="2"/>
    <s v="Cancelled"/>
    <s v="TRK48054997"/>
    <n v="6"/>
    <x v="3"/>
    <x v="0"/>
    <n v="2592.75"/>
  </r>
  <r>
    <s v="ORD201180"/>
    <d v="2023-10-31T00:00:00"/>
    <s v="C42235"/>
    <s v="Chair"/>
    <n v="4"/>
    <n v="298.36"/>
    <s v="722 Main St"/>
    <x v="0"/>
    <s v="Pending"/>
    <s v="TRK49379882"/>
    <n v="8"/>
    <x v="1"/>
    <x v="4"/>
    <n v="1193.44"/>
  </r>
  <r>
    <s v="ORD201181"/>
    <d v="2023-07-27T00:00:00"/>
    <s v="C70246"/>
    <s v="Desk"/>
    <n v="3"/>
    <n v="158.74"/>
    <s v="293 Main St"/>
    <x v="1"/>
    <s v="Pending"/>
    <s v="TRK45708320"/>
    <n v="7"/>
    <x v="1"/>
    <x v="0"/>
    <n v="476.22"/>
  </r>
  <r>
    <s v="ORD201182"/>
    <d v="2025-06-14T00:00:00"/>
    <s v="C18473"/>
    <s v="Chair"/>
    <n v="2"/>
    <n v="420.29"/>
    <s v="700 Main St"/>
    <x v="3"/>
    <s v="Returned"/>
    <s v="TRK97834202"/>
    <n v="3"/>
    <x v="0"/>
    <x v="4"/>
    <n v="840.58"/>
  </r>
  <r>
    <s v="ORD201183"/>
    <d v="2023-04-05T00:00:00"/>
    <s v="C12607"/>
    <s v="Desk"/>
    <n v="1"/>
    <n v="281.52"/>
    <s v="460 Main St"/>
    <x v="3"/>
    <s v="Shipped"/>
    <s v="TRK83653396"/>
    <n v="6"/>
    <x v="3"/>
    <x v="1"/>
    <n v="281.52"/>
  </r>
  <r>
    <s v="ORD201184"/>
    <d v="2023-09-27T00:00:00"/>
    <s v="C10222"/>
    <s v="Laptop"/>
    <n v="1"/>
    <n v="204.08"/>
    <s v="979 Main St"/>
    <x v="3"/>
    <s v="Returned"/>
    <s v="TRK86297895"/>
    <n v="4"/>
    <x v="2"/>
    <x v="4"/>
    <n v="204.08"/>
  </r>
  <r>
    <s v="ORD201185"/>
    <d v="2024-07-08T00:00:00"/>
    <s v="C77344"/>
    <s v="Chair"/>
    <n v="1"/>
    <n v="343.31"/>
    <s v="777 Main St"/>
    <x v="3"/>
    <s v="Returned"/>
    <s v="TRK20605055"/>
    <n v="6"/>
    <x v="0"/>
    <x v="4"/>
    <n v="343.31"/>
  </r>
  <r>
    <s v="ORD201186"/>
    <d v="2023-11-18T00:00:00"/>
    <s v="C65497"/>
    <s v="Monitor"/>
    <n v="1"/>
    <n v="163.32"/>
    <s v="676 Main St"/>
    <x v="4"/>
    <s v="Shipped"/>
    <s v="TRK83702761"/>
    <n v="6"/>
    <x v="3"/>
    <x v="3"/>
    <n v="163.32"/>
  </r>
  <r>
    <s v="ORD201187"/>
    <d v="2024-03-13T00:00:00"/>
    <s v="C26340"/>
    <s v="Desk"/>
    <n v="2"/>
    <n v="184.6"/>
    <s v="562 Main St"/>
    <x v="3"/>
    <s v="Delivered"/>
    <s v="TRK59962703"/>
    <n v="7"/>
    <x v="3"/>
    <x v="2"/>
    <n v="369.2"/>
  </r>
  <r>
    <s v="ORD201188"/>
    <d v="2023-10-07T00:00:00"/>
    <s v="C75619"/>
    <s v="Printer"/>
    <n v="2"/>
    <n v="371.29"/>
    <s v="924 Main St"/>
    <x v="3"/>
    <s v="Shipped"/>
    <s v="TRK23086941"/>
    <n v="5"/>
    <x v="3"/>
    <x v="3"/>
    <n v="742.58"/>
  </r>
  <r>
    <s v="ORD201189"/>
    <d v="2024-08-17T00:00:00"/>
    <s v="C96136"/>
    <s v="Tablet"/>
    <n v="5"/>
    <n v="389.22"/>
    <s v="149 Main St"/>
    <x v="4"/>
    <s v="Cancelled"/>
    <s v="TRK60856682"/>
    <n v="7"/>
    <x v="2"/>
    <x v="1"/>
    <n v="1946.1"/>
  </r>
  <r>
    <s v="ORD201190"/>
    <d v="2025-06-08T00:00:00"/>
    <s v="C46886"/>
    <s v="Desk"/>
    <n v="3"/>
    <n v="616.39"/>
    <s v="754 Main St"/>
    <x v="2"/>
    <s v="Shipped"/>
    <s v="TRK82791646"/>
    <n v="6"/>
    <x v="1"/>
    <x v="0"/>
    <n v="1849.17"/>
  </r>
  <r>
    <s v="ORD201191"/>
    <d v="2025-02-10T00:00:00"/>
    <s v="C44148"/>
    <s v="Desk"/>
    <n v="4"/>
    <n v="376.43"/>
    <s v="809 Main St"/>
    <x v="3"/>
    <s v="Pending"/>
    <s v="TRK67872709"/>
    <n v="5"/>
    <x v="3"/>
    <x v="0"/>
    <n v="1505.72"/>
  </r>
  <r>
    <s v="ORD201192"/>
    <d v="2024-02-28T00:00:00"/>
    <s v="C72007"/>
    <s v="Chair"/>
    <n v="3"/>
    <n v="432.85"/>
    <s v="999 Main St"/>
    <x v="1"/>
    <s v="Pending"/>
    <s v="TRK16240916"/>
    <n v="4"/>
    <x v="2"/>
    <x v="0"/>
    <n v="1298.55"/>
  </r>
  <r>
    <s v="ORD201193"/>
    <d v="2025-06-16T00:00:00"/>
    <s v="C45104"/>
    <s v="Tablet"/>
    <n v="1"/>
    <n v="687.89"/>
    <s v="348 Main St"/>
    <x v="4"/>
    <s v="Returned"/>
    <s v="TRK38559816"/>
    <n v="1"/>
    <x v="1"/>
    <x v="2"/>
    <n v="687.89"/>
  </r>
  <r>
    <s v="ORD201194"/>
    <d v="2023-11-19T00:00:00"/>
    <s v="C29885"/>
    <s v="Printer"/>
    <n v="3"/>
    <n v="189.44"/>
    <s v="725 Main St"/>
    <x v="4"/>
    <s v="Pending"/>
    <s v="TRK62067865"/>
    <n v="4"/>
    <x v="1"/>
    <x v="2"/>
    <n v="568.31999999999994"/>
  </r>
  <r>
    <s v="ORD201195"/>
    <d v="2024-06-20T00:00:00"/>
    <s v="C21126"/>
    <s v="Desk"/>
    <n v="1"/>
    <n v="107.04"/>
    <s v="392 Main St"/>
    <x v="2"/>
    <s v="Cancelled"/>
    <s v="TRK38009181"/>
    <n v="6"/>
    <x v="1"/>
    <x v="4"/>
    <n v="107.04"/>
  </r>
  <r>
    <s v="ORD201196"/>
    <d v="2024-03-04T00:00:00"/>
    <s v="C20095"/>
    <s v="Monitor"/>
    <n v="2"/>
    <n v="662.53"/>
    <s v="778 Main St"/>
    <x v="1"/>
    <s v="Cancelled"/>
    <s v="TRK69207593"/>
    <n v="5"/>
    <x v="2"/>
    <x v="3"/>
    <n v="1325.06"/>
  </r>
  <r>
    <s v="ORD201197"/>
    <d v="2023-07-13T00:00:00"/>
    <s v="C79674"/>
    <s v="Tablet"/>
    <n v="2"/>
    <n v="436.84"/>
    <s v="275 Main St"/>
    <x v="1"/>
    <s v="Delivered"/>
    <s v="TRK88039356"/>
    <n v="2"/>
    <x v="1"/>
    <x v="0"/>
    <n v="873.68"/>
  </r>
  <r>
    <s v="ORD201198"/>
    <d v="2024-08-22T00:00:00"/>
    <s v="C64753"/>
    <s v="Chair"/>
    <n v="4"/>
    <n v="262.52"/>
    <s v="509 Main St"/>
    <x v="0"/>
    <s v="Cancelled"/>
    <s v="TRK71683331"/>
    <n v="4"/>
    <x v="3"/>
    <x v="0"/>
    <n v="1050.08"/>
  </r>
  <r>
    <s v="ORD201199"/>
    <d v="2023-06-11T00:00:00"/>
    <s v="C57502"/>
    <s v="Tablet"/>
    <n v="4"/>
    <n v="560.58000000000004"/>
    <s v="201 Main St"/>
    <x v="3"/>
    <s v="Returned"/>
    <s v="TRK51116746"/>
    <n v="6"/>
    <x v="0"/>
    <x v="1"/>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4D6BEB-C4E8-4214-97CC-8D2CC95AB338}"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ferral Source">
  <location ref="A91:B96" firstHeaderRow="1" firstDataRow="1" firstDataCol="1"/>
  <pivotFields count="14">
    <pivotField dataField="1" showAll="0"/>
    <pivotField numFmtId="164" showAll="0"/>
    <pivotField showAll="0"/>
    <pivotField showAll="0"/>
    <pivotField showAll="0"/>
    <pivotField showAll="0"/>
    <pivotField showAll="0"/>
    <pivotField showAll="0" sortType="a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Row" showAll="0">
      <items count="5">
        <item x="1"/>
        <item x="0"/>
        <item x="3"/>
        <item x="2"/>
        <item t="default"/>
      </items>
    </pivotField>
    <pivotField showAll="0">
      <items count="6">
        <item x="2"/>
        <item x="3"/>
        <item x="4"/>
        <item x="0"/>
        <item x="1"/>
        <item t="default"/>
      </items>
    </pivotField>
    <pivotField showAll="0"/>
  </pivotFields>
  <rowFields count="1">
    <field x="11"/>
  </rowFields>
  <rowItems count="5">
    <i>
      <x/>
    </i>
    <i>
      <x v="1"/>
    </i>
    <i>
      <x v="2"/>
    </i>
    <i>
      <x v="3"/>
    </i>
    <i t="grand">
      <x/>
    </i>
  </rowItems>
  <colItems count="1">
    <i/>
  </colItems>
  <dataFields count="1">
    <dataField name="Count " fld="0" subtotal="count" baseField="7" baseItem="0"/>
  </dataFields>
  <formats count="6">
    <format dxfId="12">
      <pivotArea type="all" dataOnly="0" outline="0" fieldPosition="0"/>
    </format>
    <format dxfId="13">
      <pivotArea outline="0" collapsedLevelsAreSubtotals="1" fieldPosition="0"/>
    </format>
    <format dxfId="14">
      <pivotArea field="7" type="button" dataOnly="0" labelOnly="1" outline="0"/>
    </format>
    <format dxfId="15">
      <pivotArea dataOnly="0" labelOnly="1" grandRow="1" outline="0" fieldPosition="0"/>
    </format>
    <format dxfId="16">
      <pivotArea dataOnly="0" labelOnly="1" outline="0" axis="axisValues" fieldPosition="0"/>
    </format>
    <format dxfId="17">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5637A3-91BC-4937-AF6A-3C9219B008F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Payment Method">
  <location ref="A1:B7" firstHeaderRow="1" firstDataRow="1" firstDataCol="1"/>
  <pivotFields count="11">
    <pivotField dataField="1" showAll="0"/>
    <pivotField numFmtId="164" showAll="0"/>
    <pivotField showAll="0"/>
    <pivotField showAll="0"/>
    <pivotField showAll="0"/>
    <pivotField showAll="0"/>
    <pivotField showAll="0"/>
    <pivotField axis="axisRow" showAll="0" sortType="a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7"/>
  </rowFields>
  <rowItems count="6">
    <i>
      <x v="3"/>
    </i>
    <i>
      <x v="2"/>
    </i>
    <i>
      <x v="1"/>
    </i>
    <i>
      <x/>
    </i>
    <i>
      <x v="4"/>
    </i>
    <i t="grand">
      <x/>
    </i>
  </rowItems>
  <colItems count="1">
    <i/>
  </colItems>
  <dataFields count="1">
    <dataField name="Count " fld="0" subtotal="count" baseField="7" baseItem="0"/>
  </dataFields>
  <formats count="7">
    <format dxfId="28">
      <pivotArea type="all" dataOnly="0" outline="0" fieldPosition="0"/>
    </format>
    <format dxfId="27">
      <pivotArea outline="0" collapsedLevelsAreSubtotals="1" fieldPosition="0"/>
    </format>
    <format dxfId="26">
      <pivotArea field="7" type="button" dataOnly="0" labelOnly="1" outline="0" axis="axisRow" fieldPosition="0"/>
    </format>
    <format dxfId="25">
      <pivotArea dataOnly="0" labelOnly="1" fieldPosition="0">
        <references count="1">
          <reference field="7" count="0"/>
        </references>
      </pivotArea>
    </format>
    <format dxfId="24">
      <pivotArea dataOnly="0" labelOnly="1" grandRow="1" outline="0" fieldPosition="0"/>
    </format>
    <format dxfId="23">
      <pivotArea dataOnly="0" labelOnly="1" outline="0" axis="axisValues" fieldPosition="0"/>
    </format>
    <format dxfId="2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B494B2-2DE6-433B-8B89-2CDB889C77BA}"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eferral Source">
  <location ref="A68:B74" firstHeaderRow="1" firstDataRow="1" firstDataCol="1"/>
  <pivotFields count="14">
    <pivotField dataField="1" showAll="0"/>
    <pivotField numFmtId="164" showAll="0"/>
    <pivotField showAll="0"/>
    <pivotField showAll="0"/>
    <pivotField showAll="0"/>
    <pivotField showAll="0"/>
    <pivotField showAll="0"/>
    <pivotField showAll="0" sortType="a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Row" showAll="0">
      <items count="6">
        <item x="2"/>
        <item x="3"/>
        <item x="4"/>
        <item x="0"/>
        <item x="1"/>
        <item t="default"/>
      </items>
    </pivotField>
    <pivotField showAll="0"/>
  </pivotFields>
  <rowFields count="1">
    <field x="12"/>
  </rowFields>
  <rowItems count="6">
    <i>
      <x/>
    </i>
    <i>
      <x v="1"/>
    </i>
    <i>
      <x v="2"/>
    </i>
    <i>
      <x v="3"/>
    </i>
    <i>
      <x v="4"/>
    </i>
    <i t="grand">
      <x/>
    </i>
  </rowItems>
  <colItems count="1">
    <i/>
  </colItems>
  <dataFields count="1">
    <dataField name="Count " fld="0" subtotal="count" baseField="7" baseItem="0"/>
  </dataFields>
  <formats count="6">
    <format dxfId="34">
      <pivotArea type="all" dataOnly="0" outline="0" fieldPosition="0"/>
    </format>
    <format dxfId="33">
      <pivotArea outline="0" collapsedLevelsAreSubtotals="1" fieldPosition="0"/>
    </format>
    <format dxfId="32">
      <pivotArea field="7" type="button" dataOnly="0" labelOnly="1" outline="0"/>
    </format>
    <format dxfId="31">
      <pivotArea dataOnly="0" labelOnly="1" grandRow="1" outline="0" fieldPosition="0"/>
    </format>
    <format dxfId="30">
      <pivotArea dataOnly="0" labelOnly="1" outline="0" axis="axisValues" fieldPosition="0"/>
    </format>
    <format dxfId="29">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FA5034-4860-4BCD-B8FB-96AF12DBC21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Order Status">
  <location ref="A47:B53" firstHeaderRow="1" firstDataRow="1" firstDataCol="1"/>
  <pivotFields count="11">
    <pivotField dataField="1" showAll="0"/>
    <pivotField numFmtId="164" showAll="0"/>
    <pivotField showAll="0"/>
    <pivotField showAll="0"/>
    <pivotField showAll="0"/>
    <pivotField showAll="0"/>
    <pivotField showAll="0"/>
    <pivotField showAll="0" sortType="ascending">
      <items count="6">
        <item x="4"/>
        <item x="2"/>
        <item x="0"/>
        <item x="3"/>
        <item x="1"/>
        <item t="default"/>
      </items>
      <autoSortScope>
        <pivotArea dataOnly="0" outline="0" fieldPosition="0">
          <references count="1">
            <reference field="4294967294" count="1" selected="0">
              <x v="0"/>
            </reference>
          </references>
        </pivotArea>
      </autoSortScope>
    </pivotField>
    <pivotField axis="axisRow" showAll="0">
      <items count="6">
        <item x="1"/>
        <item x="3"/>
        <item x="4"/>
        <item x="2"/>
        <item x="0"/>
        <item t="default"/>
      </items>
    </pivotField>
    <pivotField showAll="0"/>
    <pivotField showAll="0"/>
  </pivotFields>
  <rowFields count="1">
    <field x="8"/>
  </rowFields>
  <rowItems count="6">
    <i>
      <x/>
    </i>
    <i>
      <x v="1"/>
    </i>
    <i>
      <x v="2"/>
    </i>
    <i>
      <x v="3"/>
    </i>
    <i>
      <x v="4"/>
    </i>
    <i t="grand">
      <x/>
    </i>
  </rowItems>
  <colItems count="1">
    <i/>
  </colItems>
  <dataFields count="1">
    <dataField name="Count " fld="0" subtotal="count" baseField="7" baseItem="0"/>
  </dataFields>
  <formats count="6">
    <format dxfId="40">
      <pivotArea type="all" dataOnly="0" outline="0" fieldPosition="0"/>
    </format>
    <format dxfId="39">
      <pivotArea outline="0" collapsedLevelsAreSubtotals="1" fieldPosition="0"/>
    </format>
    <format dxfId="38">
      <pivotArea field="7" type="button" dataOnly="0" labelOnly="1" outline="0"/>
    </format>
    <format dxfId="37">
      <pivotArea dataOnly="0" labelOnly="1" grandRow="1" outline="0" fieldPosition="0"/>
    </format>
    <format dxfId="36">
      <pivotArea dataOnly="0" labelOnly="1" outline="0" axis="axisValues" fieldPosition="0"/>
    </format>
    <format dxfId="35">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BB5562-E9C7-4138-ABB5-1DBF6A7A497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Product">
  <location ref="A24:B32" firstHeaderRow="1" firstDataRow="1" firstDataCol="1"/>
  <pivotFields count="11">
    <pivotField dataField="1" showAll="0"/>
    <pivotField numFmtId="164" showAll="0"/>
    <pivotField showAll="0"/>
    <pivotField axis="axisRow" showAll="0">
      <items count="8">
        <item x="3"/>
        <item x="6"/>
        <item x="5"/>
        <item x="0"/>
        <item x="1"/>
        <item x="4"/>
        <item x="2"/>
        <item t="default"/>
      </items>
    </pivotField>
    <pivotField showAll="0"/>
    <pivotField showAll="0"/>
    <pivotField showAll="0"/>
    <pivotField showAll="0" sortType="a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3"/>
  </rowFields>
  <rowItems count="8">
    <i>
      <x/>
    </i>
    <i>
      <x v="1"/>
    </i>
    <i>
      <x v="2"/>
    </i>
    <i>
      <x v="3"/>
    </i>
    <i>
      <x v="4"/>
    </i>
    <i>
      <x v="5"/>
    </i>
    <i>
      <x v="6"/>
    </i>
    <i t="grand">
      <x/>
    </i>
  </rowItems>
  <colItems count="1">
    <i/>
  </colItems>
  <dataFields count="1">
    <dataField name="Count " fld="0" subtotal="count" baseField="7" baseItem="0"/>
  </dataFields>
  <formats count="6">
    <format dxfId="46">
      <pivotArea type="all" dataOnly="0" outline="0" fieldPosition="0"/>
    </format>
    <format dxfId="45">
      <pivotArea outline="0" collapsedLevelsAreSubtotals="1" fieldPosition="0"/>
    </format>
    <format dxfId="44">
      <pivotArea field="7" type="button" dataOnly="0" labelOnly="1" outline="0"/>
    </format>
    <format dxfId="43">
      <pivotArea dataOnly="0" labelOnly="1" grandRow="1" outline="0" fieldPosition="0"/>
    </format>
    <format dxfId="42">
      <pivotArea dataOnly="0" labelOnly="1" outline="0" axis="axisValues" fieldPosition="0"/>
    </format>
    <format dxfId="4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F93A30-AFA9-4A46-91FB-9BFF72691AB6}" name="Table1" displayName="Table1" ref="A1:XFD1048576" totalsRowShown="0">
  <autoFilter ref="A1:XFD1048576" xr:uid="{2EF93A30-AFA9-4A46-91FB-9BFF72691AB6}"/>
  <tableColumns count="16384">
    <tableColumn id="1" xr3:uid="{0E487586-5D93-4A2E-A3F6-EB0CF6324B91}" name="OrderID"/>
    <tableColumn id="2" xr3:uid="{189E0384-ECF3-4319-9712-FA8EFAC01EF8}" name="Date"/>
    <tableColumn id="3" xr3:uid="{7562CF20-5F2E-4046-B02A-74B732401C81}" name="CustomerID"/>
    <tableColumn id="4" xr3:uid="{4F447CE5-9A1D-43FF-8130-66EABFCFF455}" name="Product"/>
    <tableColumn id="5" xr3:uid="{08C93F93-8875-4002-B75A-6F9568607A66}" name="Quantity"/>
    <tableColumn id="6" xr3:uid="{D081805D-15FD-43CD-ADF0-7A869FAB59DB}" name="UnitPrice"/>
    <tableColumn id="7" xr3:uid="{8AE76F12-2185-4597-9F13-1A4BAFDA3B76}" name="ShippingAddress"/>
    <tableColumn id="8" xr3:uid="{916E6A8F-BAAC-4A2E-A3FD-F790310B52D4}" name="PaymentMethod"/>
    <tableColumn id="9" xr3:uid="{FC2335AB-59D0-4B80-92D7-54D3A16488ED}" name="OrderStatus"/>
    <tableColumn id="10" xr3:uid="{091378DF-E62E-48B5-95CC-2635A61981DC}" name="TrackingNumber"/>
    <tableColumn id="11" xr3:uid="{5DAE1A71-5FCD-4031-AC01-0207187B1373}" name="ItemsInCart"/>
    <tableColumn id="12" xr3:uid="{3C60392C-B3AD-4218-89B2-807366CAA20A}" name="CouponCode"/>
    <tableColumn id="13" xr3:uid="{E92AB081-0843-42C6-8C7C-EB8EEF7E850B}" name="ReferralSource"/>
    <tableColumn id="14" xr3:uid="{C9E87684-4965-4EA8-B55F-0CCBB0E43FA1}" name="TotalPrice"/>
    <tableColumn id="15" xr3:uid="{7308F76F-3B3D-402F-882E-7CBBF89CB3BF}" name="Column1"/>
    <tableColumn id="16" xr3:uid="{53FE42FE-403A-4BDF-91D6-BD20D6CA97CE}" name="Column2"/>
    <tableColumn id="17" xr3:uid="{D8C52E48-2307-488E-AA41-BE76060356E1}" name="Column3"/>
    <tableColumn id="18" xr3:uid="{9DD0D840-562E-4063-8B7D-8722847714FE}" name="Column4"/>
    <tableColumn id="19" xr3:uid="{17B9CB5E-DDA8-45D6-A28E-FB55BC166783}" name="Column5"/>
    <tableColumn id="20" xr3:uid="{D885CA23-B339-4584-BC50-85947EFEE787}" name="Column6"/>
    <tableColumn id="21" xr3:uid="{C0C16EB7-1FE8-45E7-B333-7EEF4B4E7FA7}" name="Column7"/>
    <tableColumn id="22" xr3:uid="{A6749A4E-B8DD-49B1-931C-B5DC76F49A32}" name="Column8"/>
    <tableColumn id="23" xr3:uid="{FE0BFAF4-D2BB-4BA2-922D-37A53CC5D62F}" name="Column9"/>
    <tableColumn id="24" xr3:uid="{D8B7BF87-2EE4-4116-AE39-3F53EC14A16B}" name="Column10"/>
    <tableColumn id="25" xr3:uid="{44089995-1B85-40BE-BACD-7AC38917CCB0}" name="Column11"/>
    <tableColumn id="26" xr3:uid="{9E66E99F-E1C0-44FD-94AC-806AE3801204}" name="Column12"/>
    <tableColumn id="27" xr3:uid="{110407B1-44CC-4A72-B17F-F2AEB50595EE}" name="Column13"/>
    <tableColumn id="28" xr3:uid="{8C0B4DF0-2F00-42C9-BD47-6FC58604B54D}" name="Column14"/>
    <tableColumn id="29" xr3:uid="{8C279B42-F9BF-4183-A436-88C21A9FD72E}" name="Column15"/>
    <tableColumn id="30" xr3:uid="{6917C06A-FBF9-4682-A2B5-FAAADAC1400A}" name="Column16"/>
    <tableColumn id="31" xr3:uid="{335323DE-881B-4E85-B81F-E19EA5264329}" name="Column17"/>
    <tableColumn id="32" xr3:uid="{C0857591-063E-4A17-B6AB-69104395A3D0}" name="Column18"/>
    <tableColumn id="33" xr3:uid="{F3288F9C-07A7-4B16-884A-237767771ECF}" name="Column19"/>
    <tableColumn id="34" xr3:uid="{11AE142C-BF03-42AE-A60C-3C2EEB7C99B4}" name="Column20"/>
    <tableColumn id="35" xr3:uid="{2B841BA0-E790-4FCB-BCC8-FC10E5C9314B}" name="Column21"/>
    <tableColumn id="36" xr3:uid="{C0CDD688-BC8F-453F-933B-152C7604821E}" name="Column22"/>
    <tableColumn id="37" xr3:uid="{2B2E7580-634C-41F2-AE96-3590CB05E713}" name="Column23"/>
    <tableColumn id="38" xr3:uid="{8085F0FC-F28D-47DE-800D-071639C7DD14}" name="Column24"/>
    <tableColumn id="39" xr3:uid="{40A1DBA5-934E-441D-8CB7-527FA373758F}" name="Column25"/>
    <tableColumn id="40" xr3:uid="{24A74CA7-322E-45C4-8977-B8C10F1A1975}" name="Column26"/>
    <tableColumn id="41" xr3:uid="{80EABB94-62E2-4140-B964-87CAE8D96FE0}" name="Column27"/>
    <tableColumn id="42" xr3:uid="{CAB66CB6-B184-4A1C-835F-9C6AFDDCF21A}" name="Column28"/>
    <tableColumn id="43" xr3:uid="{4CF5C9F7-2A48-4E7C-AB6D-EE4C4B5FAD2F}" name="Column29"/>
    <tableColumn id="44" xr3:uid="{D61D0FDD-44D9-4250-9437-E9565EBBE922}" name="Column30"/>
    <tableColumn id="45" xr3:uid="{D1E94A70-95C1-484E-A40A-1FF6DA665A15}" name="Column31"/>
    <tableColumn id="46" xr3:uid="{73F0BC63-E9F9-41DA-9BE2-F981A68C0B29}" name="Column32"/>
    <tableColumn id="47" xr3:uid="{5F51AFCD-DA20-4DC6-B93B-2A6DDDBC0D3F}" name="Column33"/>
    <tableColumn id="48" xr3:uid="{08DCC618-D971-4312-A2C4-BDB14CA14333}" name="Column34"/>
    <tableColumn id="49" xr3:uid="{5F63B2AA-DDAB-4F4C-BC7A-65328695072A}" name="Column35"/>
    <tableColumn id="50" xr3:uid="{0F72F8B3-77AE-4A59-9FD5-D1FA69F46887}" name="Column36"/>
    <tableColumn id="51" xr3:uid="{9DB69440-29CC-40F4-8D52-60CAEA4FF338}" name="Column37"/>
    <tableColumn id="52" xr3:uid="{48B04F6B-7C30-42E4-BC5E-6F1513B62537}" name="Column38"/>
    <tableColumn id="53" xr3:uid="{8EF01DBE-C13D-4520-A306-B2020C5688EA}" name="Column39"/>
    <tableColumn id="54" xr3:uid="{31D2AD38-E58F-411B-8C81-816B76706412}" name="Column40"/>
    <tableColumn id="55" xr3:uid="{E748E510-F366-49A9-955C-7F9C96AC2616}" name="Column41"/>
    <tableColumn id="56" xr3:uid="{7D8E7390-58B3-4991-8FDB-D2FA3BA3EE34}" name="Column42"/>
    <tableColumn id="57" xr3:uid="{DD1A5E64-8772-47E1-8EA1-95FBCDBDC0A1}" name="Column43"/>
    <tableColumn id="58" xr3:uid="{2305ACC8-CF2D-4BDC-AA9B-53F83282E7B8}" name="Column44"/>
    <tableColumn id="59" xr3:uid="{A303603F-953D-4558-93B3-1D3ADA346E33}" name="Column45"/>
    <tableColumn id="60" xr3:uid="{D71F7CD8-E0A6-4FFD-A0DC-168BD9074AB6}" name="Column46"/>
    <tableColumn id="61" xr3:uid="{A10507A6-31E4-4316-8D3A-6E435F5E3172}" name="Column47"/>
    <tableColumn id="62" xr3:uid="{C17FC8B7-4F07-4AC2-BD6E-E91084347937}" name="Column48"/>
    <tableColumn id="63" xr3:uid="{B7B54B87-25AE-4A6E-872E-041E9E98B6F5}" name="Column49"/>
    <tableColumn id="64" xr3:uid="{C240897E-DA12-4F0C-9A92-4C219F4141BF}" name="Column50"/>
    <tableColumn id="65" xr3:uid="{80D52373-C093-4587-BA47-0CEA744CD269}" name="Column51"/>
    <tableColumn id="66" xr3:uid="{618C8DB8-7482-4EA5-84BD-DF349815741E}" name="Column52"/>
    <tableColumn id="67" xr3:uid="{67886EBF-68D2-4298-BAAF-E83CD16902F5}" name="Column53"/>
    <tableColumn id="68" xr3:uid="{6C47A3C1-87A5-4B86-8CDB-6C4FE00ABF56}" name="Column54"/>
    <tableColumn id="69" xr3:uid="{FCB4430D-EAB1-48D2-A43D-655CC561D377}" name="Column55"/>
    <tableColumn id="70" xr3:uid="{73FEAA9B-B53F-4D56-9036-47BAB3EA977F}" name="Column56"/>
    <tableColumn id="71" xr3:uid="{10006738-E963-48D1-9B73-7CE0068788B1}" name="Column57"/>
    <tableColumn id="72" xr3:uid="{8A93A010-3CF1-43B3-997A-EC9AC2733AA1}" name="Column58"/>
    <tableColumn id="73" xr3:uid="{02D1F623-726E-4E80-967C-B4171291A951}" name="Column59"/>
    <tableColumn id="74" xr3:uid="{983C8CA2-9284-4763-A0B7-7C0205824256}" name="Column60"/>
    <tableColumn id="75" xr3:uid="{E1125E3C-2237-4719-8B5C-39139FEF5AAC}" name="Column61"/>
    <tableColumn id="76" xr3:uid="{4A9728A7-FF8B-48BE-8F43-64427A9C646E}" name="Column62"/>
    <tableColumn id="77" xr3:uid="{065E7A79-AF01-4ED1-B55F-914E2F181A44}" name="Column63"/>
    <tableColumn id="78" xr3:uid="{F2D3DECD-4938-4EFD-B841-A5A326541DA6}" name="Column64"/>
    <tableColumn id="79" xr3:uid="{B4CA910B-5B61-4DA2-B234-8B1513DB695A}" name="Column65"/>
    <tableColumn id="80" xr3:uid="{5F517E1F-5292-4978-B1B9-F503C6E7FAFD}" name="Column66"/>
    <tableColumn id="81" xr3:uid="{FC155E0D-9B46-4A12-84BB-72209E1A22DB}" name="Column67"/>
    <tableColumn id="82" xr3:uid="{AE824469-3F03-4BAA-971C-1B69C0F1DDB6}" name="Column68"/>
    <tableColumn id="83" xr3:uid="{35FF511A-D2BC-4AA1-ADA3-8C86423FECB1}" name="Column69"/>
    <tableColumn id="84" xr3:uid="{9E814CC4-B256-4295-9E52-A0B40E43A93D}" name="Column70"/>
    <tableColumn id="85" xr3:uid="{FC310D81-B351-4D98-8AB1-926B0CD25548}" name="Column71"/>
    <tableColumn id="86" xr3:uid="{70F23D23-5B8C-46DB-908D-77F4D4E94205}" name="Column72"/>
    <tableColumn id="87" xr3:uid="{90F6679C-4E28-4594-8646-B83E160B4947}" name="Column73"/>
    <tableColumn id="88" xr3:uid="{74B99DD5-9173-40A6-8EC0-3DB2987028A7}" name="Column74"/>
    <tableColumn id="89" xr3:uid="{7D2C28BB-50EA-4B89-8B51-9720577592CD}" name="Column75"/>
    <tableColumn id="90" xr3:uid="{0A9D242D-0238-4A43-B38E-BD19472AB8D6}" name="Column76"/>
    <tableColumn id="91" xr3:uid="{8BAB1430-3C0B-4866-894F-7052DCF42A7D}" name="Column77"/>
    <tableColumn id="92" xr3:uid="{3D0E6AB6-200A-4266-8D29-D5E9B8607F9F}" name="Column78"/>
    <tableColumn id="93" xr3:uid="{3B3C5D1F-BC06-4C41-8A1D-2E12F83165E6}" name="Column79"/>
    <tableColumn id="94" xr3:uid="{09364DA3-BA0D-490F-ABC0-3C0147F13581}" name="Column80"/>
    <tableColumn id="95" xr3:uid="{05B45D49-03B8-48C6-9BF6-552C8AA76433}" name="Column81"/>
    <tableColumn id="96" xr3:uid="{83928E88-EE4C-4008-B4B4-41D721CB662B}" name="Column82"/>
    <tableColumn id="97" xr3:uid="{6183207F-AA07-4367-A361-D62F0B4AABEC}" name="Column83"/>
    <tableColumn id="98" xr3:uid="{43EFD544-718E-46A0-A1CB-2A4210586F5B}" name="Column84"/>
    <tableColumn id="99" xr3:uid="{565D537A-9631-4AE3-A9AA-680D97741531}" name="Column85"/>
    <tableColumn id="100" xr3:uid="{D1F82E17-721D-4D50-AFD1-86D3762B62E9}" name="Column86"/>
    <tableColumn id="101" xr3:uid="{08400810-7495-40B7-A139-D98804C29CEE}" name="Column87"/>
    <tableColumn id="102" xr3:uid="{D971F83F-778B-4926-8BDE-598BF4E885D8}" name="Column88"/>
    <tableColumn id="103" xr3:uid="{07F7504A-C0C4-400F-8B3B-40C5D71AC954}" name="Column89"/>
    <tableColumn id="104" xr3:uid="{B6C55953-5C6F-46B6-8F3F-25A5D566EE33}" name="Column90"/>
    <tableColumn id="105" xr3:uid="{8913ECC8-02DA-4356-BC33-70AC2ACD6395}" name="Column91"/>
    <tableColumn id="106" xr3:uid="{6D18125C-B209-4F3D-AF13-2EC8035043BE}" name="Column92"/>
    <tableColumn id="107" xr3:uid="{49978E9A-7303-4B0A-AE29-C7006E73F459}" name="Column93"/>
    <tableColumn id="108" xr3:uid="{CBFE6354-8EE5-4133-8B2E-80CDDF6FB2BD}" name="Column94"/>
    <tableColumn id="109" xr3:uid="{3F932784-53C3-41CF-9373-9D36D5ED594D}" name="Column95"/>
    <tableColumn id="110" xr3:uid="{948A27CC-E4FA-4ADE-BDDE-81A84F207B19}" name="Column96"/>
    <tableColumn id="111" xr3:uid="{7DFD2012-B936-4D7E-9442-011DF81C7CD8}" name="Column97"/>
    <tableColumn id="112" xr3:uid="{9265F01E-B358-4F03-A05E-F78E9961952F}" name="Column98"/>
    <tableColumn id="113" xr3:uid="{35B24764-99C4-4487-9887-F6CD8AA23E10}" name="Column99"/>
    <tableColumn id="114" xr3:uid="{D343D5AD-1535-4382-9C33-1E52863EB4E9}" name="Column100"/>
    <tableColumn id="115" xr3:uid="{9EBC8598-C195-48D2-8212-496A0E8B36D2}" name="Column101"/>
    <tableColumn id="116" xr3:uid="{993F0F0F-7869-4361-B204-3CEE608BD57D}" name="Column102"/>
    <tableColumn id="117" xr3:uid="{2148C665-DC35-4D9A-A6D1-CE7E6FE7DE6E}" name="Column103"/>
    <tableColumn id="118" xr3:uid="{D7B88FAA-83C6-4090-BF4C-C9D365BD7EFC}" name="Column104"/>
    <tableColumn id="119" xr3:uid="{D76D4F98-7978-4C8B-902F-63C7050027BB}" name="Column105"/>
    <tableColumn id="120" xr3:uid="{E47E2D7E-A6B2-4A54-9E14-756757E048F7}" name="Column106"/>
    <tableColumn id="121" xr3:uid="{7E4C8CF5-E065-4CA4-8FC8-F58F6A90C85C}" name="Column107"/>
    <tableColumn id="122" xr3:uid="{B3E2C0FD-9B37-4E03-8D34-CF70F11467A7}" name="Column108"/>
    <tableColumn id="123" xr3:uid="{9A0450C0-52C9-4AD7-B03D-0C27609DB2CA}" name="Column109"/>
    <tableColumn id="124" xr3:uid="{42733972-6CAC-4158-8513-F16E6DE4A84A}" name="Column110"/>
    <tableColumn id="125" xr3:uid="{5898BABE-EC77-4414-A14D-8D6CFF2EB254}" name="Column111"/>
    <tableColumn id="126" xr3:uid="{2ADDFAC9-90C4-45F8-B17D-BD313FEAFA19}" name="Column112"/>
    <tableColumn id="127" xr3:uid="{073A8580-0C93-4920-8A7F-D7B1162ACA57}" name="Column113"/>
    <tableColumn id="128" xr3:uid="{00664F47-37CE-4667-9CD6-A6DE89AE7B99}" name="Column114"/>
    <tableColumn id="129" xr3:uid="{8F85EDED-D3F6-414B-8DCB-32323F8D59B4}" name="Column115"/>
    <tableColumn id="130" xr3:uid="{9E5091F4-205E-4040-B0E8-3AD41480AE46}" name="Column116"/>
    <tableColumn id="131" xr3:uid="{A1D7F52A-03A3-4306-8BBA-2653B178B779}" name="Column117"/>
    <tableColumn id="132" xr3:uid="{E1269746-04CE-4310-A816-66A844C23F50}" name="Column118"/>
    <tableColumn id="133" xr3:uid="{1A0943B3-7678-4876-9695-6552EB24FABC}" name="Column119"/>
    <tableColumn id="134" xr3:uid="{5CFF34B4-2766-4844-8B23-702976703E87}" name="Column120"/>
    <tableColumn id="135" xr3:uid="{A2567B04-219F-4B65-A240-65EDD036058C}" name="Column121"/>
    <tableColumn id="136" xr3:uid="{1FC5A52F-F85A-460F-8199-2432B2AF0D0D}" name="Column122"/>
    <tableColumn id="137" xr3:uid="{F83B1364-5D17-494F-B492-00D3C57069DF}" name="Column123"/>
    <tableColumn id="138" xr3:uid="{804386EE-83DB-4AC8-B429-CC4E16D9312B}" name="Column124"/>
    <tableColumn id="139" xr3:uid="{9FB3D842-15B4-4CA5-A575-725CC0A7F3CF}" name="Column125"/>
    <tableColumn id="140" xr3:uid="{A4A54D88-EEC3-4B97-B02A-BD375508FE7D}" name="Column126"/>
    <tableColumn id="141" xr3:uid="{73CBC253-476A-4ECF-9D9D-14388354C044}" name="Column127"/>
    <tableColumn id="142" xr3:uid="{3AEBB1C6-0266-47D0-927A-A38F0B6F9FF6}" name="Column128"/>
    <tableColumn id="143" xr3:uid="{3CEDB02D-26F6-4838-A091-8FB40FF486B3}" name="Column129"/>
    <tableColumn id="144" xr3:uid="{9B8F35B0-3959-4F10-83BC-A3BFE82B220F}" name="Column130"/>
    <tableColumn id="145" xr3:uid="{9500121F-5735-4DD6-B9F6-EAC62B56C77F}" name="Column131"/>
    <tableColumn id="146" xr3:uid="{FAD38FDD-AA1F-42BA-855B-D5D11CCBFBA7}" name="Column132"/>
    <tableColumn id="147" xr3:uid="{C0DCAB6C-938D-4F05-9C4D-CE7DD0944A94}" name="Column133"/>
    <tableColumn id="148" xr3:uid="{B807E7E6-2BE6-408C-95B5-D0FF18BD9DEB}" name="Column134"/>
    <tableColumn id="149" xr3:uid="{41B6D2C5-7272-44B0-AC11-59622D4782E5}" name="Column135"/>
    <tableColumn id="150" xr3:uid="{C87D21B5-B395-482B-8489-B387D465FF6F}" name="Column136"/>
    <tableColumn id="151" xr3:uid="{7ABF6070-7FE3-4446-881C-70E9A20AFF1F}" name="Column137"/>
    <tableColumn id="152" xr3:uid="{5DDC704A-BC73-462B-9A4A-EC7600B1A51A}" name="Column138"/>
    <tableColumn id="153" xr3:uid="{69ED2718-6EA4-490C-A16A-886E7AC198BE}" name="Column139"/>
    <tableColumn id="154" xr3:uid="{4949D189-82CC-40E5-96AE-1BDD841CEA2F}" name="Column140"/>
    <tableColumn id="155" xr3:uid="{F17B921D-7AE8-4815-A7E2-D5743A8044E5}" name="Column141"/>
    <tableColumn id="156" xr3:uid="{D5D429E8-12E9-4EA7-9796-AD2022811578}" name="Column142"/>
    <tableColumn id="157" xr3:uid="{A34201B3-2252-4098-A915-294F926E0179}" name="Column143"/>
    <tableColumn id="158" xr3:uid="{BC1F14B2-D37B-461B-8968-1B4A57C3CA98}" name="Column144"/>
    <tableColumn id="159" xr3:uid="{6B621CCD-FAE0-4A22-91D4-B3D59D2144CC}" name="Column145"/>
    <tableColumn id="160" xr3:uid="{1B94167D-408E-4226-8F9C-6E4AB0EA2788}" name="Column146"/>
    <tableColumn id="161" xr3:uid="{612C00BE-D8F1-4EA0-B765-3BD7819D34CA}" name="Column147"/>
    <tableColumn id="162" xr3:uid="{92A12EC3-3D8D-48B0-A217-FBD8D3D8E126}" name="Column148"/>
    <tableColumn id="163" xr3:uid="{647B8400-FC2E-412C-BBEF-2927B76B862A}" name="Column149"/>
    <tableColumn id="164" xr3:uid="{CBF0E4F7-5CDA-4592-9100-7B52228F18BF}" name="Column150"/>
    <tableColumn id="165" xr3:uid="{3C646493-572C-4DD6-ABCB-CE8BEE7EC5BF}" name="Column151"/>
    <tableColumn id="166" xr3:uid="{733CA341-AF8A-478C-9998-B40EA76CC13C}" name="Column152"/>
    <tableColumn id="167" xr3:uid="{03F77A9A-5B49-4BD8-9A40-867D74F27315}" name="Column153"/>
    <tableColumn id="168" xr3:uid="{E436C029-3517-4211-AC2E-5B9A5D2229D2}" name="Column154"/>
    <tableColumn id="169" xr3:uid="{481FEE53-6A5C-4717-958E-A6508D4B07EC}" name="Column155"/>
    <tableColumn id="170" xr3:uid="{5FAD6955-B1DE-4DA5-9AF3-B88CD80F1D2A}" name="Column156"/>
    <tableColumn id="171" xr3:uid="{F60317F6-F897-4418-BC19-42F05DDCE807}" name="Column157"/>
    <tableColumn id="172" xr3:uid="{505F64BE-DE47-4DDD-9D1D-AB6DFBE79FC5}" name="Column158"/>
    <tableColumn id="173" xr3:uid="{D6406CB3-88A6-4DF8-8FEF-558A92A0660D}" name="Column159"/>
    <tableColumn id="174" xr3:uid="{134FD274-4150-421B-9A21-16AE8893F230}" name="Column160"/>
    <tableColumn id="175" xr3:uid="{1A5BAE11-C288-47AA-9D65-F6DD73F655EA}" name="Column161"/>
    <tableColumn id="176" xr3:uid="{D12EBEB2-71EA-43A9-9226-D18B742C7D9F}" name="Column162"/>
    <tableColumn id="177" xr3:uid="{E082CB91-B945-463A-AB0F-E427B2CBDA20}" name="Column163"/>
    <tableColumn id="178" xr3:uid="{200E2450-2FC6-4B76-9B9F-07C3A13DED62}" name="Column164"/>
    <tableColumn id="179" xr3:uid="{C6D672F8-C311-4933-9A57-1C4C2DDBB288}" name="Column165"/>
    <tableColumn id="180" xr3:uid="{3141F43F-FD28-4EE9-B8CF-DC49ADCD8A13}" name="Column166"/>
    <tableColumn id="181" xr3:uid="{C1779131-6EBE-4DF3-B0DF-20AF0C2A3ECF}" name="Column167"/>
    <tableColumn id="182" xr3:uid="{AF880E3C-4BF1-49E1-A344-6A47FB0FFEC3}" name="Column168"/>
    <tableColumn id="183" xr3:uid="{3CF43BCB-61F7-4685-8A11-96E1AD543C2F}" name="Column169"/>
    <tableColumn id="184" xr3:uid="{1DB9FFD2-666D-4328-9B2E-75CC94DF8282}" name="Column170"/>
    <tableColumn id="185" xr3:uid="{B7BAB002-2955-4B7B-A2C6-CA60CBA5A062}" name="Column171"/>
    <tableColumn id="186" xr3:uid="{692AD0AC-6E4F-498D-9361-384E1A1EF3C4}" name="Column172"/>
    <tableColumn id="187" xr3:uid="{6DD8D7C9-A4DC-4B2C-A58E-6AEBD0B804E0}" name="Column173"/>
    <tableColumn id="188" xr3:uid="{6FA35170-C93F-4DF3-B646-C89A58C59F5C}" name="Column174"/>
    <tableColumn id="189" xr3:uid="{CE6CA270-959C-4F10-A4BC-658946612820}" name="Column175"/>
    <tableColumn id="190" xr3:uid="{F598F74E-F3CC-4C33-84F9-FE4D9426BA7B}" name="Column176"/>
    <tableColumn id="191" xr3:uid="{6A6EB3D3-17DE-48C5-9297-5D449DF30A08}" name="Column177"/>
    <tableColumn id="192" xr3:uid="{9ABA068F-B065-4E06-A92B-37202D73E7ED}" name="Column178"/>
    <tableColumn id="193" xr3:uid="{215ACB89-C73B-441E-8B9B-FF8762643402}" name="Column179"/>
    <tableColumn id="194" xr3:uid="{A363FB30-07A3-468D-A5B4-E7E452B79090}" name="Column180"/>
    <tableColumn id="195" xr3:uid="{75D74EB0-2926-46A0-AE51-FE61B194022C}" name="Column181"/>
    <tableColumn id="196" xr3:uid="{FAB5B667-1256-4E56-8262-67653F4EEA88}" name="Column182"/>
    <tableColumn id="197" xr3:uid="{C9B79D71-FF3E-4195-ACA7-B64CF84FD2EC}" name="Column183"/>
    <tableColumn id="198" xr3:uid="{FC7B3BF0-9CD2-4981-9126-09222A1B7D6D}" name="Column184"/>
    <tableColumn id="199" xr3:uid="{0DC75179-0404-4EE8-883C-4E44FDF153D5}" name="Column185"/>
    <tableColumn id="200" xr3:uid="{D25A1D16-D0D7-4201-BE05-F6AE815861E1}" name="Column186"/>
    <tableColumn id="201" xr3:uid="{A2FA0B87-FDA1-4A48-A64F-A3DA639C321A}" name="Column187"/>
    <tableColumn id="202" xr3:uid="{88378B74-512E-4E2F-8ECB-18F40ABE928E}" name="Column188"/>
    <tableColumn id="203" xr3:uid="{206C663B-E9F7-4704-99C8-0EC7362E52EC}" name="Column189"/>
    <tableColumn id="204" xr3:uid="{398963A9-6F12-4552-9713-9F9C811E85D9}" name="Column190"/>
    <tableColumn id="205" xr3:uid="{4E1B4113-3CE9-43C1-A3B1-218448A929EE}" name="Column191"/>
    <tableColumn id="206" xr3:uid="{87118180-72C0-4306-B56B-DE2C00EDF964}" name="Column192"/>
    <tableColumn id="207" xr3:uid="{B0FFCB9A-D412-4514-8578-B6E4F246A460}" name="Column193"/>
    <tableColumn id="208" xr3:uid="{65BD53CE-87EA-4CCC-B4E8-34793F55B68E}" name="Column194"/>
    <tableColumn id="209" xr3:uid="{808ABABD-4340-425D-94E7-65BE56E13679}" name="Column195"/>
    <tableColumn id="210" xr3:uid="{65B3DBB8-3DF5-4FF8-A31D-D6229B23842F}" name="Column196"/>
    <tableColumn id="211" xr3:uid="{8B62C12F-5D0E-46D5-9EF5-BF0BB07682B5}" name="Column197"/>
    <tableColumn id="212" xr3:uid="{20AE5D92-9D82-4CA1-94EF-CF4C691F8448}" name="Column198"/>
    <tableColumn id="213" xr3:uid="{3F5F26C1-4083-4E37-BF0E-330F8C7E9E41}" name="Column199"/>
    <tableColumn id="214" xr3:uid="{C5DAE265-BA6A-497E-B28F-9C74CB91DE7D}" name="Column200"/>
    <tableColumn id="215" xr3:uid="{1DA2FF04-EE9E-4C2A-9792-4C2DD5EBB398}" name="Column201"/>
    <tableColumn id="216" xr3:uid="{64139ED4-1E8E-44FB-A9C2-42EE793FFEF9}" name="Column202"/>
    <tableColumn id="217" xr3:uid="{2D0226DA-BCBA-4B6D-812D-C98C66C50EA5}" name="Column203"/>
    <tableColumn id="218" xr3:uid="{95067981-DD2E-43DD-9AF7-C4C6E18567A1}" name="Column204"/>
    <tableColumn id="219" xr3:uid="{7833386A-E00D-414B-A22C-1828DE524A8C}" name="Column205"/>
    <tableColumn id="220" xr3:uid="{FB9B11B1-D595-4618-B961-D50C7C1D6103}" name="Column206"/>
    <tableColumn id="221" xr3:uid="{3E16F66A-E747-478C-9295-0A8BFD544A27}" name="Column207"/>
    <tableColumn id="222" xr3:uid="{0A69171D-2DD9-4027-8E03-65F828BBCCFD}" name="Column208"/>
    <tableColumn id="223" xr3:uid="{F12E0982-4E57-4C68-A950-9EA569668751}" name="Column209"/>
    <tableColumn id="224" xr3:uid="{EA12434B-5408-42C9-8DD6-FF2D378D45A1}" name="Column210"/>
    <tableColumn id="225" xr3:uid="{127DA933-31D4-44CA-AFA7-DD4C62926142}" name="Column211"/>
    <tableColumn id="226" xr3:uid="{827BE4F7-9720-409D-8C2A-D4E519EC012F}" name="Column212"/>
    <tableColumn id="227" xr3:uid="{7F8F422D-95B7-4D33-9923-1C4E780ED12C}" name="Column213"/>
    <tableColumn id="228" xr3:uid="{399077FF-037C-40FE-9593-F2C6CF86B5EE}" name="Column214"/>
    <tableColumn id="229" xr3:uid="{38A456D6-7589-47F5-B390-3BCBC7F07BB5}" name="Column215"/>
    <tableColumn id="230" xr3:uid="{043420D5-BBB4-42CF-B986-3A8721BDEFBE}" name="Column216"/>
    <tableColumn id="231" xr3:uid="{15BEEBB3-197B-41E3-B710-0B2EA28CAFD3}" name="Column217"/>
    <tableColumn id="232" xr3:uid="{F82ADC6A-56DE-4CF6-9D43-1FD328C2982A}" name="Column218"/>
    <tableColumn id="233" xr3:uid="{E600B1AF-9546-4C25-99AE-4C17C48F5FCE}" name="Column219"/>
    <tableColumn id="234" xr3:uid="{17851814-8778-4B36-BD90-1A557EB02A45}" name="Column220"/>
    <tableColumn id="235" xr3:uid="{174E8E73-6F85-4001-AD6E-84B0C4128619}" name="Column221"/>
    <tableColumn id="236" xr3:uid="{B54B1420-570C-45E5-82F2-5012FD97799C}" name="Column222"/>
    <tableColumn id="237" xr3:uid="{BC7C7423-B229-45BB-8081-3620AF9EBB86}" name="Column223"/>
    <tableColumn id="238" xr3:uid="{76D2A11C-488F-4B76-B21D-7C4DE629CD50}" name="Column224"/>
    <tableColumn id="239" xr3:uid="{E8A17822-4813-4213-9F58-B06454D4D68C}" name="Column225"/>
    <tableColumn id="240" xr3:uid="{BB4E6C13-839F-4F0D-BDA8-99DF3B6E3917}" name="Column226"/>
    <tableColumn id="241" xr3:uid="{56CA734E-38A3-42C5-B406-4F8B4C3C205D}" name="Column227"/>
    <tableColumn id="242" xr3:uid="{7F77F4F4-E22E-4A61-A452-D41726E87ACA}" name="Column228"/>
    <tableColumn id="243" xr3:uid="{424F020E-2055-4F2B-964C-20ECB7356B93}" name="Column229"/>
    <tableColumn id="244" xr3:uid="{B3CA3AC4-54C9-49CA-8FD8-832F41FE1CBA}" name="Column230"/>
    <tableColumn id="245" xr3:uid="{E1A1715F-A5D7-40DB-B017-5BA5EFDD7971}" name="Column231"/>
    <tableColumn id="246" xr3:uid="{33F034C7-E6E8-4576-A4DB-D353BD7C3681}" name="Column232"/>
    <tableColumn id="247" xr3:uid="{477BA828-CD24-417D-9229-AEC2A635EB03}" name="Column233"/>
    <tableColumn id="248" xr3:uid="{7CA5F684-B739-4771-9C1C-29250736EB32}" name="Column234"/>
    <tableColumn id="249" xr3:uid="{05B2F028-75B9-4182-BC07-95B28069E7E6}" name="Column235"/>
    <tableColumn id="250" xr3:uid="{DB732887-03AD-4F71-A90F-19D3202C21C2}" name="Column236"/>
    <tableColumn id="251" xr3:uid="{B82F9A7D-AB5F-48EB-9A8E-68C366E91CEC}" name="Column237"/>
    <tableColumn id="252" xr3:uid="{0E0D3436-7035-4FF4-B8C3-BF5453182847}" name="Column238"/>
    <tableColumn id="253" xr3:uid="{4FADEAED-5CD1-4418-BA50-0EF36F79BA85}" name="Column239"/>
    <tableColumn id="254" xr3:uid="{E5646B8D-80A2-45AC-9E40-094F527CFCCB}" name="Column240"/>
    <tableColumn id="255" xr3:uid="{BCDC493B-EF78-408B-9150-064C85030473}" name="Column241"/>
    <tableColumn id="256" xr3:uid="{E7F2E0EA-2BCF-4750-A461-37A6239592AF}" name="Column242"/>
    <tableColumn id="257" xr3:uid="{191BAF4C-B2DF-480C-84EA-81B814C2709D}" name="Column243"/>
    <tableColumn id="258" xr3:uid="{5C5E261C-33AE-41A7-9CA8-05661F5976AF}" name="Column244"/>
    <tableColumn id="259" xr3:uid="{04A8DF4B-24B1-4677-BB32-E477DA35CD5E}" name="Column245"/>
    <tableColumn id="260" xr3:uid="{49CB6960-DCB0-4971-AA88-86F63441E93C}" name="Column246"/>
    <tableColumn id="261" xr3:uid="{76F66674-18ED-42B1-871E-73BE4AFF6E3D}" name="Column247"/>
    <tableColumn id="262" xr3:uid="{7785392D-9B59-4862-A916-283C9903ABC3}" name="Column248"/>
    <tableColumn id="263" xr3:uid="{B9213E02-00FC-4349-A2E4-65AF1AD8583E}" name="Column249"/>
    <tableColumn id="264" xr3:uid="{B3ACD180-C55F-40F6-A9D2-6C7F835587FD}" name="Column250"/>
    <tableColumn id="265" xr3:uid="{18618E0C-810B-4D4B-83D0-AC67E2ADC4C1}" name="Column251"/>
    <tableColumn id="266" xr3:uid="{10418CB3-904F-4C83-9250-7897817707F4}" name="Column252"/>
    <tableColumn id="267" xr3:uid="{FCE69C70-E447-4D90-AEB5-973217176656}" name="Column253"/>
    <tableColumn id="268" xr3:uid="{EB00CBA2-3BB9-4A57-BE38-258654492C82}" name="Column254"/>
    <tableColumn id="269" xr3:uid="{54AB849C-6867-4DFF-A787-DF7F1C49B1B4}" name="Column255"/>
    <tableColumn id="270" xr3:uid="{ACD83977-0D1F-41DF-B5DD-15048EB53624}" name="Column256"/>
    <tableColumn id="271" xr3:uid="{315BA3D2-D1CB-4B59-83FE-4A90D0A3B711}" name="Column257"/>
    <tableColumn id="272" xr3:uid="{4D3E2039-BFB2-4D12-8EBC-E5F4CD6B407E}" name="Column258"/>
    <tableColumn id="273" xr3:uid="{ACB2184D-2D6A-4124-934D-E776D5188EC7}" name="Column259"/>
    <tableColumn id="274" xr3:uid="{55904331-75E0-4992-8A43-BD9B1DBBF649}" name="Column260"/>
    <tableColumn id="275" xr3:uid="{CAAC9EAF-27CA-4FA6-BF22-9A6286753B70}" name="Column261"/>
    <tableColumn id="276" xr3:uid="{785F2160-6121-4DC4-8D58-27EFB0BB7EDE}" name="Column262"/>
    <tableColumn id="277" xr3:uid="{516D429F-EF27-4AA8-BA87-4552B9732150}" name="Column263"/>
    <tableColumn id="278" xr3:uid="{00E9EC0E-A88A-4727-8018-5D32B039EB22}" name="Column264"/>
    <tableColumn id="279" xr3:uid="{A5B21D46-2733-46FC-8626-4E65D3C28E31}" name="Column265"/>
    <tableColumn id="280" xr3:uid="{F8EF75DC-F70D-44E0-B280-7D88CE72C8B0}" name="Column266"/>
    <tableColumn id="281" xr3:uid="{D8EDB871-C4E6-494B-93F2-2A6C344EEE2A}" name="Column267"/>
    <tableColumn id="282" xr3:uid="{92E07655-7012-4D3D-9673-B29D64FE4767}" name="Column268"/>
    <tableColumn id="283" xr3:uid="{5A9EE6CA-90A6-444A-9BE9-A5228998CE95}" name="Column269"/>
    <tableColumn id="284" xr3:uid="{16FAEB1A-3D9D-46B9-94EE-5F56EA89559F}" name="Column270"/>
    <tableColumn id="285" xr3:uid="{52412280-B2EE-40C1-A336-C84A4BCC1C9D}" name="Column271"/>
    <tableColumn id="286" xr3:uid="{4F0ED089-58D6-406C-93CD-D58B7FE2C22E}" name="Column272"/>
    <tableColumn id="287" xr3:uid="{2DF13AA8-A2FD-40B7-BEFD-FC045E3FA374}" name="Column273"/>
    <tableColumn id="288" xr3:uid="{C2FC2F73-05B6-4E82-ABAB-137E8F3B198B}" name="Column274"/>
    <tableColumn id="289" xr3:uid="{B53F7772-D073-4567-ABCF-29F5B19A36DF}" name="Column275"/>
    <tableColumn id="290" xr3:uid="{04A2D7D2-B58D-43F3-8514-B4A3D80B7E1F}" name="Column276"/>
    <tableColumn id="291" xr3:uid="{84FA6146-EB22-4011-BE42-8086ACFA3DF5}" name="Column277"/>
    <tableColumn id="292" xr3:uid="{2BE1EF4D-0BB0-44D4-8704-E333A7F51241}" name="Column278"/>
    <tableColumn id="293" xr3:uid="{C6CC89A5-5C03-4C96-9019-6036F16B1563}" name="Column279"/>
    <tableColumn id="294" xr3:uid="{082F7962-52DC-4A47-8452-61937A42CFEC}" name="Column280"/>
    <tableColumn id="295" xr3:uid="{3A7558EA-1D3C-4D7D-B692-B6EA34D8D044}" name="Column281"/>
    <tableColumn id="296" xr3:uid="{16078A10-6CFB-4284-8028-DDEDD51BAF6D}" name="Column282"/>
    <tableColumn id="297" xr3:uid="{D8FB46BD-18F5-4FB3-8F57-A546CE18FCC3}" name="Column283"/>
    <tableColumn id="298" xr3:uid="{0F88C821-359E-4815-94CE-E6892111F35A}" name="Column284"/>
    <tableColumn id="299" xr3:uid="{94A99F31-AB6F-4802-84DE-4D1925B0FCBF}" name="Column285"/>
    <tableColumn id="300" xr3:uid="{26302AA2-6119-4C4F-946D-0275A036D0A5}" name="Column286"/>
    <tableColumn id="301" xr3:uid="{749D61FE-0B2F-4D37-A932-147972140F5E}" name="Column287"/>
    <tableColumn id="302" xr3:uid="{A59EC976-3152-4604-A93F-75FB104549D4}" name="Column288"/>
    <tableColumn id="303" xr3:uid="{9085ED95-F50A-424A-A18B-D8FF9661C808}" name="Column289"/>
    <tableColumn id="304" xr3:uid="{3ABD5DD0-0A9A-423B-9268-69B5263D709F}" name="Column290"/>
    <tableColumn id="305" xr3:uid="{A4FD1BAB-DF00-4046-982B-6B4E675CFD59}" name="Column291"/>
    <tableColumn id="306" xr3:uid="{71706BD5-AFE8-4279-A0B0-0D6693C4A9DD}" name="Column292"/>
    <tableColumn id="307" xr3:uid="{CF17C321-BB8E-4B8C-9774-392F724A7A9C}" name="Column293"/>
    <tableColumn id="308" xr3:uid="{764D0C65-3779-450B-BD92-D83029DAFC3B}" name="Column294"/>
    <tableColumn id="309" xr3:uid="{B5773504-3104-4CFC-8396-23429300625A}" name="Column295"/>
    <tableColumn id="310" xr3:uid="{C0472816-A6F1-499C-9775-B6CA0D65D59D}" name="Column296"/>
    <tableColumn id="311" xr3:uid="{9494C3BB-725F-4F9E-9737-539AD1D60D26}" name="Column297"/>
    <tableColumn id="312" xr3:uid="{81E010B6-F9E0-4F8C-BEE4-1E15754E5C87}" name="Column298"/>
    <tableColumn id="313" xr3:uid="{18B75B8E-29A6-49C2-887B-564DC2C31ECB}" name="Column299"/>
    <tableColumn id="314" xr3:uid="{5CD62BB7-501A-48D1-9A71-0ACDA132450F}" name="Column300"/>
    <tableColumn id="315" xr3:uid="{39963006-DEA9-4230-A9FA-154DA5D58F90}" name="Column301"/>
    <tableColumn id="316" xr3:uid="{D00809EE-DAA9-4F4C-B435-5986299690B7}" name="Column302"/>
    <tableColumn id="317" xr3:uid="{D41AF80F-4E6C-4FAD-85E8-9CD8924D73EB}" name="Column303"/>
    <tableColumn id="318" xr3:uid="{E85D4DEB-EAFE-45B8-9F81-4CA059361EBA}" name="Column304"/>
    <tableColumn id="319" xr3:uid="{BECFAFB2-585E-4B8D-871B-E0BE88DAAA25}" name="Column305"/>
    <tableColumn id="320" xr3:uid="{0EC972FD-3C43-4BD8-B4FF-DB92B38AEFBC}" name="Column306"/>
    <tableColumn id="321" xr3:uid="{735AD661-1F31-4E75-9461-19FBD2DA6729}" name="Column307"/>
    <tableColumn id="322" xr3:uid="{F41C7FD8-2991-48AF-AF0C-905FD385C1A2}" name="Column308"/>
    <tableColumn id="323" xr3:uid="{CEF6F182-8843-4CE5-8559-DB31F6484D5C}" name="Column309"/>
    <tableColumn id="324" xr3:uid="{5F531901-3628-435D-93BE-570696C93F8C}" name="Column310"/>
    <tableColumn id="325" xr3:uid="{FE0B0930-4E76-4E1E-9C0D-3B4CBFB173CC}" name="Column311"/>
    <tableColumn id="326" xr3:uid="{59D6DAD6-08B1-4362-94AD-CED56570755E}" name="Column312"/>
    <tableColumn id="327" xr3:uid="{02A3189F-D9F3-490E-B0F3-77C7F8DC9A3A}" name="Column313"/>
    <tableColumn id="328" xr3:uid="{83DFDDC1-2369-4E91-84FB-9775DEE3A8B5}" name="Column314"/>
    <tableColumn id="329" xr3:uid="{2DC999C5-C292-448D-BA89-5A1990579EE8}" name="Column315"/>
    <tableColumn id="330" xr3:uid="{96F7DDE0-2006-422A-989B-D23D0E24A429}" name="Column316"/>
    <tableColumn id="331" xr3:uid="{7F01B230-3283-40A9-A73A-94F6F2828512}" name="Column317"/>
    <tableColumn id="332" xr3:uid="{0365BC4C-F9E7-478F-A437-352B87B1FC35}" name="Column318"/>
    <tableColumn id="333" xr3:uid="{B835369F-9A88-47EC-9E08-D0542C138419}" name="Column319"/>
    <tableColumn id="334" xr3:uid="{F64B88E0-4BCA-4D9A-BE06-07AD76D8534A}" name="Column320"/>
    <tableColumn id="335" xr3:uid="{5F30D594-4B52-45D0-822B-7E49F32F5B8E}" name="Column321"/>
    <tableColumn id="336" xr3:uid="{B5DB37C8-4538-4FBF-8F00-A735A69ACE58}" name="Column322"/>
    <tableColumn id="337" xr3:uid="{BB6530EF-FD19-4089-B23D-C8985AF64D29}" name="Column323"/>
    <tableColumn id="338" xr3:uid="{8FBBE99B-2F7B-4D75-AE7F-F7AD5F4C7753}" name="Column324"/>
    <tableColumn id="339" xr3:uid="{9E799A82-B1C5-4298-A7F5-68EE2FF970D1}" name="Column325"/>
    <tableColumn id="340" xr3:uid="{CD3662C7-E0DE-40DE-9D2D-5D380341CFB9}" name="Column326"/>
    <tableColumn id="341" xr3:uid="{9C5210D0-C3FC-47A7-94C5-3B1D183AA24C}" name="Column327"/>
    <tableColumn id="342" xr3:uid="{A0BB3339-A086-4A2A-9804-9FB637DDB08B}" name="Column328"/>
    <tableColumn id="343" xr3:uid="{72F88201-A97C-4F72-9ADF-26069F6FA876}" name="Column329"/>
    <tableColumn id="344" xr3:uid="{614FE21E-8E62-4093-BA08-403CE521D98E}" name="Column330"/>
    <tableColumn id="345" xr3:uid="{DB6E09A6-4159-43A7-93A4-61433D546B9C}" name="Column331"/>
    <tableColumn id="346" xr3:uid="{08C616DE-4F61-4497-A373-F7562E515BAF}" name="Column332"/>
    <tableColumn id="347" xr3:uid="{95933142-D944-474B-B463-5C485F9294A6}" name="Column333"/>
    <tableColumn id="348" xr3:uid="{740369D2-9948-4A8C-BC23-77EE623BD8BA}" name="Column334"/>
    <tableColumn id="349" xr3:uid="{2AF14A74-1FEA-46C4-B398-E0CCFD57C7BB}" name="Column335"/>
    <tableColumn id="350" xr3:uid="{EEEC3759-8D04-4048-856D-51F1C96AE35B}" name="Column336"/>
    <tableColumn id="351" xr3:uid="{4FEEC0AC-0AC6-4731-BB6A-E817BF0D6B6C}" name="Column337"/>
    <tableColumn id="352" xr3:uid="{9261A341-F380-4D54-8B7A-FEAAB617D59E}" name="Column338"/>
    <tableColumn id="353" xr3:uid="{ECAFBEC2-3F62-4340-96D9-66430E01A0E8}" name="Column339"/>
    <tableColumn id="354" xr3:uid="{607F6F59-8870-4640-B4FC-AB9F3BE66980}" name="Column340"/>
    <tableColumn id="355" xr3:uid="{39F7E311-4028-4C5E-9B1B-70B062D43B4C}" name="Column341"/>
    <tableColumn id="356" xr3:uid="{4EEA4827-1B62-438F-85EF-9ED3A8BC747A}" name="Column342"/>
    <tableColumn id="357" xr3:uid="{03C338BA-BAF8-4A58-852B-B4AC7E761F3A}" name="Column343"/>
    <tableColumn id="358" xr3:uid="{073F49D0-C7B2-4053-A320-B8E98CFCEDA1}" name="Column344"/>
    <tableColumn id="359" xr3:uid="{56DB4DCD-B01F-4B34-B8C3-F58A89C4968A}" name="Column345"/>
    <tableColumn id="360" xr3:uid="{091AB5DD-D0FF-4B32-B9C2-247608BB3309}" name="Column346"/>
    <tableColumn id="361" xr3:uid="{685C5C1C-C297-4120-9008-CFD6F7A245FE}" name="Column347"/>
    <tableColumn id="362" xr3:uid="{F5976051-F965-436F-8E31-317F975D5EDD}" name="Column348"/>
    <tableColumn id="363" xr3:uid="{03A540F0-ECC5-441C-8F15-74532CD03B78}" name="Column349"/>
    <tableColumn id="364" xr3:uid="{7236F375-1382-4367-AA03-21E4AB22E1E9}" name="Column350"/>
    <tableColumn id="365" xr3:uid="{3D80F565-2C42-4D57-9427-C94AE6D42091}" name="Column351"/>
    <tableColumn id="366" xr3:uid="{40859C47-BA7F-4B61-A3A1-7C04C3C84B44}" name="Column352"/>
    <tableColumn id="367" xr3:uid="{02F42EAC-F2CD-40B8-8899-6963633F1B31}" name="Column353"/>
    <tableColumn id="368" xr3:uid="{51F44272-1A5A-438B-A8BA-3F15A11807C3}" name="Column354"/>
    <tableColumn id="369" xr3:uid="{D5F53962-7EB7-4102-8ED4-897A88C612CF}" name="Column355"/>
    <tableColumn id="370" xr3:uid="{C65B6DDE-65B7-45E6-A995-8AADABD16C08}" name="Column356"/>
    <tableColumn id="371" xr3:uid="{D7B9F9E7-C73A-450E-A855-60F91F4C3FEC}" name="Column357"/>
    <tableColumn id="372" xr3:uid="{D2C90C92-7493-4808-BC33-959BD7F6648A}" name="Column358"/>
    <tableColumn id="373" xr3:uid="{73B2A0B7-CE68-490E-8EED-E68730DC4E2C}" name="Column359"/>
    <tableColumn id="374" xr3:uid="{DC514BAF-AC9B-4EFE-BD06-A2FD586522A2}" name="Column360"/>
    <tableColumn id="375" xr3:uid="{6C4B3BCA-CEA5-478A-9327-1717C139C22B}" name="Column361"/>
    <tableColumn id="376" xr3:uid="{17E0280F-CA25-449F-B35A-831CCE936B9E}" name="Column362"/>
    <tableColumn id="377" xr3:uid="{998A0714-8486-405A-82A7-D99F0E055D65}" name="Column363"/>
    <tableColumn id="378" xr3:uid="{FF7A6A75-EA41-44AB-8E10-55D7E8D21BBB}" name="Column364"/>
    <tableColumn id="379" xr3:uid="{96DEB51B-8C5F-4C63-AA32-A278B53305A3}" name="Column365"/>
    <tableColumn id="380" xr3:uid="{1C0B4E05-5A9D-4D3B-8C83-A9ACFD16321A}" name="Column366"/>
    <tableColumn id="381" xr3:uid="{18F248A1-06F3-4173-A3DE-4CC157E70580}" name="Column367"/>
    <tableColumn id="382" xr3:uid="{2E3A0A86-0354-4E3D-987F-A3EA0238F969}" name="Column368"/>
    <tableColumn id="383" xr3:uid="{130042A1-343A-4301-A4ED-E3527A1F781D}" name="Column369"/>
    <tableColumn id="384" xr3:uid="{78433478-9C86-45ED-ACC3-A9FF49C655D9}" name="Column370"/>
    <tableColumn id="385" xr3:uid="{05A2E948-7131-498F-89F8-26DE4482FA92}" name="Column371"/>
    <tableColumn id="386" xr3:uid="{D1D7922F-A771-410A-B3BD-9AC4AF390BCE}" name="Column372"/>
    <tableColumn id="387" xr3:uid="{7539E004-E94A-4831-8108-0BBE530BA505}" name="Column373"/>
    <tableColumn id="388" xr3:uid="{8E34FBEE-D81F-4B27-BB01-5B68105EF322}" name="Column374"/>
    <tableColumn id="389" xr3:uid="{FD6FD9AD-9619-46B4-8C53-9181CB7A1B24}" name="Column375"/>
    <tableColumn id="390" xr3:uid="{E715AD64-D610-4FDE-AD36-EC266D72AF3E}" name="Column376"/>
    <tableColumn id="391" xr3:uid="{4D1EC396-AF34-46D2-B7B3-A5E3D7591607}" name="Column377"/>
    <tableColumn id="392" xr3:uid="{4218C9E3-81DF-4C47-9F48-BEF3D550135F}" name="Column378"/>
    <tableColumn id="393" xr3:uid="{CE294EA3-F152-4D85-A851-091B42AE38EC}" name="Column379"/>
    <tableColumn id="394" xr3:uid="{740429D6-6443-4980-BD47-53BE0549D154}" name="Column380"/>
    <tableColumn id="395" xr3:uid="{9259E59F-0398-4E6A-93FB-4DD124E2993C}" name="Column381"/>
    <tableColumn id="396" xr3:uid="{68C43A37-5796-45CB-B4F5-26ABDDDB6AE6}" name="Column382"/>
    <tableColumn id="397" xr3:uid="{CCC2314D-4D21-4361-93C7-EE8467C680F4}" name="Column383"/>
    <tableColumn id="398" xr3:uid="{71B2ABD1-81DD-4E3E-B863-6CA0B5BBD900}" name="Column384"/>
    <tableColumn id="399" xr3:uid="{4B38DA4F-8CD4-472B-8544-A4FA58E1853A}" name="Column385"/>
    <tableColumn id="400" xr3:uid="{B6F14D5E-A4D1-40FA-9F9A-DAC6625B1DA4}" name="Column386"/>
    <tableColumn id="401" xr3:uid="{1D958CC5-387B-4651-BE49-5FD6AE62291F}" name="Column387"/>
    <tableColumn id="402" xr3:uid="{561DD74A-B1E1-4D1D-AF7A-BB7DACB23683}" name="Column388"/>
    <tableColumn id="403" xr3:uid="{8EB3BA0B-9DA0-4D3F-AC92-C99B68D2983B}" name="Column389"/>
    <tableColumn id="404" xr3:uid="{9EC1638C-0F1E-4EDA-A3FD-C7FEB001A00A}" name="Column390"/>
    <tableColumn id="405" xr3:uid="{7A2CA27E-A019-45A8-80BA-BB1B862FF4F7}" name="Column391"/>
    <tableColumn id="406" xr3:uid="{403F3046-AAB2-441E-AFE7-B2EDD475DD1C}" name="Column392"/>
    <tableColumn id="407" xr3:uid="{DB40C7C8-12C1-453A-B785-F06DFA0147F6}" name="Column393"/>
    <tableColumn id="408" xr3:uid="{94D280C6-1A25-4323-ADC5-86F4BAB52809}" name="Column394"/>
    <tableColumn id="409" xr3:uid="{7DD23ADF-2720-426E-BC1D-E858B13BD85A}" name="Column395"/>
    <tableColumn id="410" xr3:uid="{5002629A-0F8E-414B-A195-1C1C4CC4C541}" name="Column396"/>
    <tableColumn id="411" xr3:uid="{67A52034-C672-44B1-8793-CF7AF26E0FF5}" name="Column397"/>
    <tableColumn id="412" xr3:uid="{B9E9C941-E373-4E98-A444-9819A0BDC723}" name="Column398"/>
    <tableColumn id="413" xr3:uid="{115643C4-ACC0-4E32-B070-C23A38841A45}" name="Column399"/>
    <tableColumn id="414" xr3:uid="{C466C3C5-7483-4214-A1DA-15F89AD75336}" name="Column400"/>
    <tableColumn id="415" xr3:uid="{595005C7-B643-45FE-B299-B597C271504A}" name="Column401"/>
    <tableColumn id="416" xr3:uid="{B2F1EB9F-D8B3-47D4-96B8-24DAA6247B78}" name="Column402"/>
    <tableColumn id="417" xr3:uid="{43913A48-D4C5-4961-82CB-82A70E2414B3}" name="Column403"/>
    <tableColumn id="418" xr3:uid="{7E171F97-D1D3-44AF-A5A4-E7C984C391C8}" name="Column404"/>
    <tableColumn id="419" xr3:uid="{E72A423B-6770-4FD6-BF65-7CAC84685E43}" name="Column405"/>
    <tableColumn id="420" xr3:uid="{2AE178A0-AD63-44FC-9D69-FF30556389B9}" name="Column406"/>
    <tableColumn id="421" xr3:uid="{B2DF4CE7-AB02-4C16-BD26-252C503ED9C5}" name="Column407"/>
    <tableColumn id="422" xr3:uid="{9F934523-78FB-4A08-AB61-1F62A3DAE919}" name="Column408"/>
    <tableColumn id="423" xr3:uid="{7C292936-36B4-427C-81B1-3DA10105CE2D}" name="Column409"/>
    <tableColumn id="424" xr3:uid="{F289E033-FBCF-49A4-96BE-A74F6A54DCFA}" name="Column410"/>
    <tableColumn id="425" xr3:uid="{DB26DF3D-6889-445A-A9F4-B9FD556973D8}" name="Column411"/>
    <tableColumn id="426" xr3:uid="{1B696A32-2749-460A-B053-638A0A44521D}" name="Column412"/>
    <tableColumn id="427" xr3:uid="{6910F381-E85A-43D3-B917-DB87A96A49D9}" name="Column413"/>
    <tableColumn id="428" xr3:uid="{AAA9E0B6-15A4-4B09-B886-65A0203FF01C}" name="Column414"/>
    <tableColumn id="429" xr3:uid="{B5D1D183-E85E-4116-A048-730CECFA0E51}" name="Column415"/>
    <tableColumn id="430" xr3:uid="{BE100C16-4DC1-4AD3-A417-FF0788727FFA}" name="Column416"/>
    <tableColumn id="431" xr3:uid="{62E9EED7-0747-41C4-B208-86AEA3D8B78F}" name="Column417"/>
    <tableColumn id="432" xr3:uid="{D2CCA90A-1D72-4612-B8AF-A53D687E6391}" name="Column418"/>
    <tableColumn id="433" xr3:uid="{12BAE583-63B6-4812-A9FB-4D9508B8C98B}" name="Column419"/>
    <tableColumn id="434" xr3:uid="{55ABE133-A41C-409A-9AE0-96284F5BE8FA}" name="Column420"/>
    <tableColumn id="435" xr3:uid="{FC42D2F5-3122-4BEB-89F1-72655FC5825F}" name="Column421"/>
    <tableColumn id="436" xr3:uid="{2B0B1EEC-C615-42F2-A5BB-7E951BB99B77}" name="Column422"/>
    <tableColumn id="437" xr3:uid="{70CFD660-7B40-43BA-8F60-35EE8EA7CF92}" name="Column423"/>
    <tableColumn id="438" xr3:uid="{ABA1E719-FA68-4773-BEC4-9A8C69ECACCA}" name="Column424"/>
    <tableColumn id="439" xr3:uid="{DEA0BBFD-231F-455E-8872-099838417728}" name="Column425"/>
    <tableColumn id="440" xr3:uid="{EE42795A-5627-48AC-B91C-CA51554184FA}" name="Column426"/>
    <tableColumn id="441" xr3:uid="{3F880695-845F-4BE7-B85B-B12621B8AD25}" name="Column427"/>
    <tableColumn id="442" xr3:uid="{E4BB5A54-CFF1-4BE3-B10E-DFC105A52C2D}" name="Column428"/>
    <tableColumn id="443" xr3:uid="{3552F382-D851-4CB9-B8E4-3CC2D20F87D0}" name="Column429"/>
    <tableColumn id="444" xr3:uid="{3785066D-CE5E-4E20-A8A6-824898707124}" name="Column430"/>
    <tableColumn id="445" xr3:uid="{75EB6A88-359C-470F-B2FA-AFF804C99A37}" name="Column431"/>
    <tableColumn id="446" xr3:uid="{4B49E5C5-FAA3-48F0-81BD-84B0AE0B15A4}" name="Column432"/>
    <tableColumn id="447" xr3:uid="{74C4FFFF-004D-4AA2-B2E9-AD3769C0A18A}" name="Column433"/>
    <tableColumn id="448" xr3:uid="{F7BF2EF6-1AC2-40C5-A557-CC0EBA65A08E}" name="Column434"/>
    <tableColumn id="449" xr3:uid="{9673D2AD-47DF-4172-AEE0-70CF394A28E2}" name="Column435"/>
    <tableColumn id="450" xr3:uid="{8DA53AA6-E47F-4C46-9C81-676E00E700A5}" name="Column436"/>
    <tableColumn id="451" xr3:uid="{31D90D0A-F6B3-42CE-A424-9B8FFE54BEF1}" name="Column437"/>
    <tableColumn id="452" xr3:uid="{2B7D1195-4C9D-4DE7-9313-9B75063109AD}" name="Column438"/>
    <tableColumn id="453" xr3:uid="{7478E6B4-6D54-4745-ACB3-8E878DB7FD06}" name="Column439"/>
    <tableColumn id="454" xr3:uid="{766036A9-7621-42F9-8543-06EB7C71374D}" name="Column440"/>
    <tableColumn id="455" xr3:uid="{EB6F47ED-0CC7-4E01-B9EF-7F1C4231B7C0}" name="Column441"/>
    <tableColumn id="456" xr3:uid="{346A2628-4EA8-464B-8035-3BEF6B7D40E5}" name="Column442"/>
    <tableColumn id="457" xr3:uid="{EEC4225F-5C96-4BDA-938D-85C6E8F27D00}" name="Column443"/>
    <tableColumn id="458" xr3:uid="{10B83A1E-887C-43D6-BAC0-E299263C9A7A}" name="Column444"/>
    <tableColumn id="459" xr3:uid="{1CEBF3EA-816C-4A08-8E5A-D09AA0A3C51F}" name="Column445"/>
    <tableColumn id="460" xr3:uid="{B9929AF0-77F7-4D25-ADAF-B7E32AA05AE0}" name="Column446"/>
    <tableColumn id="461" xr3:uid="{DB9B55F1-B6F9-424C-934D-DB66E456D828}" name="Column447"/>
    <tableColumn id="462" xr3:uid="{EBFCCB72-D9EA-4C15-AF46-8F09BE4D768B}" name="Column448"/>
    <tableColumn id="463" xr3:uid="{4420F82A-9CE8-4FC2-9AC4-302FA69DFC8D}" name="Column449"/>
    <tableColumn id="464" xr3:uid="{4DE80A25-1C8C-4095-8AAE-B524026A391A}" name="Column450"/>
    <tableColumn id="465" xr3:uid="{610A1BA0-89CE-4AAC-93EC-731D7777FC8A}" name="Column451"/>
    <tableColumn id="466" xr3:uid="{32E3EB80-E6DB-485C-A6BA-735F646E5368}" name="Column452"/>
    <tableColumn id="467" xr3:uid="{80739A46-1EE0-40F6-A90A-95DD90027910}" name="Column453"/>
    <tableColumn id="468" xr3:uid="{A9C520DF-B840-401F-A98F-4AEA5E7E87D0}" name="Column454"/>
    <tableColumn id="469" xr3:uid="{38932164-5186-4779-ADBA-556E6CCD1FFD}" name="Column455"/>
    <tableColumn id="470" xr3:uid="{94791A84-0FE5-436A-9649-1E45961949A0}" name="Column456"/>
    <tableColumn id="471" xr3:uid="{3152E0DF-E505-4905-B075-F15B7C11D578}" name="Column457"/>
    <tableColumn id="472" xr3:uid="{3A43383E-9622-490E-9598-65C9FC88FA87}" name="Column458"/>
    <tableColumn id="473" xr3:uid="{96E14FB8-DD1F-488E-B3CF-505A460FC547}" name="Column459"/>
    <tableColumn id="474" xr3:uid="{D7A49FAB-1203-4B56-9166-773A14AC8889}" name="Column460"/>
    <tableColumn id="475" xr3:uid="{1E9804DB-3FE7-4B21-B3BF-3AFD707B7653}" name="Column461"/>
    <tableColumn id="476" xr3:uid="{5ED3859E-2AA7-4EB6-ACCA-96DEF1223412}" name="Column462"/>
    <tableColumn id="477" xr3:uid="{14A3E1DC-BC6F-4461-BB5C-7BB797A599E0}" name="Column463"/>
    <tableColumn id="478" xr3:uid="{EE696A67-F7E8-4571-A934-7B7E81DB787B}" name="Column464"/>
    <tableColumn id="479" xr3:uid="{E213AD67-289F-4F37-9D38-B91D672DBE58}" name="Column465"/>
    <tableColumn id="480" xr3:uid="{2D69B89C-995A-45F5-BDF3-7373831B90DB}" name="Column466"/>
    <tableColumn id="481" xr3:uid="{4461F3E1-DE1F-4521-AA61-72B4BA6FCF4A}" name="Column467"/>
    <tableColumn id="482" xr3:uid="{99C84BF0-7AEC-4BFC-8979-F40D486692F6}" name="Column468"/>
    <tableColumn id="483" xr3:uid="{4F5FA72C-6701-4B47-BA12-C1D860D762B3}" name="Column469"/>
    <tableColumn id="484" xr3:uid="{3F5E3E14-3FBE-426E-ABB0-402FC60FBE8E}" name="Column470"/>
    <tableColumn id="485" xr3:uid="{0DF39AC7-4C82-4FFB-9611-E8807272FAF4}" name="Column471"/>
    <tableColumn id="486" xr3:uid="{26C18768-2889-4982-852C-59DD6CFD2C9F}" name="Column472"/>
    <tableColumn id="487" xr3:uid="{1CB88456-7736-4433-880C-68D9C1904594}" name="Column473"/>
    <tableColumn id="488" xr3:uid="{035D4D34-6085-402B-88F8-E0426A03DEEF}" name="Column474"/>
    <tableColumn id="489" xr3:uid="{0DDF9CDD-1CE9-4772-AE37-2D39303A6A0C}" name="Column475"/>
    <tableColumn id="490" xr3:uid="{64DBBF09-23E4-4CE1-ADE4-082A9363E188}" name="Column476"/>
    <tableColumn id="491" xr3:uid="{A9D53A45-2D77-4495-8587-ACCBAC0EA97F}" name="Column477"/>
    <tableColumn id="492" xr3:uid="{ECB41B2C-E4B3-4150-ACEC-001D8325B0ED}" name="Column478"/>
    <tableColumn id="493" xr3:uid="{3EAC6203-551E-4DA3-8D6F-C6A5314D2A81}" name="Column479"/>
    <tableColumn id="494" xr3:uid="{FA4CAB7E-B9DD-438B-AC8F-571EFAAA03B1}" name="Column480"/>
    <tableColumn id="495" xr3:uid="{E3C996EC-A2E4-492D-A936-D48CF8AD2B48}" name="Column481"/>
    <tableColumn id="496" xr3:uid="{61843D54-8B11-485D-BE6A-E5729C49B2F2}" name="Column482"/>
    <tableColumn id="497" xr3:uid="{FF71A048-9F89-4B2B-8B62-89C2EEC4B368}" name="Column483"/>
    <tableColumn id="498" xr3:uid="{AC208314-AEFE-46C0-B9E0-04D70A2BB0CD}" name="Column484"/>
    <tableColumn id="499" xr3:uid="{D57907B2-DF4B-4C39-A45D-42AE65A8EAD4}" name="Column485"/>
    <tableColumn id="500" xr3:uid="{C95B3F02-8283-465D-9CC3-AF5C90775152}" name="Column486"/>
    <tableColumn id="501" xr3:uid="{D54DDEF4-9DBC-4EFC-9FC4-2F27ECEB211D}" name="Column487"/>
    <tableColumn id="502" xr3:uid="{9EB75E81-7FB8-4BA9-8F70-4132FC17F2A5}" name="Column488"/>
    <tableColumn id="503" xr3:uid="{83DA016B-20F7-4E1D-9CBA-D625F355417F}" name="Column489"/>
    <tableColumn id="504" xr3:uid="{182EC7A7-C12C-46A2-A980-F34E48A6995B}" name="Column490"/>
    <tableColumn id="505" xr3:uid="{38C11491-7FC1-4865-B969-BB1484CBDD19}" name="Column491"/>
    <tableColumn id="506" xr3:uid="{ED7C95EB-4729-4D2F-A8C7-3A97859DEE16}" name="Column492"/>
    <tableColumn id="507" xr3:uid="{E1671C37-1658-4DE1-82E2-33DEF7616EAF}" name="Column493"/>
    <tableColumn id="508" xr3:uid="{11C2483E-A391-491E-BE1E-A53B67AC8294}" name="Column494"/>
    <tableColumn id="509" xr3:uid="{8FC43831-688B-4FFF-AB7F-BEE1B18EA67C}" name="Column495"/>
    <tableColumn id="510" xr3:uid="{4FC2F65D-E5DB-4EA7-B441-37BEF767C8BE}" name="Column496"/>
    <tableColumn id="511" xr3:uid="{E0751442-CD12-47FC-AF51-29D84CA1DBEC}" name="Column497"/>
    <tableColumn id="512" xr3:uid="{9C620875-572A-46EF-8F69-91C68BB19409}" name="Column498"/>
    <tableColumn id="513" xr3:uid="{DA17B1B7-2C44-4F32-A7A8-437FA00A3B7E}" name="Column499"/>
    <tableColumn id="514" xr3:uid="{BC45935B-2BC3-4A44-B1AC-9DD04A697CFE}" name="Column500"/>
    <tableColumn id="515" xr3:uid="{876A3F45-347A-4085-9680-8068B40C27E1}" name="Column501"/>
    <tableColumn id="516" xr3:uid="{0D6C8251-B8B2-4C42-95A4-3D9B9ED394A0}" name="Column502"/>
    <tableColumn id="517" xr3:uid="{BDBBDFD5-A2F8-42C7-A779-86F35C73675C}" name="Column503"/>
    <tableColumn id="518" xr3:uid="{E701D318-0DB0-4DAE-BEA7-DD438E2C72CC}" name="Column504"/>
    <tableColumn id="519" xr3:uid="{D34093EE-4D72-4B2B-9DF5-A7533B4DF40D}" name="Column505"/>
    <tableColumn id="520" xr3:uid="{9DA10BAF-2DFA-47F4-A20A-43D12B9B902B}" name="Column506"/>
    <tableColumn id="521" xr3:uid="{06542269-F608-4E79-AB1D-98CFE0BA2790}" name="Column507"/>
    <tableColumn id="522" xr3:uid="{3514DF07-05BC-4BC5-B9CF-E75609CBA7B6}" name="Column508"/>
    <tableColumn id="523" xr3:uid="{A81CE28A-1468-4477-8C0C-D37934645446}" name="Column509"/>
    <tableColumn id="524" xr3:uid="{8DDDB9E1-670A-417E-9D2E-E307154819C7}" name="Column510"/>
    <tableColumn id="525" xr3:uid="{EE016DFE-573D-46D0-8937-0727F47A1672}" name="Column511"/>
    <tableColumn id="526" xr3:uid="{8ACDA074-7B44-4CF9-94E5-DA6D113B5138}" name="Column512"/>
    <tableColumn id="527" xr3:uid="{D73222BB-E288-48B4-9163-1A20141B0D89}" name="Column513"/>
    <tableColumn id="528" xr3:uid="{BC770710-96F3-4985-8279-35C86527C3DB}" name="Column514"/>
    <tableColumn id="529" xr3:uid="{70720772-06DB-4C86-8E96-8E38CDC4CE88}" name="Column515"/>
    <tableColumn id="530" xr3:uid="{397247DF-AF8D-4FCE-BFBA-47A72F4E9BF2}" name="Column516"/>
    <tableColumn id="531" xr3:uid="{0E5C7C7C-0A0D-478C-BACC-F83197F5A9E3}" name="Column517"/>
    <tableColumn id="532" xr3:uid="{99FA18FB-FC5E-4508-9464-AD0630603CA8}" name="Column518"/>
    <tableColumn id="533" xr3:uid="{1B905685-B0FB-47D0-9E0B-16C7FC8E4014}" name="Column519"/>
    <tableColumn id="534" xr3:uid="{BC4085B4-B415-4F61-8C4F-F777EB7CFDEE}" name="Column520"/>
    <tableColumn id="535" xr3:uid="{86924BFF-8971-4753-B5B1-533640AF0CA3}" name="Column521"/>
    <tableColumn id="536" xr3:uid="{1E751C0E-F600-45FF-B4B5-84A221962D19}" name="Column522"/>
    <tableColumn id="537" xr3:uid="{1908CF43-941B-4EE5-A22C-3D235CFC16C7}" name="Column523"/>
    <tableColumn id="538" xr3:uid="{193B9066-4AFF-48F3-BB78-7D27818E4B55}" name="Column524"/>
    <tableColumn id="539" xr3:uid="{8410191C-F0D7-440D-B92C-C04CBD3C6293}" name="Column525"/>
    <tableColumn id="540" xr3:uid="{ED778F85-61DB-40A9-B6E1-472708655A1A}" name="Column526"/>
    <tableColumn id="541" xr3:uid="{973D4A47-2A41-4746-9DC4-956C2B93A495}" name="Column527"/>
    <tableColumn id="542" xr3:uid="{FB12177F-6830-4AA3-8E26-2E6DC205D166}" name="Column528"/>
    <tableColumn id="543" xr3:uid="{5B436651-F98B-4954-B895-F9DB911EFADC}" name="Column529"/>
    <tableColumn id="544" xr3:uid="{A97810D1-F5B3-4387-9C8E-85B09C6D1E09}" name="Column530"/>
    <tableColumn id="545" xr3:uid="{43AAB738-2FA8-4A74-B401-E8C64D7DB5BB}" name="Column531"/>
    <tableColumn id="546" xr3:uid="{D0A8C604-4E77-407E-8419-A7FFFDFFA16C}" name="Column532"/>
    <tableColumn id="547" xr3:uid="{67D945A8-9CB3-4BA7-82E5-80D59D0F4CD6}" name="Column533"/>
    <tableColumn id="548" xr3:uid="{09D6D1BA-F6C9-44D8-A55B-C67FD526A72C}" name="Column534"/>
    <tableColumn id="549" xr3:uid="{BD4C600F-85E2-4153-94DD-B22A8BCC501A}" name="Column535"/>
    <tableColumn id="550" xr3:uid="{E531717C-0E2C-4610-8B96-40618AF6C3FD}" name="Column536"/>
    <tableColumn id="551" xr3:uid="{C498DE83-53F7-4B32-A30C-E0FBBC33302C}" name="Column537"/>
    <tableColumn id="552" xr3:uid="{55A3632B-0E2E-48ED-9A88-E922CEDB3884}" name="Column538"/>
    <tableColumn id="553" xr3:uid="{F914340B-E2C0-4B5C-A87E-A1F8D58B6026}" name="Column539"/>
    <tableColumn id="554" xr3:uid="{0246531B-7A38-421D-8101-B8DB0C8F207F}" name="Column540"/>
    <tableColumn id="555" xr3:uid="{E889F106-9295-4947-BC58-E81BD83D2124}" name="Column541"/>
    <tableColumn id="556" xr3:uid="{BCB43D34-553F-4D39-96C4-90C53A97FBC7}" name="Column542"/>
    <tableColumn id="557" xr3:uid="{82E3AA2F-E6E1-4A8F-88C2-5FDFA42656F8}" name="Column543"/>
    <tableColumn id="558" xr3:uid="{9978CCE6-38F0-42A8-A1BB-9CF73E1157C0}" name="Column544"/>
    <tableColumn id="559" xr3:uid="{807208E6-17CA-4ABE-B0E8-888A13C133E6}" name="Column545"/>
    <tableColumn id="560" xr3:uid="{4E42689B-ACFE-40E4-A091-D83C78975BBF}" name="Column546"/>
    <tableColumn id="561" xr3:uid="{15957944-4007-471A-82D0-A6E934ABE241}" name="Column547"/>
    <tableColumn id="562" xr3:uid="{601CA6CB-62B0-439A-BE3A-CB8B98946874}" name="Column548"/>
    <tableColumn id="563" xr3:uid="{13A07D16-29AA-45C9-8B07-594330D40EBD}" name="Column549"/>
    <tableColumn id="564" xr3:uid="{E21255B9-1A24-4F1F-B894-50E06A6C6BC2}" name="Column550"/>
    <tableColumn id="565" xr3:uid="{C21E95C1-CEA1-4B2A-AE1A-EEC3B02C3673}" name="Column551"/>
    <tableColumn id="566" xr3:uid="{CD5F32D5-8B4B-4A37-A361-DB91F0438653}" name="Column552"/>
    <tableColumn id="567" xr3:uid="{C4A6A27C-0B89-4441-BC8D-AC9344CF84DE}" name="Column553"/>
    <tableColumn id="568" xr3:uid="{A804E915-A0B3-4924-9168-186366789073}" name="Column554"/>
    <tableColumn id="569" xr3:uid="{3F95662D-5886-4563-81BD-3803B0468954}" name="Column555"/>
    <tableColumn id="570" xr3:uid="{07C20E73-CA6F-4D7C-8C1D-85A8E3CDCBFB}" name="Column556"/>
    <tableColumn id="571" xr3:uid="{B6723AC0-E82A-4587-A335-A99670ECBF93}" name="Column557"/>
    <tableColumn id="572" xr3:uid="{3586B4F4-A7B1-49A8-A58A-3EF7CE849A2E}" name="Column558"/>
    <tableColumn id="573" xr3:uid="{5F4E8A8C-2AEA-420B-B333-EFD444F0AB84}" name="Column559"/>
    <tableColumn id="574" xr3:uid="{4163A4BC-B5B3-4ABD-8731-AD4C2087CD85}" name="Column560"/>
    <tableColumn id="575" xr3:uid="{0CEB7D01-C195-49E7-B86B-CC076BB79CF6}" name="Column561"/>
    <tableColumn id="576" xr3:uid="{4DCC6FCA-38E2-4D36-ACB9-C6E589408FC1}" name="Column562"/>
    <tableColumn id="577" xr3:uid="{5C46EAA8-B42B-49C4-A6B5-06E1DE54CAAC}" name="Column563"/>
    <tableColumn id="578" xr3:uid="{4D41D1E7-4404-487C-8F22-0B69B3CD9D61}" name="Column564"/>
    <tableColumn id="579" xr3:uid="{00E7DF16-93AA-4ED6-8D26-E32299D489C4}" name="Column565"/>
    <tableColumn id="580" xr3:uid="{8C484FF7-1A6C-43E0-BA5C-7B253CAD6F62}" name="Column566"/>
    <tableColumn id="581" xr3:uid="{D0FB49FE-248C-4259-B4A8-3CFE369F0665}" name="Column567"/>
    <tableColumn id="582" xr3:uid="{1CB124AA-B41C-47E9-B456-44CA8F78859A}" name="Column568"/>
    <tableColumn id="583" xr3:uid="{42EC111D-6CE5-450C-B352-1D4F07567D03}" name="Column569"/>
    <tableColumn id="584" xr3:uid="{A3181684-13DF-40B7-831D-EF20A8D8385A}" name="Column570"/>
    <tableColumn id="585" xr3:uid="{7789808F-E564-433C-A0ED-E5BDDFD5184E}" name="Column571"/>
    <tableColumn id="586" xr3:uid="{8488DF24-A7F1-462D-A8F5-64251D68AB28}" name="Column572"/>
    <tableColumn id="587" xr3:uid="{25580B50-174F-4702-9062-AF0138E31CA4}" name="Column573"/>
    <tableColumn id="588" xr3:uid="{A4981AED-5597-487F-902E-D44AE263BFFD}" name="Column574"/>
    <tableColumn id="589" xr3:uid="{49C1E302-31BE-4769-B235-1194999CC47E}" name="Column575"/>
    <tableColumn id="590" xr3:uid="{75952F18-52C4-432D-9B09-72C9992C7B49}" name="Column576"/>
    <tableColumn id="591" xr3:uid="{45EE871C-E38D-4B3F-B7C5-849C27CC5385}" name="Column577"/>
    <tableColumn id="592" xr3:uid="{12D873DC-46C0-4834-B482-7A37881645BE}" name="Column578"/>
    <tableColumn id="593" xr3:uid="{660DB50E-5D83-4A69-872F-6942835D1F3A}" name="Column579"/>
    <tableColumn id="594" xr3:uid="{45537ED3-7C8E-45E0-A90A-E363E76D935C}" name="Column580"/>
    <tableColumn id="595" xr3:uid="{1F7F80E7-3504-4263-9E7E-925B1E1AAE1C}" name="Column581"/>
    <tableColumn id="596" xr3:uid="{A8AC12B7-148C-403C-9965-17D36BC4CC8B}" name="Column582"/>
    <tableColumn id="597" xr3:uid="{8699B116-568A-46BF-8C43-9AB4EB5B6895}" name="Column583"/>
    <tableColumn id="598" xr3:uid="{1ABFD1B5-DE6C-4E5A-B7F1-C6CF4FC74A1C}" name="Column584"/>
    <tableColumn id="599" xr3:uid="{B66A6AA1-C285-4D18-922D-5DC578B78746}" name="Column585"/>
    <tableColumn id="600" xr3:uid="{AA26EFD6-9CC5-4527-9E69-68EE95A4AB7A}" name="Column586"/>
    <tableColumn id="601" xr3:uid="{F10126EC-778B-4790-A9A2-89444FCED4A0}" name="Column587"/>
    <tableColumn id="602" xr3:uid="{DBDADA41-EA51-4BD8-95BC-B8B1AA715386}" name="Column588"/>
    <tableColumn id="603" xr3:uid="{9A32FE1F-3162-44E6-A937-1D4801C4B89B}" name="Column589"/>
    <tableColumn id="604" xr3:uid="{CA82E9FF-BA23-407F-9FF1-CF73619EA3FB}" name="Column590"/>
    <tableColumn id="605" xr3:uid="{F0ACF267-6B60-486F-9E4F-16F8AE5C418C}" name="Column591"/>
    <tableColumn id="606" xr3:uid="{042AACE1-61AB-4C9F-B739-B0CEA11E6B4E}" name="Column592"/>
    <tableColumn id="607" xr3:uid="{489ACD1A-FBC4-4377-A11F-C454AD4DB555}" name="Column593"/>
    <tableColumn id="608" xr3:uid="{A3EE24A9-B8AB-4C9E-84E3-18A6133CEC12}" name="Column594"/>
    <tableColumn id="609" xr3:uid="{F90D566C-1D69-4AFD-B286-3BF9E8F48D70}" name="Column595"/>
    <tableColumn id="610" xr3:uid="{A9E5FC88-D8AF-4292-9EDB-5F8BCD164ABC}" name="Column596"/>
    <tableColumn id="611" xr3:uid="{CAF90F52-4EC9-4DB6-B459-E8CE6AA4EAB8}" name="Column597"/>
    <tableColumn id="612" xr3:uid="{690AB1FA-3C31-46CA-8156-A5835F66B329}" name="Column598"/>
    <tableColumn id="613" xr3:uid="{44556736-6144-4879-AF5F-3D05C2672E7C}" name="Column599"/>
    <tableColumn id="614" xr3:uid="{35C9E285-3F24-4567-9A1E-5DC98B478C5D}" name="Column600"/>
    <tableColumn id="615" xr3:uid="{0EFC53EF-AF5E-4588-BA0F-B476E4711A1D}" name="Column601"/>
    <tableColumn id="616" xr3:uid="{F8FEF6E0-A7F1-4979-A6B6-DF6CE90D53BD}" name="Column602"/>
    <tableColumn id="617" xr3:uid="{B5CA1CE7-F094-4287-8A81-170C13CBE3F4}" name="Column603"/>
    <tableColumn id="618" xr3:uid="{91ECC6A4-135F-4929-8C5B-01E82022368A}" name="Column604"/>
    <tableColumn id="619" xr3:uid="{E3CAC739-4815-4B21-93A8-69578AB69CA1}" name="Column605"/>
    <tableColumn id="620" xr3:uid="{0C906A30-F354-44CD-8B24-DF2AFD91B012}" name="Column606"/>
    <tableColumn id="621" xr3:uid="{65771A10-BAF2-49DB-8C55-F9734EAD617B}" name="Column607"/>
    <tableColumn id="622" xr3:uid="{38508D78-834A-476B-A398-6AEAF65D7900}" name="Column608"/>
    <tableColumn id="623" xr3:uid="{9DB783F7-B678-4ACA-BB90-8230705CF89C}" name="Column609"/>
    <tableColumn id="624" xr3:uid="{366F6931-3C8C-45CB-AB85-E4FA14F7F867}" name="Column610"/>
    <tableColumn id="625" xr3:uid="{FFBAD356-1C6B-464C-8F5D-D22FFC99D1A0}" name="Column611"/>
    <tableColumn id="626" xr3:uid="{12D45DF7-9DD9-465C-973B-C7DD0DCC17E4}" name="Column612"/>
    <tableColumn id="627" xr3:uid="{25EA0D6B-6C10-4855-8FCF-38A80427A484}" name="Column613"/>
    <tableColumn id="628" xr3:uid="{3789B58F-3200-403B-A240-B06D8462DA9B}" name="Column614"/>
    <tableColumn id="629" xr3:uid="{6E7E47AB-88F8-4F4D-ADA8-B8E0AE394D0E}" name="Column615"/>
    <tableColumn id="630" xr3:uid="{D28189CA-316A-4D67-BD26-CC051F3FAF9D}" name="Column616"/>
    <tableColumn id="631" xr3:uid="{9ECBBB20-0660-485A-B671-157EF91B89BF}" name="Column617"/>
    <tableColumn id="632" xr3:uid="{14899574-D974-4D4B-8FED-33359CF6642F}" name="Column618"/>
    <tableColumn id="633" xr3:uid="{680D2E38-6308-4B24-9468-77CEA1B22B25}" name="Column619"/>
    <tableColumn id="634" xr3:uid="{5EA76E19-68E8-4C22-84FE-FEDCEAFF1283}" name="Column620"/>
    <tableColumn id="635" xr3:uid="{2CB7452C-2200-4C65-A371-790A37822532}" name="Column621"/>
    <tableColumn id="636" xr3:uid="{58D0CC7A-A26A-49DF-AA45-40C4592799A0}" name="Column622"/>
    <tableColumn id="637" xr3:uid="{0110D41E-6085-44AB-83D6-B3C72D721A60}" name="Column623"/>
    <tableColumn id="638" xr3:uid="{BD0EB195-A633-4709-A5AF-227D41A3D6F7}" name="Column624"/>
    <tableColumn id="639" xr3:uid="{35759150-FB90-44F3-B392-89C636D4C7F3}" name="Column625"/>
    <tableColumn id="640" xr3:uid="{794B6AA2-D62C-4A52-9E12-FE0929EBB496}" name="Column626"/>
    <tableColumn id="641" xr3:uid="{F844F9EA-E9A4-43D1-B350-F0CAC8535201}" name="Column627"/>
    <tableColumn id="642" xr3:uid="{C4A837AC-49B7-4E61-B056-B69DBF1A5943}" name="Column628"/>
    <tableColumn id="643" xr3:uid="{1298AA91-C209-4341-9639-DA0B846BF824}" name="Column629"/>
    <tableColumn id="644" xr3:uid="{0CA3F890-1814-476A-BFFC-EEC0368E874D}" name="Column630"/>
    <tableColumn id="645" xr3:uid="{B609107C-449A-4BBB-BCF6-B9249E4B1431}" name="Column631"/>
    <tableColumn id="646" xr3:uid="{B22B0F8B-5024-4E08-B372-2065F9E6AD78}" name="Column632"/>
    <tableColumn id="647" xr3:uid="{906A3709-6AB4-4E2D-9BFB-8DA76C56F8C9}" name="Column633"/>
    <tableColumn id="648" xr3:uid="{57E955C7-B801-4B1B-9A02-7EDA975DACF6}" name="Column634"/>
    <tableColumn id="649" xr3:uid="{20B398B1-0979-41E1-AAFD-32A003A4F9BB}" name="Column635"/>
    <tableColumn id="650" xr3:uid="{F6C23C54-DF09-49F8-AF1E-D49241E971F4}" name="Column636"/>
    <tableColumn id="651" xr3:uid="{BEC59E48-85A8-40A1-84C5-4FFF41BF3439}" name="Column637"/>
    <tableColumn id="652" xr3:uid="{F2EF638F-6567-4203-8211-1AD82F7A9545}" name="Column638"/>
    <tableColumn id="653" xr3:uid="{DDB2E28F-A3BE-4319-8DCF-78930F743939}" name="Column639"/>
    <tableColumn id="654" xr3:uid="{C709CCFA-B252-49E6-8436-CAE1299E1E83}" name="Column640"/>
    <tableColumn id="655" xr3:uid="{90CAF1FD-6096-44D5-BC5D-71AA7D8E507F}" name="Column641"/>
    <tableColumn id="656" xr3:uid="{A6CF2B16-AA6D-44E6-A68B-4E9AF9BBDB3B}" name="Column642"/>
    <tableColumn id="657" xr3:uid="{FE4CC914-4F3A-4FC4-A8F2-6B5032FC54BF}" name="Column643"/>
    <tableColumn id="658" xr3:uid="{A8DB8C5C-B8E2-4184-BF33-8E5E280B4E17}" name="Column644"/>
    <tableColumn id="659" xr3:uid="{2C3DC0AB-8170-4E07-BFC0-6EE405C188A2}" name="Column645"/>
    <tableColumn id="660" xr3:uid="{6ECFEDD2-3584-469B-9C7F-CD7BD0F216E6}" name="Column646"/>
    <tableColumn id="661" xr3:uid="{9637A354-CC65-42E7-95EE-0891CC86E85A}" name="Column647"/>
    <tableColumn id="662" xr3:uid="{FAFD4197-E1D2-440A-9A67-1B83BC96E9CA}" name="Column648"/>
    <tableColumn id="663" xr3:uid="{7A1E56ED-0739-4DD0-A88A-F8AC747038D5}" name="Column649"/>
    <tableColumn id="664" xr3:uid="{0D887D62-C6EC-41B9-AFDE-F1E5E27C0908}" name="Column650"/>
    <tableColumn id="665" xr3:uid="{5D8A38DB-C826-4BB8-876E-63AEF7E4D5E7}" name="Column651"/>
    <tableColumn id="666" xr3:uid="{7A26013F-1D2B-4F6D-8C69-FE9C0142C5CC}" name="Column652"/>
    <tableColumn id="667" xr3:uid="{EC36B229-E24B-43DB-828D-644F2D30F686}" name="Column653"/>
    <tableColumn id="668" xr3:uid="{A83FC889-9B7B-4DEB-B16C-DBFB96C0F9DC}" name="Column654"/>
    <tableColumn id="669" xr3:uid="{8E0F577F-FC88-4A9D-8B4F-988CD04319AD}" name="Column655"/>
    <tableColumn id="670" xr3:uid="{9CC73A00-1776-4AC4-80E6-2DF48F597B2C}" name="Column656"/>
    <tableColumn id="671" xr3:uid="{472EC61E-9E9E-428B-9020-7FC5D946B760}" name="Column657"/>
    <tableColumn id="672" xr3:uid="{59BA621E-6C99-4071-917C-A75927CD60C8}" name="Column658"/>
    <tableColumn id="673" xr3:uid="{37BA77C5-949D-4499-B69F-285233B2589C}" name="Column659"/>
    <tableColumn id="674" xr3:uid="{7253BA00-CAD7-40A1-809E-5170E0CA3C42}" name="Column660"/>
    <tableColumn id="675" xr3:uid="{6789B19C-90FF-4B1C-B656-33D0E373FE4F}" name="Column661"/>
    <tableColumn id="676" xr3:uid="{C3BD5497-DB77-4D87-9408-87538DB6A4D6}" name="Column662"/>
    <tableColumn id="677" xr3:uid="{DDFFE9D2-A02E-411F-86C7-E229A2680CEF}" name="Column663"/>
    <tableColumn id="678" xr3:uid="{0262ADE2-8847-46E8-A7E5-6422A25F3597}" name="Column664"/>
    <tableColumn id="679" xr3:uid="{C165EBC8-73C0-4257-887F-3059992B54D5}" name="Column665"/>
    <tableColumn id="680" xr3:uid="{3BFE4E19-A8E0-4E3F-B73C-90CD63C51110}" name="Column666"/>
    <tableColumn id="681" xr3:uid="{78D5E501-8D42-439B-8C7B-7B79254C573A}" name="Column667"/>
    <tableColumn id="682" xr3:uid="{BFF4D25D-7286-49D0-8AC8-5FC28DE9384A}" name="Column668"/>
    <tableColumn id="683" xr3:uid="{2E9744A6-01CF-4A9E-B0E2-FF1862A1E593}" name="Column669"/>
    <tableColumn id="684" xr3:uid="{48998544-68CF-408E-B6E5-EE76958221D1}" name="Column670"/>
    <tableColumn id="685" xr3:uid="{8F5E6EC5-9D60-4FC8-AB59-5D9BA2408D94}" name="Column671"/>
    <tableColumn id="686" xr3:uid="{9965D271-03AE-4F81-A1EF-D4ECD0919A71}" name="Column672"/>
    <tableColumn id="687" xr3:uid="{86E04471-C59F-40AE-9CDB-54025EA5656A}" name="Column673"/>
    <tableColumn id="688" xr3:uid="{0FFCAA49-282E-4370-A780-DBD40071A554}" name="Column674"/>
    <tableColumn id="689" xr3:uid="{8997ABBA-AB60-4744-B427-B923D38CF90B}" name="Column675"/>
    <tableColumn id="690" xr3:uid="{625F6F21-AEA1-4594-9074-9492EAB5E3F2}" name="Column676"/>
    <tableColumn id="691" xr3:uid="{59CBDFA5-4AD3-49A9-A383-563E2722AE67}" name="Column677"/>
    <tableColumn id="692" xr3:uid="{A0655457-17D3-47E6-A9F0-A5A1F04C1396}" name="Column678"/>
    <tableColumn id="693" xr3:uid="{61B644CC-E954-4C50-A94A-8458D9AD1954}" name="Column679"/>
    <tableColumn id="694" xr3:uid="{B9447C08-301F-46C3-BB19-8191D8686584}" name="Column680"/>
    <tableColumn id="695" xr3:uid="{4CB78B3E-A609-4A3D-9172-B04058E78D95}" name="Column681"/>
    <tableColumn id="696" xr3:uid="{42B6F45B-32D0-4D57-8208-85957F7F97D8}" name="Column682"/>
    <tableColumn id="697" xr3:uid="{509255C0-9D04-420B-AE37-71487E19D5C9}" name="Column683"/>
    <tableColumn id="698" xr3:uid="{8A800580-82D4-46E5-AD51-24F87B4A07E4}" name="Column684"/>
    <tableColumn id="699" xr3:uid="{9D1B5DA3-C793-4131-8D5E-73441CE28DB4}" name="Column685"/>
    <tableColumn id="700" xr3:uid="{E542C786-7138-4DF8-BE7E-DB821C512B40}" name="Column686"/>
    <tableColumn id="701" xr3:uid="{9EC5CED3-71E3-4A3F-8829-5AB6D0AAE1FF}" name="Column687"/>
    <tableColumn id="702" xr3:uid="{D91FC69C-AB4C-40B0-87BE-96789F8F42F7}" name="Column688"/>
    <tableColumn id="703" xr3:uid="{9BF55099-0C61-4B57-83F7-5152C1100058}" name="Column689"/>
    <tableColumn id="704" xr3:uid="{740D695A-6BFD-4334-99D5-0B5B3497BCD0}" name="Column690"/>
    <tableColumn id="705" xr3:uid="{B50B412E-3083-4939-A064-6B567AF23751}" name="Column691"/>
    <tableColumn id="706" xr3:uid="{502B02F2-FEDF-407E-805C-6B3BDC9BC907}" name="Column692"/>
    <tableColumn id="707" xr3:uid="{2A26B1A2-9683-4A32-A574-8A20DCE30F82}" name="Column693"/>
    <tableColumn id="708" xr3:uid="{E5C5C100-9BC1-44AC-84EF-CA3B4E205743}" name="Column694"/>
    <tableColumn id="709" xr3:uid="{025DF524-7B8F-46D3-B515-586F9AD8BC0C}" name="Column695"/>
    <tableColumn id="710" xr3:uid="{C0FFC65D-9CBC-4116-9FF5-AD4C055E5F93}" name="Column696"/>
    <tableColumn id="711" xr3:uid="{DE96AE5B-9415-423E-BA6C-7A9D24DD67F9}" name="Column697"/>
    <tableColumn id="712" xr3:uid="{2D61C092-EA95-4B4C-A4E3-216D6CC1CCA9}" name="Column698"/>
    <tableColumn id="713" xr3:uid="{00431870-4B4D-4080-AB6B-AA557F9D74CA}" name="Column699"/>
    <tableColumn id="714" xr3:uid="{5A3E18F2-26B8-4F98-B8CA-B2A8838208D2}" name="Column700"/>
    <tableColumn id="715" xr3:uid="{BFC27768-3F72-4BED-9E16-0748DDC63FF8}" name="Column701"/>
    <tableColumn id="716" xr3:uid="{C72D5C74-93C3-47A3-9A4D-A32F969569DA}" name="Column702"/>
    <tableColumn id="717" xr3:uid="{94EF56B4-82FD-4E52-B80A-B0DE42959AE5}" name="Column703"/>
    <tableColumn id="718" xr3:uid="{F70B50BE-7B55-4F14-B5AB-CA84AA7CCB82}" name="Column704"/>
    <tableColumn id="719" xr3:uid="{17CA19AD-5D72-4C71-BB5C-178D708AB140}" name="Column705"/>
    <tableColumn id="720" xr3:uid="{EE5D5FB7-20CC-4D20-9BB3-867F3154C407}" name="Column706"/>
    <tableColumn id="721" xr3:uid="{C446DA8B-59A7-46C8-9FA0-31CD2733FDD3}" name="Column707"/>
    <tableColumn id="722" xr3:uid="{78E7D715-8D1C-40B4-B3CB-5730A7CF13CF}" name="Column708"/>
    <tableColumn id="723" xr3:uid="{94354488-EF89-4C40-AFA6-5209F31D7F71}" name="Column709"/>
    <tableColumn id="724" xr3:uid="{AA209566-66F4-42A1-BD2C-3962C0F801B0}" name="Column710"/>
    <tableColumn id="725" xr3:uid="{E90229F5-0213-4BC6-9394-02C3E092BDB3}" name="Column711"/>
    <tableColumn id="726" xr3:uid="{930E945E-A11B-4EA7-97CB-C019AED8EF5E}" name="Column712"/>
    <tableColumn id="727" xr3:uid="{F889C4D0-CB6C-4492-9F39-FBC0CE2178DF}" name="Column713"/>
    <tableColumn id="728" xr3:uid="{730A3074-91E3-4B19-A19B-8BD01A23EC28}" name="Column714"/>
    <tableColumn id="729" xr3:uid="{ACCD1C27-FB99-48F7-9B19-E2823FBE1B9F}" name="Column715"/>
    <tableColumn id="730" xr3:uid="{A43A9A22-473A-46C5-85C1-23C172DEE9AF}" name="Column716"/>
    <tableColumn id="731" xr3:uid="{091C5B93-9AE3-4C7E-8834-B93AA401B1EE}" name="Column717"/>
    <tableColumn id="732" xr3:uid="{1573A108-4EED-478D-BB22-5DB624712E5B}" name="Column718"/>
    <tableColumn id="733" xr3:uid="{68C971A7-4B0A-48EE-A131-498B9DEA3AFA}" name="Column719"/>
    <tableColumn id="734" xr3:uid="{4713BDDA-C069-4E4B-9753-F919904CCB84}" name="Column720"/>
    <tableColumn id="735" xr3:uid="{7F46CE51-3E96-481B-9172-52E75D114440}" name="Column721"/>
    <tableColumn id="736" xr3:uid="{08DA6D71-163D-4F93-8673-7D791311A3BF}" name="Column722"/>
    <tableColumn id="737" xr3:uid="{941ED729-C970-40A6-BED4-F564B0C6BFFB}" name="Column723"/>
    <tableColumn id="738" xr3:uid="{C90A95C8-6D1E-41D3-911A-84D7384DE168}" name="Column724"/>
    <tableColumn id="739" xr3:uid="{E3396715-18BE-4BCD-A885-847AABF6114F}" name="Column725"/>
    <tableColumn id="740" xr3:uid="{0369E721-A5F0-4D59-8CF4-D491B5ADDBA2}" name="Column726"/>
    <tableColumn id="741" xr3:uid="{07930B11-1EF3-4193-89BB-E477D9719300}" name="Column727"/>
    <tableColumn id="742" xr3:uid="{5D974D70-8E21-4A9E-96FC-1229858CF664}" name="Column728"/>
    <tableColumn id="743" xr3:uid="{E38C32EC-65DA-452F-9575-D04590FA863C}" name="Column729"/>
    <tableColumn id="744" xr3:uid="{BF4D6D2B-0726-410F-9B80-B4949D24A4A5}" name="Column730"/>
    <tableColumn id="745" xr3:uid="{9A8EFE8D-513D-4019-AEF3-D7814348FB72}" name="Column731"/>
    <tableColumn id="746" xr3:uid="{BA0917A6-6872-4E28-9A60-807A85E2EB7F}" name="Column732"/>
    <tableColumn id="747" xr3:uid="{37BD362B-8369-4085-8417-AE937B052399}" name="Column733"/>
    <tableColumn id="748" xr3:uid="{42D9A67B-93BB-4ABE-9E4C-4423DBE38F0D}" name="Column734"/>
    <tableColumn id="749" xr3:uid="{A7FCBFC6-0692-465B-9D5A-900F2E37EE99}" name="Column735"/>
    <tableColumn id="750" xr3:uid="{00AD4A9D-9AC9-4791-9241-CFA498A6AF60}" name="Column736"/>
    <tableColumn id="751" xr3:uid="{5EEECE96-9FA9-446B-8F88-6DBD3D88D4B7}" name="Column737"/>
    <tableColumn id="752" xr3:uid="{98612C06-0278-4B68-8A72-4098ABF16B99}" name="Column738"/>
    <tableColumn id="753" xr3:uid="{1FA62344-27FE-4728-9183-E5F7BA27CB69}" name="Column739"/>
    <tableColumn id="754" xr3:uid="{D4911E90-E71D-455B-BD65-C93FB95CE71B}" name="Column740"/>
    <tableColumn id="755" xr3:uid="{DAE8C0FD-4591-4980-BA23-F4129FB5A07E}" name="Column741"/>
    <tableColumn id="756" xr3:uid="{5D799EAC-5177-4CBE-B2D5-7B7D87D63D76}" name="Column742"/>
    <tableColumn id="757" xr3:uid="{93AF8973-EC10-4EBC-9F88-7F260A646AF7}" name="Column743"/>
    <tableColumn id="758" xr3:uid="{E014067E-0A16-4DD6-AFC9-74670B2AF253}" name="Column744"/>
    <tableColumn id="759" xr3:uid="{2DD97230-9E77-4E94-9695-00B8A5EF09A0}" name="Column745"/>
    <tableColumn id="760" xr3:uid="{DCA90D2A-3383-4200-B30C-F99E729FBCBD}" name="Column746"/>
    <tableColumn id="761" xr3:uid="{F0A579D1-52C9-4142-A285-A73448F1E3E6}" name="Column747"/>
    <tableColumn id="762" xr3:uid="{2EB04C8D-A629-4660-8475-934E2E70AD08}" name="Column748"/>
    <tableColumn id="763" xr3:uid="{CDE6A558-6577-4127-A6D2-1A367673F63B}" name="Column749"/>
    <tableColumn id="764" xr3:uid="{08BAA2D3-FED9-4CC8-975B-0D68386679A5}" name="Column750"/>
    <tableColumn id="765" xr3:uid="{E9B44AEE-05C0-4C96-ACE4-2DF6E5559BC3}" name="Column751"/>
    <tableColumn id="766" xr3:uid="{0E729062-EB1A-49FA-A994-453CFB031783}" name="Column752"/>
    <tableColumn id="767" xr3:uid="{C5EB0DC1-2F34-402F-A476-C5F1EFE83696}" name="Column753"/>
    <tableColumn id="768" xr3:uid="{C6BE5A22-C3F4-41A7-84C9-D58313B9E872}" name="Column754"/>
    <tableColumn id="769" xr3:uid="{B54179C6-ECE2-4969-BCC4-316126347763}" name="Column755"/>
    <tableColumn id="770" xr3:uid="{8956C4E2-B341-44FF-A31C-714ABC8DAD4A}" name="Column756"/>
    <tableColumn id="771" xr3:uid="{43C8045C-1A2E-4EC2-84B8-0DD57B978A42}" name="Column757"/>
    <tableColumn id="772" xr3:uid="{B1E17CF0-6109-4276-BC64-057AEBE0EFF5}" name="Column758"/>
    <tableColumn id="773" xr3:uid="{CA67330B-5ACD-4DC6-A4F9-221D7C6CB94A}" name="Column759"/>
    <tableColumn id="774" xr3:uid="{C9575DE0-6950-4E0E-8623-9582FDF9227F}" name="Column760"/>
    <tableColumn id="775" xr3:uid="{97F5A8E6-2ABC-4FC7-944A-4BADDB4D3DD1}" name="Column761"/>
    <tableColumn id="776" xr3:uid="{F1E99B81-FE73-4DC3-84C6-421F60A6EFC1}" name="Column762"/>
    <tableColumn id="777" xr3:uid="{17FC0FCE-5D10-4457-AF76-74236D1C1F39}" name="Column763"/>
    <tableColumn id="778" xr3:uid="{01E64F3C-504B-4188-ADBA-440A6EB27361}" name="Column764"/>
    <tableColumn id="779" xr3:uid="{64C30E65-973B-4ED9-88DC-049AD088BFA5}" name="Column765"/>
    <tableColumn id="780" xr3:uid="{F2A180F5-4893-4BE0-964B-CDB79B882434}" name="Column766"/>
    <tableColumn id="781" xr3:uid="{9E28DAC4-DBB5-428D-A91D-8B9DA26DF48C}" name="Column767"/>
    <tableColumn id="782" xr3:uid="{9081394B-C459-4F64-9047-CE9F1C4B04C0}" name="Column768"/>
    <tableColumn id="783" xr3:uid="{33DA6147-51F2-416F-B341-74EDC67F93E0}" name="Column769"/>
    <tableColumn id="784" xr3:uid="{FEA461AA-3BEB-43A4-A461-36A892408618}" name="Column770"/>
    <tableColumn id="785" xr3:uid="{3AF6C601-E48E-4DA6-80EC-AF04EB6C9585}" name="Column771"/>
    <tableColumn id="786" xr3:uid="{68ED016D-284D-4DB6-A5A2-58ABDFE7CC96}" name="Column772"/>
    <tableColumn id="787" xr3:uid="{EDB7EE73-E6D7-4409-8D05-D4CDB32FC374}" name="Column773"/>
    <tableColumn id="788" xr3:uid="{7D078A6C-56F0-470E-8DC4-D333892CC479}" name="Column774"/>
    <tableColumn id="789" xr3:uid="{ECEB3A02-7F80-41F9-A1FD-10A2A2751C71}" name="Column775"/>
    <tableColumn id="790" xr3:uid="{70965DFB-78DB-48E3-A839-3E416F64478C}" name="Column776"/>
    <tableColumn id="791" xr3:uid="{5E84C563-3F8A-4BF0-93B7-6D4E069F326C}" name="Column777"/>
    <tableColumn id="792" xr3:uid="{5A37F464-2CA0-411A-B846-748332D870E4}" name="Column778"/>
    <tableColumn id="793" xr3:uid="{78A20BEC-B7ED-4F6E-A5BB-6F6B40DCD5C3}" name="Column779"/>
    <tableColumn id="794" xr3:uid="{37DBF70E-F39C-4EEA-81AC-9CE3B49CE505}" name="Column780"/>
    <tableColumn id="795" xr3:uid="{DCAC1037-DBE9-4750-965E-0E8916DCCF81}" name="Column781"/>
    <tableColumn id="796" xr3:uid="{79D14C9B-4B93-46A2-AD45-20942BAD2A99}" name="Column782"/>
    <tableColumn id="797" xr3:uid="{A525DB61-1DD4-4BC0-B23B-ACA2DA8BDE94}" name="Column783"/>
    <tableColumn id="798" xr3:uid="{F096A8DF-D812-4289-973A-553F0970F877}" name="Column784"/>
    <tableColumn id="799" xr3:uid="{FF9874C8-CA3F-4527-91BB-6EF3A48038E9}" name="Column785"/>
    <tableColumn id="800" xr3:uid="{FB96CB84-FE84-43FE-9644-4347BB9BB364}" name="Column786"/>
    <tableColumn id="801" xr3:uid="{CFB6191A-19BE-4150-9E23-8881A3431AA3}" name="Column787"/>
    <tableColumn id="802" xr3:uid="{99482B61-6246-4C9F-82CB-D99E552F9B8E}" name="Column788"/>
    <tableColumn id="803" xr3:uid="{39B5B78C-AE9B-4E93-84C9-E93DCEBB820F}" name="Column789"/>
    <tableColumn id="804" xr3:uid="{152BC05D-34D6-4CE8-8DAA-D62E22D68CE6}" name="Column790"/>
    <tableColumn id="805" xr3:uid="{D1DCA748-1517-4D41-A683-2CF69709D963}" name="Column791"/>
    <tableColumn id="806" xr3:uid="{7E39835A-26F2-41BF-A6B0-A9F7898FEF3E}" name="Column792"/>
    <tableColumn id="807" xr3:uid="{4C0B9F06-FCB7-40D2-82D1-264FE23F27DA}" name="Column793"/>
    <tableColumn id="808" xr3:uid="{B0E4E3E2-93F9-4510-A96C-FBF68B3A2373}" name="Column794"/>
    <tableColumn id="809" xr3:uid="{C112E25B-45E4-4317-9F10-12B3A7558C49}" name="Column795"/>
    <tableColumn id="810" xr3:uid="{84E942D5-6892-4290-8050-F044799D7464}" name="Column796"/>
    <tableColumn id="811" xr3:uid="{6FFB2E3E-776E-43E9-ACC7-CE88A6009D40}" name="Column797"/>
    <tableColumn id="812" xr3:uid="{DCE61A92-7E07-4F1C-876D-9C095A16336E}" name="Column798"/>
    <tableColumn id="813" xr3:uid="{45FCF078-E47A-4A5D-A9E5-B929C7FBEDDC}" name="Column799"/>
    <tableColumn id="814" xr3:uid="{2BE5EDEF-97F4-4D34-9743-51E94C858EA5}" name="Column800"/>
    <tableColumn id="815" xr3:uid="{D718CA2F-1C61-4A22-B7EA-7D48713DD96E}" name="Column801"/>
    <tableColumn id="816" xr3:uid="{CA4BAD89-8D60-44DD-A7F0-1079E5B45590}" name="Column802"/>
    <tableColumn id="817" xr3:uid="{DBA11E67-C90C-4EDD-B4A3-8CAFB28B2CF6}" name="Column803"/>
    <tableColumn id="818" xr3:uid="{BB63FA0D-2BDB-40AC-B91F-3360086F221B}" name="Column804"/>
    <tableColumn id="819" xr3:uid="{95B12EC2-D449-445A-9470-97662C7ACDA7}" name="Column805"/>
    <tableColumn id="820" xr3:uid="{E19F7328-9191-4AD6-92EC-8AE74887744F}" name="Column806"/>
    <tableColumn id="821" xr3:uid="{F6BC97B2-E2F2-4F64-8423-9A339A0EC681}" name="Column807"/>
    <tableColumn id="822" xr3:uid="{6D785C50-88D2-4027-99E1-3F752F42F60F}" name="Column808"/>
    <tableColumn id="823" xr3:uid="{9982F7B8-D6E3-49F9-877D-188DBEC6B055}" name="Column809"/>
    <tableColumn id="824" xr3:uid="{392B07F2-79B1-4125-9F39-55D27CCD5D73}" name="Column810"/>
    <tableColumn id="825" xr3:uid="{889A70E4-6CD8-4479-9352-59794821555C}" name="Column811"/>
    <tableColumn id="826" xr3:uid="{49467E00-399A-4656-9B2A-79A8B2F10A46}" name="Column812"/>
    <tableColumn id="827" xr3:uid="{BD046CAA-F0F7-4B75-ABB1-12391240EEEF}" name="Column813"/>
    <tableColumn id="828" xr3:uid="{298C7975-1D1D-41BC-BFBF-1D2280B76C13}" name="Column814"/>
    <tableColumn id="829" xr3:uid="{9210FFDA-09CA-4118-BBCA-F87D65DC258B}" name="Column815"/>
    <tableColumn id="830" xr3:uid="{28B25AE9-9816-46D7-9683-69B1C698547C}" name="Column816"/>
    <tableColumn id="831" xr3:uid="{EE33D6EA-FD7B-4E56-8441-6B932D50548A}" name="Column817"/>
    <tableColumn id="832" xr3:uid="{8BE98278-9036-487F-B6F5-AB59485664FD}" name="Column818"/>
    <tableColumn id="833" xr3:uid="{471136A7-6813-4717-83C6-9BB347E42496}" name="Column819"/>
    <tableColumn id="834" xr3:uid="{AD1EA6CE-5369-4CF1-9593-CD4022AC68F9}" name="Column820"/>
    <tableColumn id="835" xr3:uid="{06A9ADC1-90BE-49F3-9A9B-157A6E73D887}" name="Column821"/>
    <tableColumn id="836" xr3:uid="{581FBABC-8769-45CB-B4A2-0374B1EBD90B}" name="Column822"/>
    <tableColumn id="837" xr3:uid="{4045A8E1-9A55-475A-A5E1-3D4576774939}" name="Column823"/>
    <tableColumn id="838" xr3:uid="{DEFE2D79-E8EB-49C0-9687-798845803CEE}" name="Column824"/>
    <tableColumn id="839" xr3:uid="{E3C9BC88-5B15-4830-837C-0309719EB441}" name="Column825"/>
    <tableColumn id="840" xr3:uid="{D6E7C4C6-C045-4E8A-9A85-D516BA4FE5EF}" name="Column826"/>
    <tableColumn id="841" xr3:uid="{CDAAA835-15AB-4DF6-AE8F-EC98320EB1FA}" name="Column827"/>
    <tableColumn id="842" xr3:uid="{5E3708CA-02E1-495B-8E5F-C50B5F177591}" name="Column828"/>
    <tableColumn id="843" xr3:uid="{5E467094-F9F6-466E-AB25-EA2B05553A78}" name="Column829"/>
    <tableColumn id="844" xr3:uid="{0B3F5C11-9182-4063-B76F-12D1158A4201}" name="Column830"/>
    <tableColumn id="845" xr3:uid="{5A825A64-9B8D-4C82-87EB-4F53FC30E54A}" name="Column831"/>
    <tableColumn id="846" xr3:uid="{A61C6CD4-3FCD-49BB-8649-83BC042D0CCE}" name="Column832"/>
    <tableColumn id="847" xr3:uid="{84102284-832B-4E5A-8C54-B550905E91A9}" name="Column833"/>
    <tableColumn id="848" xr3:uid="{9F794B4E-0F8E-4798-A461-CF7C0EB080CB}" name="Column834"/>
    <tableColumn id="849" xr3:uid="{7C5CF3EF-EC30-401E-8C71-972CB12ED00D}" name="Column835"/>
    <tableColumn id="850" xr3:uid="{D95322A4-71A9-4A12-B1A6-6D7FAB56BDA0}" name="Column836"/>
    <tableColumn id="851" xr3:uid="{C19F515E-4B08-4DA5-8737-0379BCD7333F}" name="Column837"/>
    <tableColumn id="852" xr3:uid="{1350BE3A-A1EB-473E-96C1-61470DF76F43}" name="Column838"/>
    <tableColumn id="853" xr3:uid="{25E54CCD-1937-4697-9D9D-6CFABE8A2270}" name="Column839"/>
    <tableColumn id="854" xr3:uid="{21D16F0C-4C13-4C35-9215-53BE0B593DB8}" name="Column840"/>
    <tableColumn id="855" xr3:uid="{417EA5C2-D7F3-4EAA-9E77-901A9FE3E87A}" name="Column841"/>
    <tableColumn id="856" xr3:uid="{64359DD9-6464-45B4-BB94-B14C11F2FECC}" name="Column842"/>
    <tableColumn id="857" xr3:uid="{7A3DF3CD-3B7F-49F9-BB6C-050F71309ED8}" name="Column843"/>
    <tableColumn id="858" xr3:uid="{DDB87994-1E48-41D8-A823-B93805E77C0F}" name="Column844"/>
    <tableColumn id="859" xr3:uid="{57A9B634-E6AB-473D-A0B0-54EEBB3AA889}" name="Column845"/>
    <tableColumn id="860" xr3:uid="{928343C4-CCEC-4DAB-91F3-B77F8508EC55}" name="Column846"/>
    <tableColumn id="861" xr3:uid="{2C012766-1D5E-4131-8B13-C9EF0EE42E85}" name="Column847"/>
    <tableColumn id="862" xr3:uid="{4CB74EBA-8B7D-4416-9648-2A9D38690038}" name="Column848"/>
    <tableColumn id="863" xr3:uid="{6D2A0614-0F11-4251-B113-4FFA2CC4550C}" name="Column849"/>
    <tableColumn id="864" xr3:uid="{40EF76DC-A7F1-4300-BC94-EFA57D9D9C3A}" name="Column850"/>
    <tableColumn id="865" xr3:uid="{469E815C-7D29-4B2F-82FF-92847F3929AD}" name="Column851"/>
    <tableColumn id="866" xr3:uid="{E63FA656-2638-4BD4-B91E-818AC7A153FF}" name="Column852"/>
    <tableColumn id="867" xr3:uid="{353A6FD1-2F45-4F35-A525-C73C195C345D}" name="Column853"/>
    <tableColumn id="868" xr3:uid="{4723A728-BB23-429C-A7C2-91617C676395}" name="Column854"/>
    <tableColumn id="869" xr3:uid="{AAC0B72B-F7DA-4AE9-BB00-B76EBF62BA68}" name="Column855"/>
    <tableColumn id="870" xr3:uid="{B4448B44-B48C-4444-B523-4448A760A586}" name="Column856"/>
    <tableColumn id="871" xr3:uid="{2C62F7CE-913B-4D9F-9C4E-5925AC0CA035}" name="Column857"/>
    <tableColumn id="872" xr3:uid="{2965EEE3-CD3D-4483-9BD8-5598560A7B45}" name="Column858"/>
    <tableColumn id="873" xr3:uid="{A257EF63-166A-4AB2-B565-1B413E8225B3}" name="Column859"/>
    <tableColumn id="874" xr3:uid="{A2B45C88-6266-4C6B-9845-9DDD38215046}" name="Column860"/>
    <tableColumn id="875" xr3:uid="{15EED382-A363-406B-BA39-F77963952C5B}" name="Column861"/>
    <tableColumn id="876" xr3:uid="{C3C4B573-1C36-4486-BC08-7FBA87B899B7}" name="Column862"/>
    <tableColumn id="877" xr3:uid="{9CABC768-5951-4F6F-9D31-C8F2A949114D}" name="Column863"/>
    <tableColumn id="878" xr3:uid="{C68AC092-4109-4B36-8C00-B8E3DB6B3CD6}" name="Column864"/>
    <tableColumn id="879" xr3:uid="{0EA89BC6-D8E0-4657-9A82-6B3D4A824DF6}" name="Column865"/>
    <tableColumn id="880" xr3:uid="{D90E1CB5-D985-45E3-B93D-91AD29B696AE}" name="Column866"/>
    <tableColumn id="881" xr3:uid="{A6600067-3F51-4777-AE94-04318860567C}" name="Column867"/>
    <tableColumn id="882" xr3:uid="{C7EFB251-6DB1-4AA6-A78F-2B988915ECAF}" name="Column868"/>
    <tableColumn id="883" xr3:uid="{E1347239-67C7-45CF-94CA-C283C206E50B}" name="Column869"/>
    <tableColumn id="884" xr3:uid="{EAD253D4-84DC-4569-930E-9C89FE9FAD7D}" name="Column870"/>
    <tableColumn id="885" xr3:uid="{61187778-52DD-4938-A00A-23F513490497}" name="Column871"/>
    <tableColumn id="886" xr3:uid="{D3113114-7E49-48EF-BBEE-DB09F24E0107}" name="Column872"/>
    <tableColumn id="887" xr3:uid="{018CA519-3D65-44B6-B486-931B873E1ECA}" name="Column873"/>
    <tableColumn id="888" xr3:uid="{97DB1AB5-CF08-47FB-B2F2-45EC13955212}" name="Column874"/>
    <tableColumn id="889" xr3:uid="{2907F0E0-1374-4C46-B430-16DBE1B2CFCF}" name="Column875"/>
    <tableColumn id="890" xr3:uid="{051A7742-EDD3-4A17-BE55-C7750026144C}" name="Column876"/>
    <tableColumn id="891" xr3:uid="{AC09B06F-FF22-48BF-B379-1D2D76DA5AC6}" name="Column877"/>
    <tableColumn id="892" xr3:uid="{836C8E09-2876-470A-96BD-15F9AC063242}" name="Column878"/>
    <tableColumn id="893" xr3:uid="{4402B0FF-6FD3-4A8E-8848-F94BC04B8BAB}" name="Column879"/>
    <tableColumn id="894" xr3:uid="{5C369848-0013-419A-981E-D593194A7BF1}" name="Column880"/>
    <tableColumn id="895" xr3:uid="{D3FCEC6B-1C78-47C4-90D6-2640C2550436}" name="Column881"/>
    <tableColumn id="896" xr3:uid="{857A4E13-8D38-42AD-8258-C3488BCC1A44}" name="Column882"/>
    <tableColumn id="897" xr3:uid="{63C8F411-18CE-4F80-AC3F-3C8EE7259D9C}" name="Column883"/>
    <tableColumn id="898" xr3:uid="{F0E6F8EA-94E8-4535-8D92-B2E805D81FC8}" name="Column884"/>
    <tableColumn id="899" xr3:uid="{72E30072-2E6D-48ED-834D-6FF030E171DA}" name="Column885"/>
    <tableColumn id="900" xr3:uid="{FA4FBC01-A6F0-40B1-847E-5195038F9066}" name="Column886"/>
    <tableColumn id="901" xr3:uid="{9E6B0249-DD2B-485A-801C-EC161C0BB7DD}" name="Column887"/>
    <tableColumn id="902" xr3:uid="{37E8AC48-23D6-4344-94E3-27EEB3CCF5E2}" name="Column888"/>
    <tableColumn id="903" xr3:uid="{523124E6-9AE1-41AD-B9B2-E14081D4534F}" name="Column889"/>
    <tableColumn id="904" xr3:uid="{E054B06B-1B2C-4156-9500-5DD931F4D43E}" name="Column890"/>
    <tableColumn id="905" xr3:uid="{4DB3C391-5762-43BB-A299-D175FF1A8427}" name="Column891"/>
    <tableColumn id="906" xr3:uid="{610208EB-FB83-4B03-B590-861C3F25D9F1}" name="Column892"/>
    <tableColumn id="907" xr3:uid="{3FC6C18B-016B-4F67-9F7E-749448A8E8C9}" name="Column893"/>
    <tableColumn id="908" xr3:uid="{263BF46F-C0A0-4F52-AC20-7E49DFE21E4B}" name="Column894"/>
    <tableColumn id="909" xr3:uid="{ADCCB41A-4AA6-43AB-914A-2772325A3DDB}" name="Column895"/>
    <tableColumn id="910" xr3:uid="{300FA732-79F8-41A1-8C49-C01201C698B3}" name="Column896"/>
    <tableColumn id="911" xr3:uid="{B5F01BD2-6671-4991-A65B-156CF15DB2D8}" name="Column897"/>
    <tableColumn id="912" xr3:uid="{DE0C146C-462D-4D6D-A6D0-F6D76B8391DD}" name="Column898"/>
    <tableColumn id="913" xr3:uid="{5A528F55-1391-431D-9B63-3BAB7F7D0293}" name="Column899"/>
    <tableColumn id="914" xr3:uid="{8CC9D636-77C8-402E-BAE7-B9413FB45058}" name="Column900"/>
    <tableColumn id="915" xr3:uid="{D9DD07A1-3363-4D4D-BC59-A8E4CEE227EF}" name="Column901"/>
    <tableColumn id="916" xr3:uid="{8BB66D91-BDEE-4B98-90F6-D01AE9C76837}" name="Column902"/>
    <tableColumn id="917" xr3:uid="{302061C1-3367-4FAC-8A41-1F55DA773495}" name="Column903"/>
    <tableColumn id="918" xr3:uid="{9B45D098-487A-44F6-838C-F6DF67542737}" name="Column904"/>
    <tableColumn id="919" xr3:uid="{7FAB47A2-3687-4574-BA55-02D89DA0B2E9}" name="Column905"/>
    <tableColumn id="920" xr3:uid="{8D6CB620-BD94-4E54-B4B0-916C16D9850D}" name="Column906"/>
    <tableColumn id="921" xr3:uid="{0C64E063-6770-4E29-B823-4E95C752E0F5}" name="Column907"/>
    <tableColumn id="922" xr3:uid="{E0D80B12-8C7E-4C70-82BC-76631496A1A4}" name="Column908"/>
    <tableColumn id="923" xr3:uid="{F961E81F-468C-4791-804D-781F5ECDD921}" name="Column909"/>
    <tableColumn id="924" xr3:uid="{93711775-70CE-4FAB-B320-B11CDDD16101}" name="Column910"/>
    <tableColumn id="925" xr3:uid="{99E2672A-8C28-4305-94F2-5F20FB42CB2E}" name="Column911"/>
    <tableColumn id="926" xr3:uid="{AABDA7E5-D397-4BC1-86FA-B6271F02692B}" name="Column912"/>
    <tableColumn id="927" xr3:uid="{EC5011FA-A9D8-4BC8-9D5F-31EA7DB5DF20}" name="Column913"/>
    <tableColumn id="928" xr3:uid="{618E57B3-F85F-4537-BC4C-170019787AAF}" name="Column914"/>
    <tableColumn id="929" xr3:uid="{478F11A0-C76F-4B2E-B45B-41ACD72AACF5}" name="Column915"/>
    <tableColumn id="930" xr3:uid="{3E097783-2405-4B8A-B1F0-0A532A175ADC}" name="Column916"/>
    <tableColumn id="931" xr3:uid="{91892956-0E37-4D47-B74D-E714C5A72182}" name="Column917"/>
    <tableColumn id="932" xr3:uid="{3C2A80ED-5D36-4015-901E-083F940F80A2}" name="Column918"/>
    <tableColumn id="933" xr3:uid="{E963AC28-B7B8-478D-8D9C-CA1E435F498D}" name="Column919"/>
    <tableColumn id="934" xr3:uid="{9C77447E-AC6A-4172-A78E-1993DC0997BE}" name="Column920"/>
    <tableColumn id="935" xr3:uid="{D581A4B3-F5E0-4B31-9501-573E7D4CACD1}" name="Column921"/>
    <tableColumn id="936" xr3:uid="{2DB774C5-9A0B-4D57-8F14-CE90122DB8EA}" name="Column922"/>
    <tableColumn id="937" xr3:uid="{26648654-98A3-445F-897C-7EC130085E5A}" name="Column923"/>
    <tableColumn id="938" xr3:uid="{5DE298FA-6A00-471A-AE7A-B449C85D444D}" name="Column924"/>
    <tableColumn id="939" xr3:uid="{43C9B9F4-345D-4F3C-A0CA-C1D73AA6C958}" name="Column925"/>
    <tableColumn id="940" xr3:uid="{5A846D5A-B56F-400A-8D44-805695E22D80}" name="Column926"/>
    <tableColumn id="941" xr3:uid="{72EE7BC7-5B98-4D0E-9712-B2C3476FB97F}" name="Column927"/>
    <tableColumn id="942" xr3:uid="{F948F750-6031-4551-A261-65DA7F8DDB70}" name="Column928"/>
    <tableColumn id="943" xr3:uid="{638DC956-47BE-4E28-9039-CA8F862BEAEA}" name="Column929"/>
    <tableColumn id="944" xr3:uid="{6270B5BB-761B-4EF3-BE88-97260A7C7554}" name="Column930"/>
    <tableColumn id="945" xr3:uid="{BB699C8D-D37B-4AE0-A167-F73745D0D557}" name="Column931"/>
    <tableColumn id="946" xr3:uid="{FA57F1E3-E118-4865-A6F8-E8C6C88E7C42}" name="Column932"/>
    <tableColumn id="947" xr3:uid="{A87DA511-F12E-4FE4-8DB5-CBCE0E9EBC9E}" name="Column933"/>
    <tableColumn id="948" xr3:uid="{6E6E258D-790F-4A7F-8F77-E3AE02DBEDDB}" name="Column934"/>
    <tableColumn id="949" xr3:uid="{57869FFB-BF62-440D-9AED-45899C1D0F9F}" name="Column935"/>
    <tableColumn id="950" xr3:uid="{405BD88D-AD7E-48B8-BDDD-808A74461F46}" name="Column936"/>
    <tableColumn id="951" xr3:uid="{1729D6BF-77CA-486A-8A2A-825C4E7B31CB}" name="Column937"/>
    <tableColumn id="952" xr3:uid="{6426959A-2101-4E22-A283-6978D880849A}" name="Column938"/>
    <tableColumn id="953" xr3:uid="{0302DCB4-E428-4C5B-AA46-0DDA1222CD94}" name="Column939"/>
    <tableColumn id="954" xr3:uid="{E252D4C1-4B28-4167-92C5-A9FAC69B37BF}" name="Column940"/>
    <tableColumn id="955" xr3:uid="{527666F6-CA22-4831-A108-624EF42FF05F}" name="Column941"/>
    <tableColumn id="956" xr3:uid="{8603BD7F-9794-4E46-BD65-B6B54B66C7C7}" name="Column942"/>
    <tableColumn id="957" xr3:uid="{6A95A256-0D55-4A8F-89ED-E2F495324E52}" name="Column943"/>
    <tableColumn id="958" xr3:uid="{71E0B3B4-569D-4F71-A232-7A6B98914081}" name="Column944"/>
    <tableColumn id="959" xr3:uid="{6AE6D5B2-51CB-456A-80C2-615B3AD1A835}" name="Column945"/>
    <tableColumn id="960" xr3:uid="{86028AF9-9497-4C2C-A93C-559CF20DB719}" name="Column946"/>
    <tableColumn id="961" xr3:uid="{7B3D7CDF-12B3-4DEC-B776-0E1F57FF905A}" name="Column947"/>
    <tableColumn id="962" xr3:uid="{C41B498D-2DF7-46E9-9CBE-77D0E186E1A5}" name="Column948"/>
    <tableColumn id="963" xr3:uid="{AB7725E1-B0C5-4AB9-B6CB-0E4F398C426C}" name="Column949"/>
    <tableColumn id="964" xr3:uid="{6E62E800-A470-4E47-ABC2-E7D1897BB3FB}" name="Column950"/>
    <tableColumn id="965" xr3:uid="{652CA831-F057-4E74-92E8-17FA5023F030}" name="Column951"/>
    <tableColumn id="966" xr3:uid="{D7BF51D5-4F4E-4879-9042-7DD36F40FC98}" name="Column952"/>
    <tableColumn id="967" xr3:uid="{B8680825-F89A-4D2D-8D26-2DC71D944304}" name="Column953"/>
    <tableColumn id="968" xr3:uid="{AD1E91CF-33B9-403A-AA51-5B2CB26C273A}" name="Column954"/>
    <tableColumn id="969" xr3:uid="{46850EF2-7604-428C-9A2B-B077E4E2BB88}" name="Column955"/>
    <tableColumn id="970" xr3:uid="{A0E635F3-D341-43D9-A866-F3D7C396B04A}" name="Column956"/>
    <tableColumn id="971" xr3:uid="{71515EC9-CC9A-44B4-B662-DED740305099}" name="Column957"/>
    <tableColumn id="972" xr3:uid="{EF0272C5-8C29-4F93-BC79-9E438F495E1E}" name="Column958"/>
    <tableColumn id="973" xr3:uid="{627EA2BB-5163-4EED-B0B0-78DC58F49681}" name="Column959"/>
    <tableColumn id="974" xr3:uid="{3E43036A-BC23-482D-A150-9ACBE74007F3}" name="Column960"/>
    <tableColumn id="975" xr3:uid="{B7EB05F2-DCBB-4E69-B89E-5E1F7A5D055C}" name="Column961"/>
    <tableColumn id="976" xr3:uid="{B8208BF3-550D-4AD4-9B3C-E7E56F422FAD}" name="Column962"/>
    <tableColumn id="977" xr3:uid="{D4B65BFB-9908-4471-A24D-25EEEBA46363}" name="Column963"/>
    <tableColumn id="978" xr3:uid="{CE5AC788-A004-47AD-B782-2802F03DDC25}" name="Column964"/>
    <tableColumn id="979" xr3:uid="{1EAA4C20-CDDA-47A8-A553-08F1EC96D739}" name="Column965"/>
    <tableColumn id="980" xr3:uid="{B666E084-D433-463D-8CBE-4181049F567A}" name="Column966"/>
    <tableColumn id="981" xr3:uid="{E01F0EDD-633B-4C18-A039-ECA47D73843A}" name="Column967"/>
    <tableColumn id="982" xr3:uid="{C3DD774D-9800-4A16-BA08-DEA7A01F709E}" name="Column968"/>
    <tableColumn id="983" xr3:uid="{E9D3D831-67EA-400B-8A36-C199B931DC6C}" name="Column969"/>
    <tableColumn id="984" xr3:uid="{E1F21E61-3920-4551-B987-396D096E3FD7}" name="Column970"/>
    <tableColumn id="985" xr3:uid="{BF39C485-EBA8-4D2D-A3F2-CED7CE4ADD60}" name="Column971"/>
    <tableColumn id="986" xr3:uid="{015A9ED7-C6D4-40CA-B607-5B583E5C115B}" name="Column972"/>
    <tableColumn id="987" xr3:uid="{8E71C8F2-4610-4B87-8D7B-8ADEC883DA1E}" name="Column973"/>
    <tableColumn id="988" xr3:uid="{47B9CEFF-425E-47C8-9C59-50816B37DCC9}" name="Column974"/>
    <tableColumn id="989" xr3:uid="{4253E090-AB27-41C7-99FB-64698CFC1E29}" name="Column975"/>
    <tableColumn id="990" xr3:uid="{B3AC1AAF-5FC8-438B-AE67-78702BE8C166}" name="Column976"/>
    <tableColumn id="991" xr3:uid="{81EDC6C6-D5BB-4172-AD57-00340B31F916}" name="Column977"/>
    <tableColumn id="992" xr3:uid="{81B9D894-9D85-4B4D-B679-8E6BD7B3F101}" name="Column978"/>
    <tableColumn id="993" xr3:uid="{8AAA9E81-F83D-4243-BC52-6C14009CB3F9}" name="Column979"/>
    <tableColumn id="994" xr3:uid="{D18CF2F2-5EF9-4CA7-811E-90C9C6E0C832}" name="Column980"/>
    <tableColumn id="995" xr3:uid="{63023B62-2D6F-49A3-B167-C2F24FB4DCFC}" name="Column981"/>
    <tableColumn id="996" xr3:uid="{11104DCA-97D2-4D8F-9E2D-4B6A39DC5E09}" name="Column982"/>
    <tableColumn id="997" xr3:uid="{A23C104A-40A2-4C9B-9DB6-5B4222303197}" name="Column983"/>
    <tableColumn id="998" xr3:uid="{99D78973-4F53-4A66-9176-5E325AEBCDA3}" name="Column984"/>
    <tableColumn id="999" xr3:uid="{7A1B5B4B-BD7E-47A5-920A-331FC3461D8F}" name="Column985"/>
    <tableColumn id="1000" xr3:uid="{5F5D33D5-1750-4C5E-8F98-0A509CBF5A72}" name="Column986"/>
    <tableColumn id="1001" xr3:uid="{6F60CE45-5C24-4B4A-AB41-ACC91A1468C7}" name="Column987"/>
    <tableColumn id="1002" xr3:uid="{2CCD1091-B188-43D2-931E-35147B53D9D0}" name="Column988"/>
    <tableColumn id="1003" xr3:uid="{8947F414-AB9C-4605-801B-413E1D8C43EB}" name="Column989"/>
    <tableColumn id="1004" xr3:uid="{2C0943DE-65E9-4AE9-A7C1-69944D9A2089}" name="Column990"/>
    <tableColumn id="1005" xr3:uid="{509886C5-5A9F-4606-A028-4A78C00FC18E}" name="Column991"/>
    <tableColumn id="1006" xr3:uid="{B40305C7-0B1A-4AE6-B39A-AF00ABBA1FD8}" name="Column992"/>
    <tableColumn id="1007" xr3:uid="{2C51FD66-9EE6-4484-8EF0-C64F4E0633F3}" name="Column993"/>
    <tableColumn id="1008" xr3:uid="{FC1D3201-142F-4DA0-B963-796DA2DAB9DA}" name="Column994"/>
    <tableColumn id="1009" xr3:uid="{8F0AA7D4-0741-4AC4-9C84-A6350CDAAE55}" name="Column995"/>
    <tableColumn id="1010" xr3:uid="{5D983D96-7CF8-4205-8162-7251748B926D}" name="Column996"/>
    <tableColumn id="1011" xr3:uid="{E1196348-721A-4071-8C34-D87FEE130EFC}" name="Column997"/>
    <tableColumn id="1012" xr3:uid="{E6BB269C-6B4B-4B9B-BA21-21F2D493B472}" name="Column998"/>
    <tableColumn id="1013" xr3:uid="{D7EEE14B-F7A1-4D64-9768-C6D879F6043F}" name="Column999"/>
    <tableColumn id="1014" xr3:uid="{1ACCBCBE-D186-4B20-B7E9-261AE325DE8C}" name="Column1000"/>
    <tableColumn id="1015" xr3:uid="{E7893784-0AC6-415E-AE83-26AB4A3582C6}" name="Column1001"/>
    <tableColumn id="1016" xr3:uid="{E7EEA16E-3FF0-4E4A-BD25-743C120A8D7D}" name="Column1002"/>
    <tableColumn id="1017" xr3:uid="{F60A8CC8-2AD3-4702-A9D0-F271BB66153B}" name="Column1003"/>
    <tableColumn id="1018" xr3:uid="{54809779-02D5-4FD4-9641-99EDC010C5DC}" name="Column1004"/>
    <tableColumn id="1019" xr3:uid="{63A74FF6-F626-4640-9B3D-380FC8E2B157}" name="Column1005"/>
    <tableColumn id="1020" xr3:uid="{49F9EADB-BA7D-42FB-B5D2-3592213BD907}" name="Column1006"/>
    <tableColumn id="1021" xr3:uid="{09B014EC-6DB1-41D9-9B06-F495BD2F80E1}" name="Column1007"/>
    <tableColumn id="1022" xr3:uid="{7AE59AC2-6CEB-439A-851F-54492C85EA62}" name="Column1008"/>
    <tableColumn id="1023" xr3:uid="{B1C6D039-38B2-466D-8369-C73C7E43291F}" name="Column1009"/>
    <tableColumn id="1024" xr3:uid="{44BD4502-C9D6-401F-B7A0-B0D2F3D5221E}" name="Column1010"/>
    <tableColumn id="1025" xr3:uid="{30E8F75A-D184-4A1F-86A1-B1876046125B}" name="Column1011"/>
    <tableColumn id="1026" xr3:uid="{48CE8118-7195-47FE-9C4C-1A798B3113DB}" name="Column1012"/>
    <tableColumn id="1027" xr3:uid="{3E22BF09-5F21-44A2-A5D3-115FA0F10D92}" name="Column1013"/>
    <tableColumn id="1028" xr3:uid="{A8DC31AD-F4A6-4E62-97D3-748257C7D677}" name="Column1014"/>
    <tableColumn id="1029" xr3:uid="{0E41D6CD-3554-4DD7-AE2B-E0F697B3C126}" name="Column1015"/>
    <tableColumn id="1030" xr3:uid="{37A270ED-D515-4D04-80D5-E7D6758449DE}" name="Column1016"/>
    <tableColumn id="1031" xr3:uid="{FA2D7031-F91B-4823-92EB-2C9F5A91E604}" name="Column1017"/>
    <tableColumn id="1032" xr3:uid="{F877B147-C604-4333-851E-FF2CB8924653}" name="Column1018"/>
    <tableColumn id="1033" xr3:uid="{8E76ACFC-AD0C-4478-B61F-B1CA7D14E22F}" name="Column1019"/>
    <tableColumn id="1034" xr3:uid="{FFB71C95-EC59-4BFE-BC8A-271F23368D6E}" name="Column1020"/>
    <tableColumn id="1035" xr3:uid="{ADC0DB42-C16D-4BA9-ADE4-4B64511EBD10}" name="Column1021"/>
    <tableColumn id="1036" xr3:uid="{4A27C985-F02F-4E39-8237-30C7141EC931}" name="Column1022"/>
    <tableColumn id="1037" xr3:uid="{E193C54C-D8F8-4E60-9478-12F7460E3191}" name="Column1023"/>
    <tableColumn id="1038" xr3:uid="{1EF8E970-1D13-4665-90F4-F354364C7872}" name="Column1024"/>
    <tableColumn id="1039" xr3:uid="{C7ED5FED-2900-4915-B993-A180C3A00BD8}" name="Column1025"/>
    <tableColumn id="1040" xr3:uid="{BDEA4D51-D4CA-4163-8C2B-C7DC51828D89}" name="Column1026"/>
    <tableColumn id="1041" xr3:uid="{DC7F9F75-9CF3-4F82-BD13-CE4069D8A9F5}" name="Column1027"/>
    <tableColumn id="1042" xr3:uid="{C44DFEC7-BE52-4DEB-B328-B7FFC7B2A5F2}" name="Column1028"/>
    <tableColumn id="1043" xr3:uid="{ACA83745-6E55-46DE-BDC6-42F6CA67E926}" name="Column1029"/>
    <tableColumn id="1044" xr3:uid="{78032655-3AC9-4495-95BD-D1F19B0685A1}" name="Column1030"/>
    <tableColumn id="1045" xr3:uid="{81555791-0CCF-4E8D-8E40-BFECCA76F5D5}" name="Column1031"/>
    <tableColumn id="1046" xr3:uid="{9D610C8F-7C56-4A8C-BC55-D0D79EE7BB3B}" name="Column1032"/>
    <tableColumn id="1047" xr3:uid="{FC9F6DE9-10AA-4090-B770-39A1D9D384E7}" name="Column1033"/>
    <tableColumn id="1048" xr3:uid="{A8F7BF4D-580C-4447-A9CB-310175D4DB2E}" name="Column1034"/>
    <tableColumn id="1049" xr3:uid="{D42C9842-B5DE-4107-A396-F93CAE9A8312}" name="Column1035"/>
    <tableColumn id="1050" xr3:uid="{27B3B1AA-D746-4716-9695-92C8129CEF64}" name="Column1036"/>
    <tableColumn id="1051" xr3:uid="{A841B8EC-B924-48A0-8E03-0D8D05431CD8}" name="Column1037"/>
    <tableColumn id="1052" xr3:uid="{E3C70CAB-36A7-48B9-ADB2-007E3E682B47}" name="Column1038"/>
    <tableColumn id="1053" xr3:uid="{AA86000A-6029-403B-BFD0-4B4BE5BA62B1}" name="Column1039"/>
    <tableColumn id="1054" xr3:uid="{EC84B0C9-3C86-41FF-ACC1-2CCE7D7984AA}" name="Column1040"/>
    <tableColumn id="1055" xr3:uid="{B1F37CBF-F331-4918-8738-BC9C28577DCC}" name="Column1041"/>
    <tableColumn id="1056" xr3:uid="{1A744552-C08D-4327-B55D-57D7A1560E63}" name="Column1042"/>
    <tableColumn id="1057" xr3:uid="{C7DDF0CA-046D-49F6-9E6C-F62E280E2339}" name="Column1043"/>
    <tableColumn id="1058" xr3:uid="{5656692F-302A-4BDF-8119-6289DEF62BB1}" name="Column1044"/>
    <tableColumn id="1059" xr3:uid="{FE7E3F54-F068-4CA7-A570-2720A04E10A7}" name="Column1045"/>
    <tableColumn id="1060" xr3:uid="{A38FE549-9383-405D-A593-BC169F4895F5}" name="Column1046"/>
    <tableColumn id="1061" xr3:uid="{55E33998-F4D1-4816-BE77-06F5B74A739F}" name="Column1047"/>
    <tableColumn id="1062" xr3:uid="{0BDBE476-D4DF-4428-B055-12A27E738723}" name="Column1048"/>
    <tableColumn id="1063" xr3:uid="{62CD1288-FDC5-4049-8031-9448BE36E359}" name="Column1049"/>
    <tableColumn id="1064" xr3:uid="{31457786-39F9-4C78-B3B3-B007105137B7}" name="Column1050"/>
    <tableColumn id="1065" xr3:uid="{EE80651D-D65D-4890-9309-8D2D7FB4248B}" name="Column1051"/>
    <tableColumn id="1066" xr3:uid="{76B8897E-A333-49F6-87EB-049104E30958}" name="Column1052"/>
    <tableColumn id="1067" xr3:uid="{E94D41D5-62AE-4070-BAC9-B77E9375C0EE}" name="Column1053"/>
    <tableColumn id="1068" xr3:uid="{6164BA7C-D6C8-48DB-989C-1D20CB45967D}" name="Column1054"/>
    <tableColumn id="1069" xr3:uid="{339C2C79-2C1F-4BEF-AFDA-6EF1D68741AA}" name="Column1055"/>
    <tableColumn id="1070" xr3:uid="{CEF8F4C9-524C-42CD-941F-939C221519B6}" name="Column1056"/>
    <tableColumn id="1071" xr3:uid="{48DE584D-4A8F-4F0D-843A-8217A4883BA2}" name="Column1057"/>
    <tableColumn id="1072" xr3:uid="{91E8D642-01F3-42E4-987F-6416A6A7968A}" name="Column1058"/>
    <tableColumn id="1073" xr3:uid="{B8ED037C-FBE1-4C05-8691-1D4CD4DF81C9}" name="Column1059"/>
    <tableColumn id="1074" xr3:uid="{3DC73547-09A0-48C4-B425-6453E0316ECD}" name="Column1060"/>
    <tableColumn id="1075" xr3:uid="{7BC9C7E3-E2F8-4674-82FB-A73E1E64633E}" name="Column1061"/>
    <tableColumn id="1076" xr3:uid="{9FE6A3B0-0CAB-4ADF-9D30-B720430E5117}" name="Column1062"/>
    <tableColumn id="1077" xr3:uid="{98E7168F-4368-44C5-8447-18B9A4184B58}" name="Column1063"/>
    <tableColumn id="1078" xr3:uid="{E8BB36B6-C753-417C-A28E-B01529D05E8E}" name="Column1064"/>
    <tableColumn id="1079" xr3:uid="{F2D6BDA7-67FE-4E04-B2AC-F0155127891B}" name="Column1065"/>
    <tableColumn id="1080" xr3:uid="{0752CA1D-45B9-470B-AEEE-07AD521B66D6}" name="Column1066"/>
    <tableColumn id="1081" xr3:uid="{13B17D7D-333D-4963-8082-56A166B3ADA3}" name="Column1067"/>
    <tableColumn id="1082" xr3:uid="{3CB76AC1-D0BD-4B41-B084-CCD02A79B9E9}" name="Column1068"/>
    <tableColumn id="1083" xr3:uid="{0D269C2B-63B6-43D6-B0D9-949A5772758A}" name="Column1069"/>
    <tableColumn id="1084" xr3:uid="{C32521B2-7974-46EE-85A3-000A018AD107}" name="Column1070"/>
    <tableColumn id="1085" xr3:uid="{0CBB4BB2-A0E9-4B87-B6AD-070B3B06D90B}" name="Column1071"/>
    <tableColumn id="1086" xr3:uid="{5E25FBE2-7966-469F-BD26-A5209E543186}" name="Column1072"/>
    <tableColumn id="1087" xr3:uid="{0AF0D661-E295-4A67-9B0A-9F5BC32AABAC}" name="Column1073"/>
    <tableColumn id="1088" xr3:uid="{26F354BE-FF01-4637-9C36-1DFDCBF13DF8}" name="Column1074"/>
    <tableColumn id="1089" xr3:uid="{10385453-FCB7-4FB6-A099-75D564745E6E}" name="Column1075"/>
    <tableColumn id="1090" xr3:uid="{F053165F-177F-4B8E-A8CE-EE7C23B3C253}" name="Column1076"/>
    <tableColumn id="1091" xr3:uid="{3C1C144F-1D7F-41DE-9BD5-C75070133B57}" name="Column1077"/>
    <tableColumn id="1092" xr3:uid="{064BD709-4EF0-480F-B1DC-A482AC230E1B}" name="Column1078"/>
    <tableColumn id="1093" xr3:uid="{438B9E59-EB2D-48E2-8069-C9BF47A90428}" name="Column1079"/>
    <tableColumn id="1094" xr3:uid="{A811F5EA-BA5E-4955-810A-C1B8AC9A87A5}" name="Column1080"/>
    <tableColumn id="1095" xr3:uid="{DFB5D2A9-B339-42CE-B2C2-AB36A44DC71D}" name="Column1081"/>
    <tableColumn id="1096" xr3:uid="{ED72C175-9382-4CC0-8EAB-D2D4E285ED71}" name="Column1082"/>
    <tableColumn id="1097" xr3:uid="{C76183B1-3038-42CC-95F7-38A03997244B}" name="Column1083"/>
    <tableColumn id="1098" xr3:uid="{AFD6BEA5-F23A-4585-9B21-213AF8D0449D}" name="Column1084"/>
    <tableColumn id="1099" xr3:uid="{9C308702-EF7D-4F15-AC56-5760634D881E}" name="Column1085"/>
    <tableColumn id="1100" xr3:uid="{A31EB3B9-8C43-4E4C-BD1B-E99CECC0D7FE}" name="Column1086"/>
    <tableColumn id="1101" xr3:uid="{73E381E8-5AA1-41C4-BAAB-AA426A4A97B2}" name="Column1087"/>
    <tableColumn id="1102" xr3:uid="{029BEF52-8921-48D3-889A-56FF02DA3ED6}" name="Column1088"/>
    <tableColumn id="1103" xr3:uid="{89C64B8D-EAE0-406A-87F5-2D8D57A91468}" name="Column1089"/>
    <tableColumn id="1104" xr3:uid="{463BDA18-60C5-443C-8EFB-1C8FE2BD8DD5}" name="Column1090"/>
    <tableColumn id="1105" xr3:uid="{8504ED1D-8724-43DC-9A25-253944DFFA59}" name="Column1091"/>
    <tableColumn id="1106" xr3:uid="{C8A9C8B7-E83A-4DE2-98FB-F6CAE06268A8}" name="Column1092"/>
    <tableColumn id="1107" xr3:uid="{178AC122-18BE-46E7-898E-41A88A4DA8A4}" name="Column1093"/>
    <tableColumn id="1108" xr3:uid="{C0ACE810-72E3-4D18-A936-FB10D6B47C2D}" name="Column1094"/>
    <tableColumn id="1109" xr3:uid="{AF0106FD-3B4C-476A-B595-02498CE42BEF}" name="Column1095"/>
    <tableColumn id="1110" xr3:uid="{603EBFF3-15E4-4FF5-BBDB-A21D7A192AAE}" name="Column1096"/>
    <tableColumn id="1111" xr3:uid="{9D8C9007-AB33-4151-AA13-BFAF1A306154}" name="Column1097"/>
    <tableColumn id="1112" xr3:uid="{CAECED09-8DE1-4D7C-8CE9-43143C55221D}" name="Column1098"/>
    <tableColumn id="1113" xr3:uid="{CE3E92C7-71C4-4769-83A3-4AAE6901D14A}" name="Column1099"/>
    <tableColumn id="1114" xr3:uid="{36C5F4B1-0B6A-446A-925E-2F62F0D5DAC4}" name="Column1100"/>
    <tableColumn id="1115" xr3:uid="{F78FE8DD-9F04-453B-A5B2-FAE2785F99A5}" name="Column1101"/>
    <tableColumn id="1116" xr3:uid="{DC1C4DBB-21FB-433F-938F-C0B963BBFB14}" name="Column1102"/>
    <tableColumn id="1117" xr3:uid="{7521A11C-7A93-4791-AD0F-47322F7D298E}" name="Column1103"/>
    <tableColumn id="1118" xr3:uid="{34EBF7EF-85E6-4E6F-8658-42690BA84E85}" name="Column1104"/>
    <tableColumn id="1119" xr3:uid="{65D1FCD2-6836-47F6-B4E5-515F7173D6AD}" name="Column1105"/>
    <tableColumn id="1120" xr3:uid="{EC40FAE2-F1B1-4A6A-8A49-1D51E94DEB2E}" name="Column1106"/>
    <tableColumn id="1121" xr3:uid="{A71C0D77-C455-47A4-AC49-FA64E67413A7}" name="Column1107"/>
    <tableColumn id="1122" xr3:uid="{CBC741BB-F8A3-4845-80BF-021F728A6CEB}" name="Column1108"/>
    <tableColumn id="1123" xr3:uid="{AC28FD24-5A43-494A-AFBD-52ACC333F621}" name="Column1109"/>
    <tableColumn id="1124" xr3:uid="{0C54E24B-5F66-4627-9BE7-9B8BDEDCB716}" name="Column1110"/>
    <tableColumn id="1125" xr3:uid="{7AB20000-0610-4844-B212-C34D0EF58A2C}" name="Column1111"/>
    <tableColumn id="1126" xr3:uid="{C463D8BF-AF5A-4F1B-B1FA-9940665C4873}" name="Column1112"/>
    <tableColumn id="1127" xr3:uid="{70E54C2D-8B3B-4028-8234-9C01682B1EE0}" name="Column1113"/>
    <tableColumn id="1128" xr3:uid="{A724F925-84C3-4ADF-BAB1-ECA8A59BBD65}" name="Column1114"/>
    <tableColumn id="1129" xr3:uid="{8432C9B1-DAAC-41AC-B773-E0CFF22E3B7F}" name="Column1115"/>
    <tableColumn id="1130" xr3:uid="{992EA832-8C55-4C24-877B-0C3CCD43ECA0}" name="Column1116"/>
    <tableColumn id="1131" xr3:uid="{29015805-37A2-4E13-AFC8-36451979F93B}" name="Column1117"/>
    <tableColumn id="1132" xr3:uid="{B1CB654B-5AF8-4E25-AEE8-427681A13BF6}" name="Column1118"/>
    <tableColumn id="1133" xr3:uid="{B48E1FCD-0346-4A07-B159-94D6820421E1}" name="Column1119"/>
    <tableColumn id="1134" xr3:uid="{6047F630-B8F4-4018-9FBD-03661B72866F}" name="Column1120"/>
    <tableColumn id="1135" xr3:uid="{28D6ABB9-835E-46B9-98A5-9610CA9C37AC}" name="Column1121"/>
    <tableColumn id="1136" xr3:uid="{CDDE7D94-FD6E-4D8F-BE6F-D5B0687490FF}" name="Column1122"/>
    <tableColumn id="1137" xr3:uid="{F7E5358B-08F2-4F91-BBB9-71B8BDC2372A}" name="Column1123"/>
    <tableColumn id="1138" xr3:uid="{58C12AEA-5432-493B-BDDF-39E10CB5F3D4}" name="Column1124"/>
    <tableColumn id="1139" xr3:uid="{7B3326FA-503A-4731-8590-B97ACF32E479}" name="Column1125"/>
    <tableColumn id="1140" xr3:uid="{61BEDF05-E477-4685-99B4-C939C6CCC63A}" name="Column1126"/>
    <tableColumn id="1141" xr3:uid="{B382A267-A2DE-4372-B10B-151E881779A0}" name="Column1127"/>
    <tableColumn id="1142" xr3:uid="{98B59BE3-2ED4-4BDE-98BE-B3AA92A907C8}" name="Column1128"/>
    <tableColumn id="1143" xr3:uid="{C66EF5CD-5C87-4CB6-B34D-F07EC6B7B423}" name="Column1129"/>
    <tableColumn id="1144" xr3:uid="{444ABAE9-251A-483B-9BDE-E3431545CE48}" name="Column1130"/>
    <tableColumn id="1145" xr3:uid="{A1104872-F95F-4FBA-81D6-8F228AA34BE9}" name="Column1131"/>
    <tableColumn id="1146" xr3:uid="{23EC723A-EA8F-4246-9744-B3DBC8CCBDA3}" name="Column1132"/>
    <tableColumn id="1147" xr3:uid="{4B2176BE-673A-48C0-93DA-E4A12FAD2E37}" name="Column1133"/>
    <tableColumn id="1148" xr3:uid="{590CF978-6391-4F29-B707-1957C6811644}" name="Column1134"/>
    <tableColumn id="1149" xr3:uid="{35B2B16C-E71E-4A58-B063-A6D44B29CF25}" name="Column1135"/>
    <tableColumn id="1150" xr3:uid="{3C9CD48C-7909-4A7F-A21A-CB6A440DE6E9}" name="Column1136"/>
    <tableColumn id="1151" xr3:uid="{52B4A309-A742-422B-8ABE-9C0208A9D095}" name="Column1137"/>
    <tableColumn id="1152" xr3:uid="{5D138D47-6543-456B-AC58-34FB36F1BD8A}" name="Column1138"/>
    <tableColumn id="1153" xr3:uid="{10B65347-F568-4096-A56A-43AD8A2DCB60}" name="Column1139"/>
    <tableColumn id="1154" xr3:uid="{5A495D7A-B680-4BB6-A7AE-5E12176BAD4B}" name="Column1140"/>
    <tableColumn id="1155" xr3:uid="{43B0D254-A361-4930-82FA-6169DD6094D4}" name="Column1141"/>
    <tableColumn id="1156" xr3:uid="{D138C779-4DFA-4937-82FC-28AB29D9A26D}" name="Column1142"/>
    <tableColumn id="1157" xr3:uid="{54D52BAB-8D3E-4970-989E-227743C4B75A}" name="Column1143"/>
    <tableColumn id="1158" xr3:uid="{41B80CAD-4B5E-4AB1-AE45-018276B832FB}" name="Column1144"/>
    <tableColumn id="1159" xr3:uid="{1A856217-B0FA-4E19-9DD8-51BF4FCCD549}" name="Column1145"/>
    <tableColumn id="1160" xr3:uid="{6A63A33B-0C15-4D41-8FE9-3AA7B09D56EB}" name="Column1146"/>
    <tableColumn id="1161" xr3:uid="{93419B32-CF9A-48E8-914D-619CE4D61FE0}" name="Column1147"/>
    <tableColumn id="1162" xr3:uid="{3A435A2F-ACFB-4194-B63A-FF03771A100A}" name="Column1148"/>
    <tableColumn id="1163" xr3:uid="{7BA1CD15-2CA1-4ED3-9E9C-3EAA31D354BE}" name="Column1149"/>
    <tableColumn id="1164" xr3:uid="{8B799041-F44D-41E2-953F-8DD0A6DFAB28}" name="Column1150"/>
    <tableColumn id="1165" xr3:uid="{E3756D3D-7973-4D71-8C1F-2AEA3E17CF34}" name="Column1151"/>
    <tableColumn id="1166" xr3:uid="{5890B9C9-9261-464C-8606-68016EAC3CFD}" name="Column1152"/>
    <tableColumn id="1167" xr3:uid="{04A5AC0B-4ED9-4A9D-9B54-B16C2E0F7216}" name="Column1153"/>
    <tableColumn id="1168" xr3:uid="{8A893B3C-6241-45B0-9715-6FEA15F5C185}" name="Column1154"/>
    <tableColumn id="1169" xr3:uid="{5ABCA070-D49D-4B2E-94E5-99A2AA140C44}" name="Column1155"/>
    <tableColumn id="1170" xr3:uid="{A844A57F-5211-4055-B8C6-DE043D73F604}" name="Column1156"/>
    <tableColumn id="1171" xr3:uid="{E708D4EE-AE5B-4316-BD85-F4F1C4879BED}" name="Column1157"/>
    <tableColumn id="1172" xr3:uid="{69521705-FAD4-40EC-8BD8-21991AA41643}" name="Column1158"/>
    <tableColumn id="1173" xr3:uid="{5B145038-11DA-43F6-B767-785E09BF82D9}" name="Column1159"/>
    <tableColumn id="1174" xr3:uid="{C537101B-5074-403C-8B38-5A0227A334B4}" name="Column1160"/>
    <tableColumn id="1175" xr3:uid="{543D1428-4008-4F71-A5CA-0CC2EABA9D6C}" name="Column1161"/>
    <tableColumn id="1176" xr3:uid="{07BD44D8-A725-4A1F-B9E0-A5E87A1AB7BF}" name="Column1162"/>
    <tableColumn id="1177" xr3:uid="{62EA8A0A-2BD6-487D-886C-720D01CE773D}" name="Column1163"/>
    <tableColumn id="1178" xr3:uid="{EFEE7013-E0A7-459C-B414-05927736DFC8}" name="Column1164"/>
    <tableColumn id="1179" xr3:uid="{8885EB7D-CECB-4FD4-912C-D99D5CEC5F9D}" name="Column1165"/>
    <tableColumn id="1180" xr3:uid="{1D277075-A783-4D90-B45E-59DA0EAD8C92}" name="Column1166"/>
    <tableColumn id="1181" xr3:uid="{57290BD6-09B9-4BAB-8844-474DAAFE19E9}" name="Column1167"/>
    <tableColumn id="1182" xr3:uid="{6F76651E-8E34-4B62-BF72-E489FB6C9D14}" name="Column1168"/>
    <tableColumn id="1183" xr3:uid="{7394436E-0125-4F08-A344-A091D51CB3F0}" name="Column1169"/>
    <tableColumn id="1184" xr3:uid="{4EA6BBAF-B39E-417B-84BC-F255DE2B5D4F}" name="Column1170"/>
    <tableColumn id="1185" xr3:uid="{C24A4472-3DBF-4A4C-ACDF-E9DE0F9C2905}" name="Column1171"/>
    <tableColumn id="1186" xr3:uid="{760AC6A1-FFDD-4792-ABF9-D8F590818252}" name="Column1172"/>
    <tableColumn id="1187" xr3:uid="{B32F27F5-90FF-4895-A49E-D382D7ADB94B}" name="Column1173"/>
    <tableColumn id="1188" xr3:uid="{A5D90F58-DE1D-4406-90BA-C76A5C163B67}" name="Column1174"/>
    <tableColumn id="1189" xr3:uid="{499DC4BF-F832-4D9D-8D6D-57A2D7736A49}" name="Column1175"/>
    <tableColumn id="1190" xr3:uid="{52EAF68C-534B-4630-9CD4-F052D55D2118}" name="Column1176"/>
    <tableColumn id="1191" xr3:uid="{0AD25601-5D26-486B-9402-359C5CFC2D0C}" name="Column1177"/>
    <tableColumn id="1192" xr3:uid="{55FA1EFB-1197-4528-8473-90D68746D3D8}" name="Column1178"/>
    <tableColumn id="1193" xr3:uid="{FD867B6D-05B6-4AEE-87FF-3C059521D522}" name="Column1179"/>
    <tableColumn id="1194" xr3:uid="{C5440CD5-9AFE-45C9-B594-300C645BA1DE}" name="Column1180"/>
    <tableColumn id="1195" xr3:uid="{952304BC-5B88-4ABA-AE7F-C6D1DD6059F0}" name="Column1181"/>
    <tableColumn id="1196" xr3:uid="{E0B04C47-02EA-482A-9796-FBE0512F8B34}" name="Column1182"/>
    <tableColumn id="1197" xr3:uid="{CF269F41-4D71-49C8-BDCD-A21598AC87A9}" name="Column1183"/>
    <tableColumn id="1198" xr3:uid="{4F5582F6-3111-4079-A1CE-ADB0D328079A}" name="Column1184"/>
    <tableColumn id="1199" xr3:uid="{C2EF27D5-ED2D-4339-BB1D-FB30B6B48164}" name="Column1185"/>
    <tableColumn id="1200" xr3:uid="{61581277-5612-47F3-85E2-8AC7E163DAB2}" name="Column1186"/>
    <tableColumn id="1201" xr3:uid="{F475695F-01A1-46DD-A4AC-E6C881B48EF0}" name="Column1187"/>
    <tableColumn id="1202" xr3:uid="{125E397D-7539-408B-B5A5-01E4D8FFE5F9}" name="Column1188"/>
    <tableColumn id="1203" xr3:uid="{3D06A925-1248-4CB4-8438-7A74B5DB6E98}" name="Column1189"/>
    <tableColumn id="1204" xr3:uid="{7109440C-99B6-44E9-BA86-11D65D6A8386}" name="Column1190"/>
    <tableColumn id="1205" xr3:uid="{5373CD00-2278-463B-AED4-F112AAA638FE}" name="Column1191"/>
    <tableColumn id="1206" xr3:uid="{383C389D-D313-445A-BAF3-D3BA4E34653D}" name="Column1192"/>
    <tableColumn id="1207" xr3:uid="{9C05BFE6-2CBC-4769-B286-C1177CA0D497}" name="Column1193"/>
    <tableColumn id="1208" xr3:uid="{F14D722B-CA05-4DBA-896F-ABAC60E03D38}" name="Column1194"/>
    <tableColumn id="1209" xr3:uid="{4741DE90-A83C-4912-B2F1-986E177EB7F9}" name="Column1195"/>
    <tableColumn id="1210" xr3:uid="{8128D088-0BBA-43DC-B841-3B0B25BED31C}" name="Column1196"/>
    <tableColumn id="1211" xr3:uid="{30C421F9-7280-4953-8D75-CB8CF798E7BE}" name="Column1197"/>
    <tableColumn id="1212" xr3:uid="{CC5ADF95-E879-4E9F-90AB-B092D4542EA5}" name="Column1198"/>
    <tableColumn id="1213" xr3:uid="{C3C93ABF-BF5C-4BDA-8D86-3CD192A494AC}" name="Column1199"/>
    <tableColumn id="1214" xr3:uid="{7BC1528D-4730-4F9A-81E5-C708DC0E384C}" name="Column1200"/>
    <tableColumn id="1215" xr3:uid="{50026434-4341-45BA-A236-555F836F69FD}" name="Column1201"/>
    <tableColumn id="1216" xr3:uid="{D5DEB989-4C7E-4E31-8DDC-3015D0A087FC}" name="Column1202"/>
    <tableColumn id="1217" xr3:uid="{805EF6DF-4CD5-4D32-BA7A-C665B93B8A68}" name="Column1203"/>
    <tableColumn id="1218" xr3:uid="{EFAE9FBC-BA42-40D5-8FA0-D86AA1A81E10}" name="Column1204"/>
    <tableColumn id="1219" xr3:uid="{4B2F9275-8175-4910-86E8-6032A2770869}" name="Column1205"/>
    <tableColumn id="1220" xr3:uid="{D3966469-3831-4346-91BD-5D7D51C69679}" name="Column1206"/>
    <tableColumn id="1221" xr3:uid="{9349878E-5043-4FF6-9F2E-EE783B26B32E}" name="Column1207"/>
    <tableColumn id="1222" xr3:uid="{504E5D3B-6438-435F-B249-F0E2517B8903}" name="Column1208"/>
    <tableColumn id="1223" xr3:uid="{FC4EA29B-3008-437F-B877-8E21EE3DB472}" name="Column1209"/>
    <tableColumn id="1224" xr3:uid="{B274CBA8-183E-4294-9951-BF70502AF64A}" name="Column1210"/>
    <tableColumn id="1225" xr3:uid="{FB012140-D0EE-4252-A0EF-A77C4EB8BC88}" name="Column1211"/>
    <tableColumn id="1226" xr3:uid="{C8444D9F-6C4C-4429-A310-CA3148A9ADF0}" name="Column1212"/>
    <tableColumn id="1227" xr3:uid="{DA2059D1-AC7E-4501-8D22-AF3678594DC2}" name="Column1213"/>
    <tableColumn id="1228" xr3:uid="{9E5C88BF-0837-4604-85DF-3FDF7E8654C6}" name="Column1214"/>
    <tableColumn id="1229" xr3:uid="{43005E41-8D9E-4542-B63E-9D599BA4F694}" name="Column1215"/>
    <tableColumn id="1230" xr3:uid="{B20963BC-B19D-4FAD-9147-509583BC9678}" name="Column1216"/>
    <tableColumn id="1231" xr3:uid="{6BCC4B83-2E1C-4A81-8AA5-40D026D7FA3A}" name="Column1217"/>
    <tableColumn id="1232" xr3:uid="{D3D13352-8B9C-4628-828B-482D06BB0F70}" name="Column1218"/>
    <tableColumn id="1233" xr3:uid="{B37DE594-B54F-49B0-BC01-A9981C464A9D}" name="Column1219"/>
    <tableColumn id="1234" xr3:uid="{297BE752-32A8-4E7A-9F48-B3F075CC4287}" name="Column1220"/>
    <tableColumn id="1235" xr3:uid="{9463FD7E-4A46-4546-916E-4325F6F51FF9}" name="Column1221"/>
    <tableColumn id="1236" xr3:uid="{DFB823FC-B93C-4A85-9879-9AF60D47E197}" name="Column1222"/>
    <tableColumn id="1237" xr3:uid="{F8D2077D-39B2-418F-BB6C-11EE44F55434}" name="Column1223"/>
    <tableColumn id="1238" xr3:uid="{3D2D3636-DEED-44DB-B2DF-75D4F19B658A}" name="Column1224"/>
    <tableColumn id="1239" xr3:uid="{1B8476F4-53D0-4449-8CFE-BAA4BBD96C77}" name="Column1225"/>
    <tableColumn id="1240" xr3:uid="{B8743C75-D5FA-415C-959A-0AAF1529B43C}" name="Column1226"/>
    <tableColumn id="1241" xr3:uid="{B624D9B4-A907-45CF-8840-A477E5022BC5}" name="Column1227"/>
    <tableColumn id="1242" xr3:uid="{E966FBCE-DC86-41FB-8D41-9625D4DE1AC3}" name="Column1228"/>
    <tableColumn id="1243" xr3:uid="{8FC5DBA2-EF27-48CD-BF76-6076261D237B}" name="Column1229"/>
    <tableColumn id="1244" xr3:uid="{EDAC7033-8CA2-4C8B-9A12-4E10864725B9}" name="Column1230"/>
    <tableColumn id="1245" xr3:uid="{4559B8F5-A144-4977-B8AC-E33A58B2C366}" name="Column1231"/>
    <tableColumn id="1246" xr3:uid="{4424DF48-1C6E-45CD-9E69-CF82017AAA0E}" name="Column1232"/>
    <tableColumn id="1247" xr3:uid="{9918BE50-2F83-4308-8132-A160A49A85CD}" name="Column1233"/>
    <tableColumn id="1248" xr3:uid="{E22C0EEF-1713-4019-9379-3E40AB9A4DBC}" name="Column1234"/>
    <tableColumn id="1249" xr3:uid="{A2D20E45-03B8-4DB2-8D3E-13F3C995A51B}" name="Column1235"/>
    <tableColumn id="1250" xr3:uid="{64E7B1E4-0A77-4CFC-A71A-CCC54EDDB423}" name="Column1236"/>
    <tableColumn id="1251" xr3:uid="{D84E7104-DACC-426A-80E6-6DDCD39228DB}" name="Column1237"/>
    <tableColumn id="1252" xr3:uid="{DD54CA6B-19CE-40A4-B085-0346D1FE7172}" name="Column1238"/>
    <tableColumn id="1253" xr3:uid="{E0DDE60D-5D82-45B8-BF23-8EF1917E5704}" name="Column1239"/>
    <tableColumn id="1254" xr3:uid="{E3361119-AF01-4AD8-9D17-5D2CEF012054}" name="Column1240"/>
    <tableColumn id="1255" xr3:uid="{9AA01FC0-A3BE-49D5-A7FF-78789F482321}" name="Column1241"/>
    <tableColumn id="1256" xr3:uid="{BE868BF1-4E2E-4C52-8E84-979A3FDAF524}" name="Column1242"/>
    <tableColumn id="1257" xr3:uid="{A3480041-1BF3-4D66-A805-AEC6F42EB649}" name="Column1243"/>
    <tableColumn id="1258" xr3:uid="{E425E4C3-E6DC-41BD-A9EB-1396999DAFE4}" name="Column1244"/>
    <tableColumn id="1259" xr3:uid="{88C650E1-84A7-4144-81E6-95E8FCA9CABF}" name="Column1245"/>
    <tableColumn id="1260" xr3:uid="{4A3208B7-07B8-4BC2-85B7-5A0A2366C67A}" name="Column1246"/>
    <tableColumn id="1261" xr3:uid="{6BC3B919-AC26-438A-9BFD-2DFDF652058D}" name="Column1247"/>
    <tableColumn id="1262" xr3:uid="{74355F4F-A320-407B-82FC-3A91C445E920}" name="Column1248"/>
    <tableColumn id="1263" xr3:uid="{01D61728-1713-44EE-8451-F5D69E37AE1C}" name="Column1249"/>
    <tableColumn id="1264" xr3:uid="{A9158464-CB1D-40BF-BB2D-E15D71D834B1}" name="Column1250"/>
    <tableColumn id="1265" xr3:uid="{B0119396-1891-4FF3-96A1-8CB1C5905B7E}" name="Column1251"/>
    <tableColumn id="1266" xr3:uid="{B147E21B-853F-4BBE-852E-4658A113DCCC}" name="Column1252"/>
    <tableColumn id="1267" xr3:uid="{4A8B27FB-45F9-4049-88C9-D2D173CF01E2}" name="Column1253"/>
    <tableColumn id="1268" xr3:uid="{67EF4DEB-186B-4E13-AA8E-0F1592D28D3A}" name="Column1254"/>
    <tableColumn id="1269" xr3:uid="{35FF8E81-6200-47F0-84CB-37B82276221E}" name="Column1255"/>
    <tableColumn id="1270" xr3:uid="{063136CB-4075-482B-B112-3F95B35067FC}" name="Column1256"/>
    <tableColumn id="1271" xr3:uid="{656D25B9-3095-4BC3-8DC5-045DD7FCC72B}" name="Column1257"/>
    <tableColumn id="1272" xr3:uid="{19CB3EBB-0A09-4665-8435-8FD10509E627}" name="Column1258"/>
    <tableColumn id="1273" xr3:uid="{EC248296-DE14-4B56-9E04-E62C5228077E}" name="Column1259"/>
    <tableColumn id="1274" xr3:uid="{D43B5A57-90E7-4BEA-9C17-8805008C4701}" name="Column1260"/>
    <tableColumn id="1275" xr3:uid="{DA6898EC-D7B2-4289-9F7F-E43FFB5F5900}" name="Column1261"/>
    <tableColumn id="1276" xr3:uid="{C0205306-0A96-475E-964A-D92E789013DA}" name="Column1262"/>
    <tableColumn id="1277" xr3:uid="{38DBAA4D-77D6-4C6D-8166-03840FFF9C2C}" name="Column1263"/>
    <tableColumn id="1278" xr3:uid="{BCA6FFEC-C107-41E7-9027-25D782CF227A}" name="Column1264"/>
    <tableColumn id="1279" xr3:uid="{FE92E2E3-59E5-4455-94AE-20A21CEE9C5E}" name="Column1265"/>
    <tableColumn id="1280" xr3:uid="{DA1AEA42-54BD-4BED-AD2A-75BD4F529C1A}" name="Column1266"/>
    <tableColumn id="1281" xr3:uid="{378D8C9C-4BE2-4FDE-A93A-789D3AA7167C}" name="Column1267"/>
    <tableColumn id="1282" xr3:uid="{A654DE84-8003-4BD0-98B5-B8A7D817642B}" name="Column1268"/>
    <tableColumn id="1283" xr3:uid="{C2B5A20C-7B8E-4F93-96BD-8D567319E10C}" name="Column1269"/>
    <tableColumn id="1284" xr3:uid="{3B028758-92EA-4F28-B1C5-0858779CD9B3}" name="Column1270"/>
    <tableColumn id="1285" xr3:uid="{13891684-5EE4-4181-837A-61BD91A83E72}" name="Column1271"/>
    <tableColumn id="1286" xr3:uid="{8132E7AA-EE8A-4B37-B095-AEFF1F4E8F10}" name="Column1272"/>
    <tableColumn id="1287" xr3:uid="{1CA244BF-0323-47BE-9AB4-FBBBB30B4E1A}" name="Column1273"/>
    <tableColumn id="1288" xr3:uid="{1C815AF2-CEFE-473D-8A43-CEC099E2464F}" name="Column1274"/>
    <tableColumn id="1289" xr3:uid="{2DF5B923-A6D0-422D-B044-08B5FCDBA29E}" name="Column1275"/>
    <tableColumn id="1290" xr3:uid="{81A4D506-7BF6-4BEB-B068-AFAB1CF356BA}" name="Column1276"/>
    <tableColumn id="1291" xr3:uid="{F3D80DDE-A82F-4EDF-8BE3-32457A759808}" name="Column1277"/>
    <tableColumn id="1292" xr3:uid="{57E75CE9-1146-4454-A644-FC0859DD0939}" name="Column1278"/>
    <tableColumn id="1293" xr3:uid="{E9163C1B-8BDB-42AF-BC0A-12EEB7BF6048}" name="Column1279"/>
    <tableColumn id="1294" xr3:uid="{9F67717D-D91D-47A8-B6E9-00A10C015848}" name="Column1280"/>
    <tableColumn id="1295" xr3:uid="{26AD368C-9FF9-4199-98AD-48F14FDB4E7C}" name="Column1281"/>
    <tableColumn id="1296" xr3:uid="{014FC399-DE7F-4A1E-8F79-08D4DCE396E4}" name="Column1282"/>
    <tableColumn id="1297" xr3:uid="{CB7E3792-FF47-45E6-8BBF-B1AE66E56148}" name="Column1283"/>
    <tableColumn id="1298" xr3:uid="{D6A3D90B-0DCE-4C15-848E-EF99CF616F97}" name="Column1284"/>
    <tableColumn id="1299" xr3:uid="{4DD23FF8-CC3B-41BE-AD88-2E46FED0DD8F}" name="Column1285"/>
    <tableColumn id="1300" xr3:uid="{D5E28C3A-45F9-4048-A634-E8349FBD021B}" name="Column1286"/>
    <tableColumn id="1301" xr3:uid="{397EFEBA-A286-4DCF-B80E-192CE6BA4F13}" name="Column1287"/>
    <tableColumn id="1302" xr3:uid="{22E18F39-3417-43EF-BD10-323DB4DE4865}" name="Column1288"/>
    <tableColumn id="1303" xr3:uid="{66FEA382-0955-4454-85FE-8FE4441D7994}" name="Column1289"/>
    <tableColumn id="1304" xr3:uid="{FB959524-21C2-4A8E-8BA5-3F20817F33EF}" name="Column1290"/>
    <tableColumn id="1305" xr3:uid="{8AD14FFC-8CB1-41AA-94A6-C279B08D6654}" name="Column1291"/>
    <tableColumn id="1306" xr3:uid="{16D47340-0371-404B-B324-18E234B7D43E}" name="Column1292"/>
    <tableColumn id="1307" xr3:uid="{9A2C6230-0F7D-45A9-A95B-98761FE02E4C}" name="Column1293"/>
    <tableColumn id="1308" xr3:uid="{CF648928-281F-4FE1-9019-56A08FF78C60}" name="Column1294"/>
    <tableColumn id="1309" xr3:uid="{A57637C9-C561-4210-9529-65000C8FCAAF}" name="Column1295"/>
    <tableColumn id="1310" xr3:uid="{119CBE09-CB4E-4A1A-8EE2-D1CD50C3D80F}" name="Column1296"/>
    <tableColumn id="1311" xr3:uid="{8AB624E2-C47C-4DCF-8850-5C52F3A6223F}" name="Column1297"/>
    <tableColumn id="1312" xr3:uid="{9D0A82DB-7225-44BF-A239-990A7C62D76B}" name="Column1298"/>
    <tableColumn id="1313" xr3:uid="{107EA1EB-890F-4640-BD2A-EAB3E50C8F76}" name="Column1299"/>
    <tableColumn id="1314" xr3:uid="{DBAE96FB-0B49-49FF-93A3-719DA373A38D}" name="Column1300"/>
    <tableColumn id="1315" xr3:uid="{3DE7125E-B7E9-49B1-B3C9-20FA80ECFE4B}" name="Column1301"/>
    <tableColumn id="1316" xr3:uid="{B7BF82FD-153B-4340-9E74-932ED466C002}" name="Column1302"/>
    <tableColumn id="1317" xr3:uid="{640741A1-4918-46F4-8F0A-7EF7BA29E826}" name="Column1303"/>
    <tableColumn id="1318" xr3:uid="{DF4F468D-9D33-4DC7-9CCA-DF0D241B40F3}" name="Column1304"/>
    <tableColumn id="1319" xr3:uid="{51D71A9A-C7BA-4EA7-86CC-DC9D530D89C3}" name="Column1305"/>
    <tableColumn id="1320" xr3:uid="{341F7A5F-0FEB-48F8-B459-6CB6C0D168F4}" name="Column1306"/>
    <tableColumn id="1321" xr3:uid="{1C0403AD-C82B-4E92-9BEB-FF14D455FDA8}" name="Column1307"/>
    <tableColumn id="1322" xr3:uid="{19BE06C0-2DE0-4E2B-9301-975D8E173D0D}" name="Column1308"/>
    <tableColumn id="1323" xr3:uid="{F76A5F48-37E3-4165-AD11-D1F76392595C}" name="Column1309"/>
    <tableColumn id="1324" xr3:uid="{123B17E2-E2F3-43DE-9F84-1DFB26F07D97}" name="Column1310"/>
    <tableColumn id="1325" xr3:uid="{BDADE00F-3F81-40D3-B5A7-87012E85F39C}" name="Column1311"/>
    <tableColumn id="1326" xr3:uid="{0924A76A-4F3E-4B1A-9C93-D81D2B979E6A}" name="Column1312"/>
    <tableColumn id="1327" xr3:uid="{7C743A2D-CFDD-4774-B959-B1540176611A}" name="Column1313"/>
    <tableColumn id="1328" xr3:uid="{362F26A0-FE94-477C-8475-802DFBA9E621}" name="Column1314"/>
    <tableColumn id="1329" xr3:uid="{3EA57E23-DC3A-4390-8C46-DE9D063200C4}" name="Column1315"/>
    <tableColumn id="1330" xr3:uid="{BABBA570-2F69-4407-A1DB-64F5D835C127}" name="Column1316"/>
    <tableColumn id="1331" xr3:uid="{4904CC79-2C94-49F9-8598-501B86A46D28}" name="Column1317"/>
    <tableColumn id="1332" xr3:uid="{6CDBA069-DCE4-4B39-8BED-3A02278EC4F6}" name="Column1318"/>
    <tableColumn id="1333" xr3:uid="{30F066FC-161D-49B2-B9CA-3ADB49065BB4}" name="Column1319"/>
    <tableColumn id="1334" xr3:uid="{F3701121-331F-4EA3-A6CC-C5B6F47CDE3B}" name="Column1320"/>
    <tableColumn id="1335" xr3:uid="{5D21F9A6-2408-493B-A264-94541ED3AF4D}" name="Column1321"/>
    <tableColumn id="1336" xr3:uid="{691D5BDF-6514-4DC1-B47B-EB4E38246B43}" name="Column1322"/>
    <tableColumn id="1337" xr3:uid="{7EC0A195-BCB0-4BAA-ABCA-C5AC4B617283}" name="Column1323"/>
    <tableColumn id="1338" xr3:uid="{D59E45B6-AA03-48BE-A563-47242E498EE4}" name="Column1324"/>
    <tableColumn id="1339" xr3:uid="{6C3F9215-5D6C-44CA-8B6E-40E34B7D4040}" name="Column1325"/>
    <tableColumn id="1340" xr3:uid="{74C1AAF3-23E2-47AB-8FA5-5CEAD56188B4}" name="Column1326"/>
    <tableColumn id="1341" xr3:uid="{710AE0A9-7A70-4715-8DE8-E469411CF336}" name="Column1327"/>
    <tableColumn id="1342" xr3:uid="{2B35F2D7-DB0D-47D5-8384-98A8FB25A60F}" name="Column1328"/>
    <tableColumn id="1343" xr3:uid="{83323E01-1A04-4E6D-80B2-E4CD2CECE00E}" name="Column1329"/>
    <tableColumn id="1344" xr3:uid="{64BF069A-E016-4BC5-824F-B33941E3DC12}" name="Column1330"/>
    <tableColumn id="1345" xr3:uid="{187EB45A-5F0E-40FE-8C64-DE25C33416F4}" name="Column1331"/>
    <tableColumn id="1346" xr3:uid="{E39E8912-0BAF-4025-8751-F9F8359EFA9D}" name="Column1332"/>
    <tableColumn id="1347" xr3:uid="{3DF24A53-6879-4D1A-A341-1EEA40209A2C}" name="Column1333"/>
    <tableColumn id="1348" xr3:uid="{0EAF011E-857A-4D83-AD8C-14E2202428D0}" name="Column1334"/>
    <tableColumn id="1349" xr3:uid="{6D5E7F57-9B3C-4992-8C7C-44594829A7D8}" name="Column1335"/>
    <tableColumn id="1350" xr3:uid="{A5C25D7B-4EA6-40EE-A130-A0FD895AD313}" name="Column1336"/>
    <tableColumn id="1351" xr3:uid="{65B46409-4527-402D-ADA9-802D3C8A6E63}" name="Column1337"/>
    <tableColumn id="1352" xr3:uid="{366D06A0-3229-46E7-AD53-E0B18240DC04}" name="Column1338"/>
    <tableColumn id="1353" xr3:uid="{11BB4E9C-33E4-4942-AB21-F0DEB360C7C7}" name="Column1339"/>
    <tableColumn id="1354" xr3:uid="{65F9E96C-99C2-49EE-B6C2-980543C802A2}" name="Column1340"/>
    <tableColumn id="1355" xr3:uid="{BA3796D5-8ECB-4DC8-9A5B-799C5E567ADE}" name="Column1341"/>
    <tableColumn id="1356" xr3:uid="{A3846241-BF4E-43B3-A58F-60A8BF918E4F}" name="Column1342"/>
    <tableColumn id="1357" xr3:uid="{6CF12585-5854-4AE1-BF28-33437146FF1D}" name="Column1343"/>
    <tableColumn id="1358" xr3:uid="{F1B5567D-E4DA-4C02-ACB6-FC95673367AD}" name="Column1344"/>
    <tableColumn id="1359" xr3:uid="{B4BDF5C4-6BFA-4D29-AC95-3588913E32F7}" name="Column1345"/>
    <tableColumn id="1360" xr3:uid="{E4F0E06F-6679-42A7-A621-ED679F0A2C85}" name="Column1346"/>
    <tableColumn id="1361" xr3:uid="{56D3A304-9C93-4188-A055-D726D95AB946}" name="Column1347"/>
    <tableColumn id="1362" xr3:uid="{A29B2A23-899A-4674-BAD8-B1690054D1C4}" name="Column1348"/>
    <tableColumn id="1363" xr3:uid="{AE65EF64-371F-4877-AED2-EA07B9098BA8}" name="Column1349"/>
    <tableColumn id="1364" xr3:uid="{23221ED0-4CD8-4563-997F-B94E10253C2A}" name="Column1350"/>
    <tableColumn id="1365" xr3:uid="{07026BA2-0EF7-4754-A4EC-CC303C5AA94D}" name="Column1351"/>
    <tableColumn id="1366" xr3:uid="{6A9C297B-E15D-4372-9052-96D3F23BD37E}" name="Column1352"/>
    <tableColumn id="1367" xr3:uid="{06244E7D-A7B1-4370-8FF1-47103267B89C}" name="Column1353"/>
    <tableColumn id="1368" xr3:uid="{A9F16B36-206E-430A-8B4E-EC9968B94B7B}" name="Column1354"/>
    <tableColumn id="1369" xr3:uid="{EE1A77DD-D93C-4F10-9072-51E84C5CEFD6}" name="Column1355"/>
    <tableColumn id="1370" xr3:uid="{402CBC19-84EC-4653-ADD0-1FA33891EEB8}" name="Column1356"/>
    <tableColumn id="1371" xr3:uid="{07338492-DC83-4841-8635-5046CE3EA468}" name="Column1357"/>
    <tableColumn id="1372" xr3:uid="{ECEB518C-5D39-491E-BFC1-3E9C2CCCA295}" name="Column1358"/>
    <tableColumn id="1373" xr3:uid="{06B315CC-B541-44D4-9515-14A1875B54E7}" name="Column1359"/>
    <tableColumn id="1374" xr3:uid="{DB5F993A-4769-43BA-BBBE-01FA1ABCC8E8}" name="Column1360"/>
    <tableColumn id="1375" xr3:uid="{21705078-384E-4FD4-B7E9-CC830CFE83DD}" name="Column1361"/>
    <tableColumn id="1376" xr3:uid="{35B8A788-3FB8-4990-9416-0D67ECCA7AD1}" name="Column1362"/>
    <tableColumn id="1377" xr3:uid="{FEF51699-631D-4921-928B-7215ED86CF90}" name="Column1363"/>
    <tableColumn id="1378" xr3:uid="{259E02BF-D50C-44E8-839C-F59C380CD7A8}" name="Column1364"/>
    <tableColumn id="1379" xr3:uid="{D5DE3DE2-A5C8-4C9F-979F-FAA3839F205D}" name="Column1365"/>
    <tableColumn id="1380" xr3:uid="{6FC4D5A3-EEB7-4E2F-8447-DF379DA5C444}" name="Column1366"/>
    <tableColumn id="1381" xr3:uid="{60C0C5BB-E4B1-4036-AB06-5F47767C73D3}" name="Column1367"/>
    <tableColumn id="1382" xr3:uid="{E5DFA0D9-426D-4AC0-AEF0-B92052FEFC49}" name="Column1368"/>
    <tableColumn id="1383" xr3:uid="{24514EE5-925A-4379-8822-97443142BEA7}" name="Column1369"/>
    <tableColumn id="1384" xr3:uid="{B4E37A54-46EB-4E25-B7F2-2D8A57A11696}" name="Column1370"/>
    <tableColumn id="1385" xr3:uid="{6610BDC6-4EFD-402E-AFDB-B53F876C6420}" name="Column1371"/>
    <tableColumn id="1386" xr3:uid="{726365E8-83CA-4BFA-9F36-1D54CE97CDAA}" name="Column1372"/>
    <tableColumn id="1387" xr3:uid="{687C3E5D-7718-4442-AEAB-8FF9C22DFBCE}" name="Column1373"/>
    <tableColumn id="1388" xr3:uid="{26BED742-A706-448E-96B5-985B274ACA74}" name="Column1374"/>
    <tableColumn id="1389" xr3:uid="{65C91AFC-B538-4AA6-A917-906BFF839BB9}" name="Column1375"/>
    <tableColumn id="1390" xr3:uid="{7E0BD815-F267-4216-9CD7-BBC2A6B14239}" name="Column1376"/>
    <tableColumn id="1391" xr3:uid="{1E495025-523C-46AF-9A71-99897A8C7C66}" name="Column1377"/>
    <tableColumn id="1392" xr3:uid="{75D0A0D0-B45C-4CF4-8AB0-CF82060B02FE}" name="Column1378"/>
    <tableColumn id="1393" xr3:uid="{A001A057-D98A-49C9-81C3-FE504079E03B}" name="Column1379"/>
    <tableColumn id="1394" xr3:uid="{CEF8B833-7A2E-43DB-9649-DA9B03ED09B8}" name="Column1380"/>
    <tableColumn id="1395" xr3:uid="{6C8A4843-AB87-44BE-B2BD-26E10A0A4F74}" name="Column1381"/>
    <tableColumn id="1396" xr3:uid="{24C1FFFA-A3A4-4569-B1B4-6B7B33102D20}" name="Column1382"/>
    <tableColumn id="1397" xr3:uid="{64815FC1-5649-4D4E-99B9-BC4CB4FAA350}" name="Column1383"/>
    <tableColumn id="1398" xr3:uid="{BF73817A-5537-4158-9996-FFA0BEDF2C55}" name="Column1384"/>
    <tableColumn id="1399" xr3:uid="{81B6C951-AE9B-4FB2-8193-67A0A77DB44B}" name="Column1385"/>
    <tableColumn id="1400" xr3:uid="{3A9FED33-C5D5-492A-9518-1B72BDFEECC1}" name="Column1386"/>
    <tableColumn id="1401" xr3:uid="{4B73072A-F510-47A3-A184-52A7C1D1BD6B}" name="Column1387"/>
    <tableColumn id="1402" xr3:uid="{D7AC5041-0B19-44EB-8610-8CCE3ADC4A09}" name="Column1388"/>
    <tableColumn id="1403" xr3:uid="{DDC14682-88F6-4DF3-BBAC-1ECA0A1F4B40}" name="Column1389"/>
    <tableColumn id="1404" xr3:uid="{173F73B4-6CAE-4CC0-801F-00F6DC045E68}" name="Column1390"/>
    <tableColumn id="1405" xr3:uid="{0B54FE11-3A72-46C1-B126-3895CFBECCFC}" name="Column1391"/>
    <tableColumn id="1406" xr3:uid="{422E58E0-8CC1-4251-8466-49998ABDE602}" name="Column1392"/>
    <tableColumn id="1407" xr3:uid="{7C7D5311-E4D5-4F01-BA63-9C40A9672D3F}" name="Column1393"/>
    <tableColumn id="1408" xr3:uid="{497E2902-E62D-466F-9A41-B33EF62D8D27}" name="Column1394"/>
    <tableColumn id="1409" xr3:uid="{9E667528-8266-413C-8292-1E3BF10BB214}" name="Column1395"/>
    <tableColumn id="1410" xr3:uid="{DBB563AC-335D-478B-95AB-EED454AEEADE}" name="Column1396"/>
    <tableColumn id="1411" xr3:uid="{DFC52022-39C3-4ADD-AD44-C2A0D06F095E}" name="Column1397"/>
    <tableColumn id="1412" xr3:uid="{DC0AD7DA-9EC3-494D-9775-A05FE458AE74}" name="Column1398"/>
    <tableColumn id="1413" xr3:uid="{DF00BA7F-3BE6-425A-BBDB-2C32E80BF06E}" name="Column1399"/>
    <tableColumn id="1414" xr3:uid="{DF42931C-01AE-477D-87E2-1D894AC4BCE6}" name="Column1400"/>
    <tableColumn id="1415" xr3:uid="{B9866F56-9E3F-4202-850A-D3C4E5A1B9A3}" name="Column1401"/>
    <tableColumn id="1416" xr3:uid="{8372F13A-ADED-4D05-9763-4715668913E5}" name="Column1402"/>
    <tableColumn id="1417" xr3:uid="{62CBF5BC-FE32-4674-90E8-6E0A6EEC1C85}" name="Column1403"/>
    <tableColumn id="1418" xr3:uid="{4674D392-5F76-45BF-862E-FA6CBA86AD2C}" name="Column1404"/>
    <tableColumn id="1419" xr3:uid="{00A18F52-285B-40A2-A81F-F44A83DFCCCC}" name="Column1405"/>
    <tableColumn id="1420" xr3:uid="{B7E12807-0CCD-45EE-ABC6-2B10B8232361}" name="Column1406"/>
    <tableColumn id="1421" xr3:uid="{FEA75E10-D432-4F45-B704-90DF80F3D865}" name="Column1407"/>
    <tableColumn id="1422" xr3:uid="{F59A709E-1139-4EBF-870F-FCB82FEC9B4B}" name="Column1408"/>
    <tableColumn id="1423" xr3:uid="{B4787D75-2572-4207-BFA0-FACC59B9EF62}" name="Column1409"/>
    <tableColumn id="1424" xr3:uid="{D71BA762-CB0B-4442-830C-62DDCF55C058}" name="Column1410"/>
    <tableColumn id="1425" xr3:uid="{F46D3756-104A-4A08-80F1-945010C13185}" name="Column1411"/>
    <tableColumn id="1426" xr3:uid="{FB37C5BF-E403-438D-A1D9-6C033881D375}" name="Column1412"/>
    <tableColumn id="1427" xr3:uid="{EF566127-0B26-4537-A14C-0F3ABF7BFA85}" name="Column1413"/>
    <tableColumn id="1428" xr3:uid="{37162149-AF3C-446C-9402-DDF4647FA9AC}" name="Column1414"/>
    <tableColumn id="1429" xr3:uid="{EFA33F46-F917-450A-99DD-2815559F2F4C}" name="Column1415"/>
    <tableColumn id="1430" xr3:uid="{F5E1BAF8-45E5-4479-B38F-98EC13251F2E}" name="Column1416"/>
    <tableColumn id="1431" xr3:uid="{843DA13C-7168-4EBC-AF8B-E673C0D7F8F1}" name="Column1417"/>
    <tableColumn id="1432" xr3:uid="{320CEC6E-312E-40F8-A7B4-2862318A671B}" name="Column1418"/>
    <tableColumn id="1433" xr3:uid="{3D43D243-51A6-491E-9802-75CD6893B58A}" name="Column1419"/>
    <tableColumn id="1434" xr3:uid="{DE5B4529-67C8-4543-90BE-5F1C693F6474}" name="Column1420"/>
    <tableColumn id="1435" xr3:uid="{60283446-AE2D-4951-8DA5-1BD41ED530AA}" name="Column1421"/>
    <tableColumn id="1436" xr3:uid="{E6BA2E7A-CFB4-4FC5-8A09-B4324534083F}" name="Column1422"/>
    <tableColumn id="1437" xr3:uid="{E904DC40-D7CF-46B2-A4D1-042164E7D9B9}" name="Column1423"/>
    <tableColumn id="1438" xr3:uid="{94724C9A-D554-4BE8-9E2D-11E7018295EF}" name="Column1424"/>
    <tableColumn id="1439" xr3:uid="{640F8938-C4FD-45A0-B660-A2433028F2B8}" name="Column1425"/>
    <tableColumn id="1440" xr3:uid="{AFAA0A90-E100-4D7E-A3D0-4433FEF780E2}" name="Column1426"/>
    <tableColumn id="1441" xr3:uid="{7F96C953-6B6F-4C69-BCDB-13816C6BF8F9}" name="Column1427"/>
    <tableColumn id="1442" xr3:uid="{8C668EBC-43EE-43C1-B16A-C61988137118}" name="Column1428"/>
    <tableColumn id="1443" xr3:uid="{90ACB73E-CBD6-46B5-BA60-3C81DFA4AAC8}" name="Column1429"/>
    <tableColumn id="1444" xr3:uid="{9345E832-98A6-49B7-9DA4-8663DA76786C}" name="Column1430"/>
    <tableColumn id="1445" xr3:uid="{64696ED0-4A38-4398-8423-B38FB518B10D}" name="Column1431"/>
    <tableColumn id="1446" xr3:uid="{C4BCABEF-DD06-4572-AE28-F2E03BD219BE}" name="Column1432"/>
    <tableColumn id="1447" xr3:uid="{D9A0A8E2-5E97-4F10-B06E-1CD3F500C39C}" name="Column1433"/>
    <tableColumn id="1448" xr3:uid="{63E9EAB0-617B-4486-BCDB-9A923F0E5425}" name="Column1434"/>
    <tableColumn id="1449" xr3:uid="{FECF9F07-D5EA-454B-8096-73800F032B08}" name="Column1435"/>
    <tableColumn id="1450" xr3:uid="{80CD2A11-B2F8-4FA1-B171-E5B447168141}" name="Column1436"/>
    <tableColumn id="1451" xr3:uid="{59351269-04ED-4EAF-949A-FF58773A117C}" name="Column1437"/>
    <tableColumn id="1452" xr3:uid="{8BD7C4DE-AE68-4281-BF01-0963C4B07608}" name="Column1438"/>
    <tableColumn id="1453" xr3:uid="{ECBA0BD9-F6DF-41CB-94E8-CF3E8EF0ACF0}" name="Column1439"/>
    <tableColumn id="1454" xr3:uid="{53AEE2D1-F0F1-412E-933C-5584487351E8}" name="Column1440"/>
    <tableColumn id="1455" xr3:uid="{16BC29A0-9FE3-4D69-98FA-320C1EF4F9CF}" name="Column1441"/>
    <tableColumn id="1456" xr3:uid="{C73B3248-78B3-40DB-8AC5-39BF1FF1016C}" name="Column1442"/>
    <tableColumn id="1457" xr3:uid="{B3539595-5C98-41F4-AECD-5BB43C1ABF40}" name="Column1443"/>
    <tableColumn id="1458" xr3:uid="{088B3C83-8B4A-4F88-A4E3-A115D0D61E87}" name="Column1444"/>
    <tableColumn id="1459" xr3:uid="{CA5D0ED8-1896-40E8-B657-88B2018EF105}" name="Column1445"/>
    <tableColumn id="1460" xr3:uid="{1934458B-A782-4831-8650-6145EE605F44}" name="Column1446"/>
    <tableColumn id="1461" xr3:uid="{51FBAAD8-3729-4E39-8C2C-F265F95BE4ED}" name="Column1447"/>
    <tableColumn id="1462" xr3:uid="{E958E881-08AC-4398-9589-9C7208734140}" name="Column1448"/>
    <tableColumn id="1463" xr3:uid="{B4C9256B-846D-47FD-9D90-430CA823B5DD}" name="Column1449"/>
    <tableColumn id="1464" xr3:uid="{804D8FA2-CAB2-4FCF-AA3A-803CA3E8A2DC}" name="Column1450"/>
    <tableColumn id="1465" xr3:uid="{96065662-2644-43AC-8167-88F05A9207A7}" name="Column1451"/>
    <tableColumn id="1466" xr3:uid="{A3986655-9E01-42D9-8DB3-F591D359ADF1}" name="Column1452"/>
    <tableColumn id="1467" xr3:uid="{EDD236B1-DD31-4C4D-ADDF-BA915EAF6BB5}" name="Column1453"/>
    <tableColumn id="1468" xr3:uid="{888A96E6-B85A-4DA0-BB94-03282144FC76}" name="Column1454"/>
    <tableColumn id="1469" xr3:uid="{51BAAA37-AE8E-490B-9717-09095A9A904B}" name="Column1455"/>
    <tableColumn id="1470" xr3:uid="{AF811C2B-1FAE-4590-BBC7-B2BC3B22114F}" name="Column1456"/>
    <tableColumn id="1471" xr3:uid="{97B5CBFB-C970-4F8A-8B94-0C93744734FD}" name="Column1457"/>
    <tableColumn id="1472" xr3:uid="{E711C0F6-42FB-4A1F-ADBA-D1142CA479EB}" name="Column1458"/>
    <tableColumn id="1473" xr3:uid="{06AC28EF-1CD3-465E-8187-AB4F8C076CBE}" name="Column1459"/>
    <tableColumn id="1474" xr3:uid="{DF683B6B-56F9-4FEA-8AAA-30E51BCF4084}" name="Column1460"/>
    <tableColumn id="1475" xr3:uid="{FDA48D74-DCBE-45BD-B8B0-E4E032F9FC5E}" name="Column1461"/>
    <tableColumn id="1476" xr3:uid="{0847EBC0-CA7D-41B0-B2E8-9555C5F1C4D3}" name="Column1462"/>
    <tableColumn id="1477" xr3:uid="{4D30AD74-B051-4537-8D50-0DD9C8CDF036}" name="Column1463"/>
    <tableColumn id="1478" xr3:uid="{3FF48831-89F8-43D1-8CED-7370C692EF83}" name="Column1464"/>
    <tableColumn id="1479" xr3:uid="{4E6CD6B2-134A-419C-B788-2343907EA70A}" name="Column1465"/>
    <tableColumn id="1480" xr3:uid="{B2C7E1AA-CBE4-4C05-B14C-08C4D43A3DB9}" name="Column1466"/>
    <tableColumn id="1481" xr3:uid="{9820FA84-3B41-4FC3-8485-61BC4ABFF729}" name="Column1467"/>
    <tableColumn id="1482" xr3:uid="{2F91D32D-C45E-48BB-A7B4-1639BD06BA91}" name="Column1468"/>
    <tableColumn id="1483" xr3:uid="{5F73B5E5-B806-44F5-AFC5-A7698725C397}" name="Column1469"/>
    <tableColumn id="1484" xr3:uid="{E66CDBAF-1B5D-41E4-88AE-2F55A67F5653}" name="Column1470"/>
    <tableColumn id="1485" xr3:uid="{EBD4E3C9-791C-4A74-813A-DF90E4180F01}" name="Column1471"/>
    <tableColumn id="1486" xr3:uid="{D520536D-7ACB-4807-94E4-BEA06C44626B}" name="Column1472"/>
    <tableColumn id="1487" xr3:uid="{AD628385-8031-4A29-81E6-F08B3DD522C3}" name="Column1473"/>
    <tableColumn id="1488" xr3:uid="{8895D41F-E01B-439F-9D7C-D3C3E302936D}" name="Column1474"/>
    <tableColumn id="1489" xr3:uid="{2BC00237-8CCB-48F1-897A-E0ABC223D2CD}" name="Column1475"/>
    <tableColumn id="1490" xr3:uid="{37D13B69-88B2-4848-836D-9DF77FDF5A17}" name="Column1476"/>
    <tableColumn id="1491" xr3:uid="{239CE11D-9B3B-4CC3-99A8-B8AE548EB68E}" name="Column1477"/>
    <tableColumn id="1492" xr3:uid="{4550FF6D-8BEB-46E9-B4AB-5D2A7F6CBF49}" name="Column1478"/>
    <tableColumn id="1493" xr3:uid="{912B5339-43F4-4920-B2F1-C4283CAEABCE}" name="Column1479"/>
    <tableColumn id="1494" xr3:uid="{D8A92F25-258A-4DCC-A05C-130A6B59B6DF}" name="Column1480"/>
    <tableColumn id="1495" xr3:uid="{F647B688-2445-4ED0-95EC-F3C7A60101A2}" name="Column1481"/>
    <tableColumn id="1496" xr3:uid="{7F1B3BFE-4A69-4CCA-A1D5-535168987A98}" name="Column1482"/>
    <tableColumn id="1497" xr3:uid="{F0265FD7-B740-4A56-B317-0591DD05715D}" name="Column1483"/>
    <tableColumn id="1498" xr3:uid="{E97FDBAC-D26A-4C3F-832B-1CFB008994FE}" name="Column1484"/>
    <tableColumn id="1499" xr3:uid="{68B4B018-C0AF-4F74-B8C7-F13502B3A73E}" name="Column1485"/>
    <tableColumn id="1500" xr3:uid="{6D028D2A-3E50-4D97-AE19-A1C3327FC366}" name="Column1486"/>
    <tableColumn id="1501" xr3:uid="{1807E218-5251-4626-9560-3F25374B8013}" name="Column1487"/>
    <tableColumn id="1502" xr3:uid="{0E0D96B8-0BE5-44C1-A281-E4272081575F}" name="Column1488"/>
    <tableColumn id="1503" xr3:uid="{EE27C2C3-DF6B-4E7E-9FC2-CFA264556103}" name="Column1489"/>
    <tableColumn id="1504" xr3:uid="{B997179C-0BA8-47EB-A6FA-74337BDCB890}" name="Column1490"/>
    <tableColumn id="1505" xr3:uid="{0EFC224A-2986-450D-83DB-0F2624D171A7}" name="Column1491"/>
    <tableColumn id="1506" xr3:uid="{CD036AF5-1B78-446D-8A34-471D825B61D1}" name="Column1492"/>
    <tableColumn id="1507" xr3:uid="{C4779482-ABC9-4029-9E81-646D46E1B7E8}" name="Column1493"/>
    <tableColumn id="1508" xr3:uid="{6BDE9169-2625-458B-BB21-CB50589E71A4}" name="Column1494"/>
    <tableColumn id="1509" xr3:uid="{6094AA04-41A0-4250-A2FD-92BBBAF90098}" name="Column1495"/>
    <tableColumn id="1510" xr3:uid="{9773381F-6747-44A4-AFC0-A331452FA33F}" name="Column1496"/>
    <tableColumn id="1511" xr3:uid="{8F561100-0460-4317-97BC-0CD471A95F86}" name="Column1497"/>
    <tableColumn id="1512" xr3:uid="{5167FB91-5E4F-452A-A015-D017AA99A699}" name="Column1498"/>
    <tableColumn id="1513" xr3:uid="{62CD03E1-BB50-4E81-BB80-7DE2A33AB1C2}" name="Column1499"/>
    <tableColumn id="1514" xr3:uid="{B0BCFD45-8911-4F8D-B912-526DE5738CAB}" name="Column1500"/>
    <tableColumn id="1515" xr3:uid="{56241EFC-750C-4FAD-AAB8-5A895453A6EF}" name="Column1501"/>
    <tableColumn id="1516" xr3:uid="{8E125F24-A3FC-4ED2-A345-C89E2FA82989}" name="Column1502"/>
    <tableColumn id="1517" xr3:uid="{B8DE8BC9-513B-4632-824C-469DD1480D47}" name="Column1503"/>
    <tableColumn id="1518" xr3:uid="{06659772-6BA2-440E-9959-95DE4E0B8DA5}" name="Column1504"/>
    <tableColumn id="1519" xr3:uid="{24D94CF8-933F-46C6-A85E-4575F44B36D4}" name="Column1505"/>
    <tableColumn id="1520" xr3:uid="{C16B3A82-BFF8-48FB-A750-22CFA888AE67}" name="Column1506"/>
    <tableColumn id="1521" xr3:uid="{DCE4EED5-390B-4410-AB8D-7B4AFCF2A4BC}" name="Column1507"/>
    <tableColumn id="1522" xr3:uid="{7A9F49A8-85EC-4166-BA71-D5FF3519D6D1}" name="Column1508"/>
    <tableColumn id="1523" xr3:uid="{E9FCA9F9-6EFC-405C-AED0-0C46FD065CBF}" name="Column1509"/>
    <tableColumn id="1524" xr3:uid="{7AA93AA5-75AC-48DB-90EB-0075082B7CFF}" name="Column1510"/>
    <tableColumn id="1525" xr3:uid="{64169C1D-635F-472F-ADFD-4EF4D1E30DFE}" name="Column1511"/>
    <tableColumn id="1526" xr3:uid="{587F22DA-0B87-469C-95C2-B3F47351E8F2}" name="Column1512"/>
    <tableColumn id="1527" xr3:uid="{6F00AD2D-08FB-4F51-A514-D98F01491CAD}" name="Column1513"/>
    <tableColumn id="1528" xr3:uid="{E85FAA02-D383-4BFB-8D61-760AA5B1CB7F}" name="Column1514"/>
    <tableColumn id="1529" xr3:uid="{DB5F0FCB-7B6B-4404-A881-8536B84C3549}" name="Column1515"/>
    <tableColumn id="1530" xr3:uid="{96938E37-C362-4950-A4A8-2A4F618F0A6A}" name="Column1516"/>
    <tableColumn id="1531" xr3:uid="{21B05B2A-9DE5-487D-8253-52116D32F2A4}" name="Column1517"/>
    <tableColumn id="1532" xr3:uid="{BF8D3A9E-8514-4A21-88A1-21860A098B32}" name="Column1518"/>
    <tableColumn id="1533" xr3:uid="{EEEC28B7-9FD0-4453-8422-13D875EA8B7D}" name="Column1519"/>
    <tableColumn id="1534" xr3:uid="{465DBDF7-A415-4DF9-A81F-4DB9BE233927}" name="Column1520"/>
    <tableColumn id="1535" xr3:uid="{78B84D99-5E02-40C8-B814-0AA206DDE661}" name="Column1521"/>
    <tableColumn id="1536" xr3:uid="{6AB6160E-0F82-479B-8C13-8C1A49E1E244}" name="Column1522"/>
    <tableColumn id="1537" xr3:uid="{7D81F939-40FC-4A87-A789-A190A3E12EDC}" name="Column1523"/>
    <tableColumn id="1538" xr3:uid="{00FF8248-E8F3-4219-8886-1C548B2F044D}" name="Column1524"/>
    <tableColumn id="1539" xr3:uid="{C8B08460-51A3-465B-9A57-AC60A1AEA0C1}" name="Column1525"/>
    <tableColumn id="1540" xr3:uid="{56CBD46B-6084-4A75-A6C2-DF03800C8924}" name="Column1526"/>
    <tableColumn id="1541" xr3:uid="{C76EC5E3-ACD0-4C76-ACE6-508086C67B05}" name="Column1527"/>
    <tableColumn id="1542" xr3:uid="{B8103CE9-D3A4-43D5-BAE4-B209694D8B34}" name="Column1528"/>
    <tableColumn id="1543" xr3:uid="{2FBC2A9D-D431-4464-82E9-16176B02EE2C}" name="Column1529"/>
    <tableColumn id="1544" xr3:uid="{36BA2446-4DC3-4CB9-9BA9-463962838B76}" name="Column1530"/>
    <tableColumn id="1545" xr3:uid="{F2B06CC5-C0F1-4DCE-A25C-836455731B92}" name="Column1531"/>
    <tableColumn id="1546" xr3:uid="{490ABC20-123C-4120-89E8-8CE1969D98BE}" name="Column1532"/>
    <tableColumn id="1547" xr3:uid="{62AA5AA9-8703-49A7-B023-522DC7773FA3}" name="Column1533"/>
    <tableColumn id="1548" xr3:uid="{BBE1BD78-2D72-4FB5-9451-C5FE305D334B}" name="Column1534"/>
    <tableColumn id="1549" xr3:uid="{CE1CA220-A798-4AE7-A7A8-63A22F91DD66}" name="Column1535"/>
    <tableColumn id="1550" xr3:uid="{F873CA6A-C561-4806-86E6-B70718BEA3BE}" name="Column1536"/>
    <tableColumn id="1551" xr3:uid="{B7D6706B-C319-4F39-8A9E-3A0099CCD354}" name="Column1537"/>
    <tableColumn id="1552" xr3:uid="{4A1ACA1A-61D9-493E-8534-3974207D9AE7}" name="Column1538"/>
    <tableColumn id="1553" xr3:uid="{7B6E4C44-8F2A-4EA9-B9F0-F452FD9B1D05}" name="Column1539"/>
    <tableColumn id="1554" xr3:uid="{5BF9A6C3-0D8E-4EE4-8A8C-85DD132B7CFE}" name="Column1540"/>
    <tableColumn id="1555" xr3:uid="{FD21CF16-BF2F-45EA-9A7E-F7AFE4112C59}" name="Column1541"/>
    <tableColumn id="1556" xr3:uid="{91DD8AD2-C9E5-45E3-B5CB-2296CF837BDD}" name="Column1542"/>
    <tableColumn id="1557" xr3:uid="{F82EC823-445A-4549-B9B5-BB673983DE41}" name="Column1543"/>
    <tableColumn id="1558" xr3:uid="{BF9EEC85-51DA-4764-ABA3-45E532C2A610}" name="Column1544"/>
    <tableColumn id="1559" xr3:uid="{90583C47-BEA1-409E-B506-802931CC838F}" name="Column1545"/>
    <tableColumn id="1560" xr3:uid="{BD31117A-4FC7-4377-AEA5-B9D455182541}" name="Column1546"/>
    <tableColumn id="1561" xr3:uid="{9D130D3E-5FA7-4403-A3A9-EC64D5A26236}" name="Column1547"/>
    <tableColumn id="1562" xr3:uid="{BFFA82D2-51FD-47A1-B4FD-05D2083BBB12}" name="Column1548"/>
    <tableColumn id="1563" xr3:uid="{9FD5072D-2D77-4BFE-993E-52854CEDD7F7}" name="Column1549"/>
    <tableColumn id="1564" xr3:uid="{81D38AB5-A36A-4A91-8D30-5F66E0749F28}" name="Column1550"/>
    <tableColumn id="1565" xr3:uid="{340EAB13-7740-4EE0-8399-03E7798A2927}" name="Column1551"/>
    <tableColumn id="1566" xr3:uid="{F5612D06-9390-41E6-B5AF-528A5C6CA463}" name="Column1552"/>
    <tableColumn id="1567" xr3:uid="{FFC5FE75-1FD5-4C2C-AC2B-E807FC6B6D58}" name="Column1553"/>
    <tableColumn id="1568" xr3:uid="{9518DE0C-CF2B-4160-B7E8-C3377847462E}" name="Column1554"/>
    <tableColumn id="1569" xr3:uid="{B0EE6EAB-B11B-4D43-9A4D-E4742064358C}" name="Column1555"/>
    <tableColumn id="1570" xr3:uid="{7B18067C-A012-49FD-B863-8DD7AE3F1706}" name="Column1556"/>
    <tableColumn id="1571" xr3:uid="{B75588BE-A885-423D-A285-8206F6935B0D}" name="Column1557"/>
    <tableColumn id="1572" xr3:uid="{540BD933-42B0-4AEC-9B55-CCA58CC41E4D}" name="Column1558"/>
    <tableColumn id="1573" xr3:uid="{E8C376B0-5E42-4DC6-9C57-F0D0C815A697}" name="Column1559"/>
    <tableColumn id="1574" xr3:uid="{3373342E-7BA2-423D-8BF4-21B3457C49DC}" name="Column1560"/>
    <tableColumn id="1575" xr3:uid="{A40041FF-527B-4D5E-8CE5-DE80B6B92A0B}" name="Column1561"/>
    <tableColumn id="1576" xr3:uid="{CEEA84E6-A1F8-4018-B2C8-AECF3202701A}" name="Column1562"/>
    <tableColumn id="1577" xr3:uid="{CFBACF5B-E873-444F-A2D4-023AC88D6CA5}" name="Column1563"/>
    <tableColumn id="1578" xr3:uid="{63CAF654-C9AE-4CB4-997D-CA10045E6CE7}" name="Column1564"/>
    <tableColumn id="1579" xr3:uid="{1D5BD126-B92F-4043-A06D-B3FA93A4C3B4}" name="Column1565"/>
    <tableColumn id="1580" xr3:uid="{E2FEA0D4-0475-42C1-A0C2-D6006B5457EA}" name="Column1566"/>
    <tableColumn id="1581" xr3:uid="{A9D07161-BD3B-4AD9-AE80-60E3CF6DA97B}" name="Column1567"/>
    <tableColumn id="1582" xr3:uid="{D5CCF271-3D48-42FD-B5A0-C28ABDFD7F15}" name="Column1568"/>
    <tableColumn id="1583" xr3:uid="{4244D799-DC55-482F-BE5B-A36E79630948}" name="Column1569"/>
    <tableColumn id="1584" xr3:uid="{12BCA77D-2864-4D09-AAC4-56C09BDE6CDA}" name="Column1570"/>
    <tableColumn id="1585" xr3:uid="{D2411525-F039-465F-8D98-C19FF24276CF}" name="Column1571"/>
    <tableColumn id="1586" xr3:uid="{9AE43E9E-8C89-4665-9F5A-1248F883C8D9}" name="Column1572"/>
    <tableColumn id="1587" xr3:uid="{425FB9E5-D4A4-48DB-8207-D6F64DA831A5}" name="Column1573"/>
    <tableColumn id="1588" xr3:uid="{9FC289B0-ADCC-4DF8-B0C9-B47479FB8AE0}" name="Column1574"/>
    <tableColumn id="1589" xr3:uid="{C1ED1CC7-0B19-48BE-B56F-606198F73E4A}" name="Column1575"/>
    <tableColumn id="1590" xr3:uid="{D1926FC6-52CB-4261-AC2D-15CF5B694D9E}" name="Column1576"/>
    <tableColumn id="1591" xr3:uid="{A20C6299-755D-41DF-ADD4-405BC93E4587}" name="Column1577"/>
    <tableColumn id="1592" xr3:uid="{CAEAB876-B057-47FA-9E49-5F54C0104528}" name="Column1578"/>
    <tableColumn id="1593" xr3:uid="{4A4EE339-BA88-41FC-AB4C-2748B36791BB}" name="Column1579"/>
    <tableColumn id="1594" xr3:uid="{379B3859-0A2F-46A3-A11B-9BBEC04B5383}" name="Column1580"/>
    <tableColumn id="1595" xr3:uid="{8F8B2A46-BF59-45DF-85A7-3E0A791056D7}" name="Column1581"/>
    <tableColumn id="1596" xr3:uid="{0CA459D3-C968-4EEA-B206-07C4E760C3F0}" name="Column1582"/>
    <tableColumn id="1597" xr3:uid="{A43D8D15-458F-4AC4-9F2D-8BB34138921F}" name="Column1583"/>
    <tableColumn id="1598" xr3:uid="{5CE57F67-33AA-4ED2-9926-421B747D7302}" name="Column1584"/>
    <tableColumn id="1599" xr3:uid="{EB72AF35-1695-4D29-BFE2-B835AB75B4A6}" name="Column1585"/>
    <tableColumn id="1600" xr3:uid="{93EA30DA-7761-48F0-8883-BFAAAB022E1F}" name="Column1586"/>
    <tableColumn id="1601" xr3:uid="{6E04C3DA-0E93-4439-AC8D-93906E6A7E0E}" name="Column1587"/>
    <tableColumn id="1602" xr3:uid="{C1DEDE43-4A3E-4B04-8052-B86CCB77752A}" name="Column1588"/>
    <tableColumn id="1603" xr3:uid="{18DA462E-90AC-4796-AE77-CE0AA99E240D}" name="Column1589"/>
    <tableColumn id="1604" xr3:uid="{2BBA9F26-2817-4BC8-8A1B-14912AA0F163}" name="Column1590"/>
    <tableColumn id="1605" xr3:uid="{6810092E-5902-485D-B030-59F659C40D86}" name="Column1591"/>
    <tableColumn id="1606" xr3:uid="{B5FF5313-5E94-497B-95F5-5B6B792F68D1}" name="Column1592"/>
    <tableColumn id="1607" xr3:uid="{C95007D9-1E1E-491C-B65C-89B8DDC9B727}" name="Column1593"/>
    <tableColumn id="1608" xr3:uid="{8AEA42B0-8CFC-45FF-9E7B-F81BEE34D416}" name="Column1594"/>
    <tableColumn id="1609" xr3:uid="{BB6A9DB2-2B04-4AEB-A33A-F0553D9EDF48}" name="Column1595"/>
    <tableColumn id="1610" xr3:uid="{BBA8048E-63BE-4F04-BAC8-70EE10B891ED}" name="Column1596"/>
    <tableColumn id="1611" xr3:uid="{EF243362-ABB1-47E9-BE36-7AA27F6B1B74}" name="Column1597"/>
    <tableColumn id="1612" xr3:uid="{F30864E7-7DF3-42DB-9A6B-537B0E5DA498}" name="Column1598"/>
    <tableColumn id="1613" xr3:uid="{399AA8E9-3ADE-46AC-8674-0DE2CDAD08D7}" name="Column1599"/>
    <tableColumn id="1614" xr3:uid="{491ECEB5-72B0-4D70-A3B9-16ECCA958867}" name="Column1600"/>
    <tableColumn id="1615" xr3:uid="{1260C78E-434D-4F36-B1F8-1E02A72C1582}" name="Column1601"/>
    <tableColumn id="1616" xr3:uid="{F74D4FE8-2141-4C29-980C-E9A74A8B3026}" name="Column1602"/>
    <tableColumn id="1617" xr3:uid="{B1BEDCBC-1CBA-4F96-A88D-51CCD1524FFC}" name="Column1603"/>
    <tableColumn id="1618" xr3:uid="{39D32A1F-79B2-485A-8610-FBB326404CA9}" name="Column1604"/>
    <tableColumn id="1619" xr3:uid="{F9631B4A-88AD-44AD-9DE6-98762A202316}" name="Column1605"/>
    <tableColumn id="1620" xr3:uid="{D6D7E01D-1B0E-44AE-95BC-9BC38E800499}" name="Column1606"/>
    <tableColumn id="1621" xr3:uid="{109A154C-BDC2-406C-96EC-36CB254BB98D}" name="Column1607"/>
    <tableColumn id="1622" xr3:uid="{A4F90752-7A55-4212-8AC4-8982DBB5F32A}" name="Column1608"/>
    <tableColumn id="1623" xr3:uid="{21D5D5E2-E185-4E71-A1B0-2000B9C4EF0C}" name="Column1609"/>
    <tableColumn id="1624" xr3:uid="{1AFEFE58-A219-48DD-86F7-6563895F830E}" name="Column1610"/>
    <tableColumn id="1625" xr3:uid="{19A1AC9B-49A1-45D7-A43A-771A5BEBFC57}" name="Column1611"/>
    <tableColumn id="1626" xr3:uid="{C9F1ACBC-6613-4B82-A9F6-A4C6AB34C4E0}" name="Column1612"/>
    <tableColumn id="1627" xr3:uid="{2DD5942C-21F6-4AED-9604-C8C4CCC8E3A4}" name="Column1613"/>
    <tableColumn id="1628" xr3:uid="{2E0748A1-4F83-4EC8-8F27-4B06CF8036D9}" name="Column1614"/>
    <tableColumn id="1629" xr3:uid="{86E0A1D6-308A-46BC-968A-158D276752FB}" name="Column1615"/>
    <tableColumn id="1630" xr3:uid="{3C36824D-5CB6-4684-BEA7-79354ECDFA4E}" name="Column1616"/>
    <tableColumn id="1631" xr3:uid="{A6B25CDF-4A96-43E8-B401-C17DFA5EFE37}" name="Column1617"/>
    <tableColumn id="1632" xr3:uid="{115BC058-F554-41DD-856D-19E05CA8B3D6}" name="Column1618"/>
    <tableColumn id="1633" xr3:uid="{95B1B99A-1357-4C6A-B6B8-44D48E4669CC}" name="Column1619"/>
    <tableColumn id="1634" xr3:uid="{4CD77712-9E23-431D-8249-FCB0C2606870}" name="Column1620"/>
    <tableColumn id="1635" xr3:uid="{58BB03A9-B782-4A74-9454-D38BD95D1FEE}" name="Column1621"/>
    <tableColumn id="1636" xr3:uid="{2D25EEA6-FF7B-4CA0-AE88-594058201085}" name="Column1622"/>
    <tableColumn id="1637" xr3:uid="{2C34D231-9E70-497E-8B64-017065C20B0B}" name="Column1623"/>
    <tableColumn id="1638" xr3:uid="{6E28A02C-6D0F-4BB9-98C1-F1D094B0A3C5}" name="Column1624"/>
    <tableColumn id="1639" xr3:uid="{3DA29588-EA1C-4878-9878-16CFDCBDFF6D}" name="Column1625"/>
    <tableColumn id="1640" xr3:uid="{2A1CC4FF-B8D3-498E-B52A-2EAE6929A0FD}" name="Column1626"/>
    <tableColumn id="1641" xr3:uid="{4D7FB4EA-E196-4BC4-96FC-18145FA9DB47}" name="Column1627"/>
    <tableColumn id="1642" xr3:uid="{A47D75B9-440E-4AC6-A2B8-A183AA2FF960}" name="Column1628"/>
    <tableColumn id="1643" xr3:uid="{D03B7173-284F-4FB3-B303-A87A8F09C36C}" name="Column1629"/>
    <tableColumn id="1644" xr3:uid="{01EF814C-FCE3-4BA7-AF01-019FE06B86EE}" name="Column1630"/>
    <tableColumn id="1645" xr3:uid="{EEE63875-281A-4697-805A-42B2ECFA9122}" name="Column1631"/>
    <tableColumn id="1646" xr3:uid="{CCFCC554-814B-449B-BC04-45DA2FD53670}" name="Column1632"/>
    <tableColumn id="1647" xr3:uid="{51470B85-A537-40BC-A357-27CB36274A2A}" name="Column1633"/>
    <tableColumn id="1648" xr3:uid="{73F2ACE6-6F73-4CDD-B5DF-BEFD3A55AF25}" name="Column1634"/>
    <tableColumn id="1649" xr3:uid="{973D61C8-879C-41FC-8D01-A3DBD5335D93}" name="Column1635"/>
    <tableColumn id="1650" xr3:uid="{C2149541-EAC9-4128-9928-8CE1466944CD}" name="Column1636"/>
    <tableColumn id="1651" xr3:uid="{CAC4F6D4-A694-4516-8B51-E8F1D4C85FCF}" name="Column1637"/>
    <tableColumn id="1652" xr3:uid="{A401B0AE-74F1-4065-9054-4E5B9B648974}" name="Column1638"/>
    <tableColumn id="1653" xr3:uid="{827A62FD-8C14-47BB-820F-0E1C5AEDBB98}" name="Column1639"/>
    <tableColumn id="1654" xr3:uid="{1C115527-B88D-48AF-B40F-84EDD1D4939C}" name="Column1640"/>
    <tableColumn id="1655" xr3:uid="{05963CF2-3B76-47E8-ACEF-F99B177C436B}" name="Column1641"/>
    <tableColumn id="1656" xr3:uid="{0726DDAA-DA11-481A-8658-C609EBD250C4}" name="Column1642"/>
    <tableColumn id="1657" xr3:uid="{68150BDC-B6D5-455E-9DDA-D576A9FE3EC9}" name="Column1643"/>
    <tableColumn id="1658" xr3:uid="{BE2F6958-1781-451D-8383-FE9B29D8DF12}" name="Column1644"/>
    <tableColumn id="1659" xr3:uid="{CE879158-3C4C-42FA-A073-3E9254557FCF}" name="Column1645"/>
    <tableColumn id="1660" xr3:uid="{AB6E3705-35EC-4BB6-80DC-CFD67B2B5500}" name="Column1646"/>
    <tableColumn id="1661" xr3:uid="{EDFD438A-8605-4D5E-AB22-27AE920C40C0}" name="Column1647"/>
    <tableColumn id="1662" xr3:uid="{5B9C119F-D302-4ED9-A25A-92AD015986D7}" name="Column1648"/>
    <tableColumn id="1663" xr3:uid="{E0707CF5-8953-4F98-B164-CAF4F56C1944}" name="Column1649"/>
    <tableColumn id="1664" xr3:uid="{CAF615A0-59AF-4D57-A029-D9D9150CC6E4}" name="Column1650"/>
    <tableColumn id="1665" xr3:uid="{91972B42-D3BD-48D9-9AC0-11F1585F764F}" name="Column1651"/>
    <tableColumn id="1666" xr3:uid="{5A7F542C-CDE5-4C08-991D-BACE12F60729}" name="Column1652"/>
    <tableColumn id="1667" xr3:uid="{93B4714D-6F38-4F32-AF8A-12F7DD075595}" name="Column1653"/>
    <tableColumn id="1668" xr3:uid="{589A2EDD-DB91-4898-B649-1BE3C1741E5A}" name="Column1654"/>
    <tableColumn id="1669" xr3:uid="{C2417A90-238F-4862-8794-8D71B31477B7}" name="Column1655"/>
    <tableColumn id="1670" xr3:uid="{3ECD2A47-962F-4CF8-B59A-10EF4685A85A}" name="Column1656"/>
    <tableColumn id="1671" xr3:uid="{DA79B818-3E12-48AE-AA42-A32BDA201CE8}" name="Column1657"/>
    <tableColumn id="1672" xr3:uid="{DCCE3A60-1EAD-496B-AEA3-9D0DE7CAFD24}" name="Column1658"/>
    <tableColumn id="1673" xr3:uid="{8FFBE560-0685-4EAF-9EAD-AB483FA510C8}" name="Column1659"/>
    <tableColumn id="1674" xr3:uid="{AA068425-AD0E-4389-A766-B319F8AEE4BF}" name="Column1660"/>
    <tableColumn id="1675" xr3:uid="{6239FE4D-46F5-44BF-9D27-5CE0BAA09C45}" name="Column1661"/>
    <tableColumn id="1676" xr3:uid="{7E310F5D-B27F-4D1A-B61F-2C086538DD0C}" name="Column1662"/>
    <tableColumn id="1677" xr3:uid="{2D3269EA-E6DD-4E13-921C-A7F9192F7DAA}" name="Column1663"/>
    <tableColumn id="1678" xr3:uid="{6D73B680-4156-48A1-AC78-3F3CDD5E1430}" name="Column1664"/>
    <tableColumn id="1679" xr3:uid="{4D6EEC1B-BF06-440B-BBC5-C6E26B115E59}" name="Column1665"/>
    <tableColumn id="1680" xr3:uid="{4BDC064E-CE4C-4F64-A6FA-48FE6981FB64}" name="Column1666"/>
    <tableColumn id="1681" xr3:uid="{C03BA86B-9B73-43D4-9BCD-5B73DAC91CB2}" name="Column1667"/>
    <tableColumn id="1682" xr3:uid="{AB564308-31A5-469A-8D82-D4E4C6CC62A5}" name="Column1668"/>
    <tableColumn id="1683" xr3:uid="{D4F07A97-25A5-48DC-B4E2-C950D9458D5D}" name="Column1669"/>
    <tableColumn id="1684" xr3:uid="{765A1EDD-A3CB-4327-979B-E7CF4E77E598}" name="Column1670"/>
    <tableColumn id="1685" xr3:uid="{D5E57C7F-2971-4F0D-9B8C-B4DCD4A009B2}" name="Column1671"/>
    <tableColumn id="1686" xr3:uid="{6E686DB8-2CB1-40BC-97A4-84C578A79343}" name="Column1672"/>
    <tableColumn id="1687" xr3:uid="{02AA871A-99A9-487F-8443-72034DA7AC33}" name="Column1673"/>
    <tableColumn id="1688" xr3:uid="{9131FD0B-CB1C-4751-9156-AB98EB6C9680}" name="Column1674"/>
    <tableColumn id="1689" xr3:uid="{DCF0DF8D-7BA4-4113-A13A-58EFA6FFAF54}" name="Column1675"/>
    <tableColumn id="1690" xr3:uid="{FA49AD1F-1AA3-41E8-B298-E2D21CA2E0DE}" name="Column1676"/>
    <tableColumn id="1691" xr3:uid="{B5A49D3E-8F0B-4409-9E85-D2A9B53C897B}" name="Column1677"/>
    <tableColumn id="1692" xr3:uid="{7D7057F5-143F-4AB2-AEEA-D26788E90F65}" name="Column1678"/>
    <tableColumn id="1693" xr3:uid="{0AD196DA-E58F-4AED-8F90-6BBD1C73CAAF}" name="Column1679"/>
    <tableColumn id="1694" xr3:uid="{61D1F765-0A6A-4A4B-B9CA-F5E6E4B49FA4}" name="Column1680"/>
    <tableColumn id="1695" xr3:uid="{2E2E75D0-1549-41AC-8226-CDEDDA09DAA1}" name="Column1681"/>
    <tableColumn id="1696" xr3:uid="{3E71A00B-A6BA-4532-A916-2D3BCA932536}" name="Column1682"/>
    <tableColumn id="1697" xr3:uid="{CA64D48E-124A-4189-B6D0-582CA4129F0B}" name="Column1683"/>
    <tableColumn id="1698" xr3:uid="{63F323BE-EBF3-44D3-8B51-8A0BBF622B94}" name="Column1684"/>
    <tableColumn id="1699" xr3:uid="{E97AAAA1-D306-4D45-AE7D-A7A9C13C30A7}" name="Column1685"/>
    <tableColumn id="1700" xr3:uid="{E70C4EE5-7D8A-4EE5-9CD0-3193D0B04922}" name="Column1686"/>
    <tableColumn id="1701" xr3:uid="{1EF48976-D75A-4936-8CC6-C942F014EBDD}" name="Column1687"/>
    <tableColumn id="1702" xr3:uid="{46D1E433-A6FC-4856-8B43-204410F7375B}" name="Column1688"/>
    <tableColumn id="1703" xr3:uid="{C45360DA-B306-4A4B-976D-B9F01A029BCC}" name="Column1689"/>
    <tableColumn id="1704" xr3:uid="{19FAA12F-7205-4DDE-ACAD-936D12E131FE}" name="Column1690"/>
    <tableColumn id="1705" xr3:uid="{A9E5C5DE-8061-480B-A4DD-588E66795AB9}" name="Column1691"/>
    <tableColumn id="1706" xr3:uid="{D6AD5BD3-8331-4A54-B9DA-79F4F7B5ABD1}" name="Column1692"/>
    <tableColumn id="1707" xr3:uid="{FF377F3B-14B0-4E98-9CDD-48A553C79AF2}" name="Column1693"/>
    <tableColumn id="1708" xr3:uid="{673B6634-DCE0-472F-B5D8-230D850670AA}" name="Column1694"/>
    <tableColumn id="1709" xr3:uid="{2C67C9F2-DA47-455C-BA1E-5516A562C78F}" name="Column1695"/>
    <tableColumn id="1710" xr3:uid="{7E0962D4-8231-449A-8E1C-9349AD7496C0}" name="Column1696"/>
    <tableColumn id="1711" xr3:uid="{69D7813A-33C5-4A74-9670-1F38AA04DB47}" name="Column1697"/>
    <tableColumn id="1712" xr3:uid="{54F8A9BE-A4B4-40AB-B6DA-C2EA5D35C2BF}" name="Column1698"/>
    <tableColumn id="1713" xr3:uid="{A8B5FED9-CE16-4105-B38D-5A5946C9A541}" name="Column1699"/>
    <tableColumn id="1714" xr3:uid="{E1633102-1732-4A27-B158-42F24A25EF8D}" name="Column1700"/>
    <tableColumn id="1715" xr3:uid="{5FC33DF6-A4A1-46A4-B3D9-77BF4FA5B764}" name="Column1701"/>
    <tableColumn id="1716" xr3:uid="{23168DDE-434B-43A5-A340-0ADDA3DD0CAA}" name="Column1702"/>
    <tableColumn id="1717" xr3:uid="{B838AC32-589A-478F-927F-181109822433}" name="Column1703"/>
    <tableColumn id="1718" xr3:uid="{B36FB74A-A4E5-4D9E-BD8A-8C29582A0274}" name="Column1704"/>
    <tableColumn id="1719" xr3:uid="{A127A7C0-B4ED-4A0A-A947-B37F411D17C5}" name="Column1705"/>
    <tableColumn id="1720" xr3:uid="{FE03D067-1CAA-4B5C-B16D-E10A28D6AE31}" name="Column1706"/>
    <tableColumn id="1721" xr3:uid="{78285F8E-3DFF-45B4-B7A8-7458E30F6DD7}" name="Column1707"/>
    <tableColumn id="1722" xr3:uid="{333AAE39-3937-4743-B4AF-365A6E2A3129}" name="Column1708"/>
    <tableColumn id="1723" xr3:uid="{DC75C369-BEE5-4E1D-9DDE-5E2872BDEA42}" name="Column1709"/>
    <tableColumn id="1724" xr3:uid="{E976312E-6ED1-44EB-A693-CFCBA706492B}" name="Column1710"/>
    <tableColumn id="1725" xr3:uid="{19237154-2887-4131-AED5-5224D3289F92}" name="Column1711"/>
    <tableColumn id="1726" xr3:uid="{88D775B8-D797-4D4E-9DCB-CCA520132268}" name="Column1712"/>
    <tableColumn id="1727" xr3:uid="{7BFC32C9-9897-46DD-BE3C-3C3E74C91B68}" name="Column1713"/>
    <tableColumn id="1728" xr3:uid="{1C8D4D70-D443-48D9-BD77-82821F9F348E}" name="Column1714"/>
    <tableColumn id="1729" xr3:uid="{9BAC25AD-A5B5-4A69-85A2-99FBBB520C44}" name="Column1715"/>
    <tableColumn id="1730" xr3:uid="{55FD8B6F-5403-4CB4-B828-77D7E6D57D90}" name="Column1716"/>
    <tableColumn id="1731" xr3:uid="{1C92149C-A233-47AB-9684-1365E896C4B7}" name="Column1717"/>
    <tableColumn id="1732" xr3:uid="{46B02A8B-656B-4089-A6F0-43BB6239CB9F}" name="Column1718"/>
    <tableColumn id="1733" xr3:uid="{4837FF8D-0800-4BD7-B37C-83F797FFB8B1}" name="Column1719"/>
    <tableColumn id="1734" xr3:uid="{F8A2BFF5-3B33-42D2-9A02-EDCACF6C31F3}" name="Column1720"/>
    <tableColumn id="1735" xr3:uid="{3F33D5FB-46EC-4A22-B960-508F8132B4AE}" name="Column1721"/>
    <tableColumn id="1736" xr3:uid="{27A30543-008A-4557-B735-A43FF9FB73DF}" name="Column1722"/>
    <tableColumn id="1737" xr3:uid="{66F3982D-B8B8-4A6E-8673-337207A70247}" name="Column1723"/>
    <tableColumn id="1738" xr3:uid="{ED1F3FCC-7F09-4A60-BA49-24976F9011EC}" name="Column1724"/>
    <tableColumn id="1739" xr3:uid="{6C51CA97-CED4-425B-940C-EFB341547BB5}" name="Column1725"/>
    <tableColumn id="1740" xr3:uid="{69544C1C-9267-496B-93F7-28269F7EFBC1}" name="Column1726"/>
    <tableColumn id="1741" xr3:uid="{4B7AFB02-AA5B-403E-9E1D-7EB788FAE821}" name="Column1727"/>
    <tableColumn id="1742" xr3:uid="{1C845DEE-5106-47F1-A982-38CA0653F918}" name="Column1728"/>
    <tableColumn id="1743" xr3:uid="{A8F45AA8-9B2C-4CB4-940E-4A51C2DA0A30}" name="Column1729"/>
    <tableColumn id="1744" xr3:uid="{53E661A0-6342-44A7-8781-05C4A86DE03B}" name="Column1730"/>
    <tableColumn id="1745" xr3:uid="{FFD8CA64-0E0C-4D8D-9847-0655EF1F0F73}" name="Column1731"/>
    <tableColumn id="1746" xr3:uid="{B5095CA7-27C5-439E-9038-A657001E61D5}" name="Column1732"/>
    <tableColumn id="1747" xr3:uid="{B44B93E2-3BAF-4B31-9938-74305E36D500}" name="Column1733"/>
    <tableColumn id="1748" xr3:uid="{56029206-CB46-449D-A29F-DEA73723D471}" name="Column1734"/>
    <tableColumn id="1749" xr3:uid="{FE9C7170-7563-41C9-A9A1-F3FA94937A80}" name="Column1735"/>
    <tableColumn id="1750" xr3:uid="{B6126905-B44D-461C-AF3D-6C652AF6C11F}" name="Column1736"/>
    <tableColumn id="1751" xr3:uid="{E3EA767A-C2AB-4CAB-8316-634D8C58F8C2}" name="Column1737"/>
    <tableColumn id="1752" xr3:uid="{CE3E6AFD-0178-4FAD-9EF9-9A7B4799226C}" name="Column1738"/>
    <tableColumn id="1753" xr3:uid="{A7F08C7E-44D9-402B-9EFD-EAC712A1936F}" name="Column1739"/>
    <tableColumn id="1754" xr3:uid="{62113C53-C2EE-40B5-96C9-17F58D276800}" name="Column1740"/>
    <tableColumn id="1755" xr3:uid="{DA91BF92-34F3-44FE-9052-36F6FE435318}" name="Column1741"/>
    <tableColumn id="1756" xr3:uid="{B09E7250-190F-4BBF-A597-10256CA8A136}" name="Column1742"/>
    <tableColumn id="1757" xr3:uid="{778D924C-F73A-4F5A-973A-F48041323A68}" name="Column1743"/>
    <tableColumn id="1758" xr3:uid="{A3236C1E-E40B-4510-9A27-E5D692A1ECF9}" name="Column1744"/>
    <tableColumn id="1759" xr3:uid="{135102F4-1C2F-40A2-B433-5FA17CEAF278}" name="Column1745"/>
    <tableColumn id="1760" xr3:uid="{EF3C2930-1BEB-46F7-94AE-F39195BAC0B8}" name="Column1746"/>
    <tableColumn id="1761" xr3:uid="{80BF7BDD-58EC-418D-8625-FBD74E290F26}" name="Column1747"/>
    <tableColumn id="1762" xr3:uid="{805CF5A2-6AB3-46F9-89E0-B3468BB8334C}" name="Column1748"/>
    <tableColumn id="1763" xr3:uid="{D3C6B780-7108-476E-A71D-DBC6E5645E34}" name="Column1749"/>
    <tableColumn id="1764" xr3:uid="{9771754C-563B-4B80-A276-4A10678FE96A}" name="Column1750"/>
    <tableColumn id="1765" xr3:uid="{C3FC045D-A732-43A6-B7A9-A7F361069F59}" name="Column1751"/>
    <tableColumn id="1766" xr3:uid="{DBA63171-10AC-40B9-83E0-4ED2FE763965}" name="Column1752"/>
    <tableColumn id="1767" xr3:uid="{5FA3E38E-EBD8-4BD4-B751-DDBBC879A590}" name="Column1753"/>
    <tableColumn id="1768" xr3:uid="{523F8758-F230-4EE8-87BA-662634D27A44}" name="Column1754"/>
    <tableColumn id="1769" xr3:uid="{779A87D7-0438-49DB-AD4F-4A290B81C03A}" name="Column1755"/>
    <tableColumn id="1770" xr3:uid="{14D0C863-E1B3-4CAE-ABC4-8852EEB75EF1}" name="Column1756"/>
    <tableColumn id="1771" xr3:uid="{3C5EDE1F-43A9-42EC-8814-DE27EFFE9580}" name="Column1757"/>
    <tableColumn id="1772" xr3:uid="{55BE6851-F0CC-40F3-B3FF-A2124D179E8C}" name="Column1758"/>
    <tableColumn id="1773" xr3:uid="{DB92BF4F-72A6-4A95-AD42-8C2212B83AA6}" name="Column1759"/>
    <tableColumn id="1774" xr3:uid="{56ECD666-368E-45F6-82D0-E21DB3426D8B}" name="Column1760"/>
    <tableColumn id="1775" xr3:uid="{1BE78AD4-4817-4C78-845C-8B5E14787588}" name="Column1761"/>
    <tableColumn id="1776" xr3:uid="{71C50E72-254C-40AA-BE67-6C2CD33DD27C}" name="Column1762"/>
    <tableColumn id="1777" xr3:uid="{3C97C1D8-4EFD-4B92-B7F3-D0AE17CEBF44}" name="Column1763"/>
    <tableColumn id="1778" xr3:uid="{148DD982-B3D8-484B-90B3-BDC6982B10F6}" name="Column1764"/>
    <tableColumn id="1779" xr3:uid="{E1515156-2133-489D-AA91-627F5BC40AAF}" name="Column1765"/>
    <tableColumn id="1780" xr3:uid="{4D28A6EF-4347-460A-AF03-3E90E9B923DE}" name="Column1766"/>
    <tableColumn id="1781" xr3:uid="{05DDFDFC-74C9-4F99-8B19-9CA2DC58DFFA}" name="Column1767"/>
    <tableColumn id="1782" xr3:uid="{E7A42793-BF08-45AC-9FB4-F02A58CF28DE}" name="Column1768"/>
    <tableColumn id="1783" xr3:uid="{9D680A1A-9970-4091-8DFC-1BE127A841D0}" name="Column1769"/>
    <tableColumn id="1784" xr3:uid="{507F46F1-70CF-4C0D-8E51-754C3691FB6F}" name="Column1770"/>
    <tableColumn id="1785" xr3:uid="{168F2322-DECC-4D06-A83A-B8BF4F7F76EF}" name="Column1771"/>
    <tableColumn id="1786" xr3:uid="{7C7654DC-DCBF-4BD3-8D37-60AB5BFB0CD6}" name="Column1772"/>
    <tableColumn id="1787" xr3:uid="{B053381B-E774-4DA5-82DF-77AACBD72E04}" name="Column1773"/>
    <tableColumn id="1788" xr3:uid="{C1348402-2B34-44C1-90CF-65ED42FB701D}" name="Column1774"/>
    <tableColumn id="1789" xr3:uid="{643086A9-5008-40E3-AD0B-F7A626351000}" name="Column1775"/>
    <tableColumn id="1790" xr3:uid="{ADE0C7FE-6B7A-493C-B68D-B16C5D2D30E8}" name="Column1776"/>
    <tableColumn id="1791" xr3:uid="{4EB7E08B-6D6D-4109-ACE0-6E002ED44350}" name="Column1777"/>
    <tableColumn id="1792" xr3:uid="{8AE926A0-181F-4562-8C2A-5CAFAEEEF527}" name="Column1778"/>
    <tableColumn id="1793" xr3:uid="{587251C7-3629-43DC-B1E5-9417CD33AA17}" name="Column1779"/>
    <tableColumn id="1794" xr3:uid="{825C9382-EAA9-4483-AB42-523792A18380}" name="Column1780"/>
    <tableColumn id="1795" xr3:uid="{2777678C-7A78-48F5-839B-544CEB062C2C}" name="Column1781"/>
    <tableColumn id="1796" xr3:uid="{19CAC5B1-9718-4212-B631-22D2A99AD7DF}" name="Column1782"/>
    <tableColumn id="1797" xr3:uid="{9BD5352A-177D-4DEE-A020-FE78FAB4E0D9}" name="Column1783"/>
    <tableColumn id="1798" xr3:uid="{651FE84D-FDC3-48DD-BC46-42A69519E3D2}" name="Column1784"/>
    <tableColumn id="1799" xr3:uid="{22D03944-1464-456D-A70A-05F0459A3A4D}" name="Column1785"/>
    <tableColumn id="1800" xr3:uid="{3C0836EB-55A3-4D69-8EE6-09EE72EB73EA}" name="Column1786"/>
    <tableColumn id="1801" xr3:uid="{C0AED6EF-2153-432B-9333-6C7A11BAFAC7}" name="Column1787"/>
    <tableColumn id="1802" xr3:uid="{AF2F8398-A445-491C-9F9A-32D1A6181927}" name="Column1788"/>
    <tableColumn id="1803" xr3:uid="{2F2FC795-A69A-4879-8F70-294EA6D2A5D3}" name="Column1789"/>
    <tableColumn id="1804" xr3:uid="{AD197507-B128-441B-99F6-724376061ADF}" name="Column1790"/>
    <tableColumn id="1805" xr3:uid="{02584EC9-77B4-40B0-ABB9-EF35A43B68B8}" name="Column1791"/>
    <tableColumn id="1806" xr3:uid="{30C818EE-6CA0-4869-BAF2-A92B27B5F1D6}" name="Column1792"/>
    <tableColumn id="1807" xr3:uid="{11A4E497-9693-4A74-8978-3AD4607BC607}" name="Column1793"/>
    <tableColumn id="1808" xr3:uid="{F9618D70-A4EC-4979-A993-D5665EEA30E4}" name="Column1794"/>
    <tableColumn id="1809" xr3:uid="{7BAF0A3C-0B47-49DF-BAB2-9A8E0DDC650F}" name="Column1795"/>
    <tableColumn id="1810" xr3:uid="{C8E9A21A-1593-4ABE-9B1A-E1F43AA4960A}" name="Column1796"/>
    <tableColumn id="1811" xr3:uid="{C280E404-7539-416C-9656-70E572F85E2A}" name="Column1797"/>
    <tableColumn id="1812" xr3:uid="{7B1A697F-F85A-45F6-8B61-46933CEF2217}" name="Column1798"/>
    <tableColumn id="1813" xr3:uid="{F207F29D-1F28-4313-9DB6-8000A33A0B9B}" name="Column1799"/>
    <tableColumn id="1814" xr3:uid="{9BE16022-C323-4E41-8097-A261D18DFDAE}" name="Column1800"/>
    <tableColumn id="1815" xr3:uid="{1F64FB10-1713-47F2-9CB5-C4D7E30960C1}" name="Column1801"/>
    <tableColumn id="1816" xr3:uid="{E4485E5A-74E3-43C4-B1DC-0714644B299C}" name="Column1802"/>
    <tableColumn id="1817" xr3:uid="{6D23C9C9-D975-4A71-B793-100EE4660DE8}" name="Column1803"/>
    <tableColumn id="1818" xr3:uid="{52710348-035D-484F-987E-68665D0504F2}" name="Column1804"/>
    <tableColumn id="1819" xr3:uid="{BA75B660-40CA-4053-BD81-BBE892143F61}" name="Column1805"/>
    <tableColumn id="1820" xr3:uid="{13AE77F1-8485-429D-A18F-25D07EF8B5C0}" name="Column1806"/>
    <tableColumn id="1821" xr3:uid="{F54187ED-A8C0-4B0F-8C31-E255A9F9EAA9}" name="Column1807"/>
    <tableColumn id="1822" xr3:uid="{89F469A0-DD4B-4BF2-98EB-BCE857937CA9}" name="Column1808"/>
    <tableColumn id="1823" xr3:uid="{7AC537B7-38EC-4003-B5EE-7B39086B82EC}" name="Column1809"/>
    <tableColumn id="1824" xr3:uid="{919BA089-9F3D-4EF2-A6CC-F0A1BADA22BE}" name="Column1810"/>
    <tableColumn id="1825" xr3:uid="{3D449BB3-939A-4E5C-8A4E-BECFCB1D14A1}" name="Column1811"/>
    <tableColumn id="1826" xr3:uid="{C65D420C-789C-49DE-A6BD-8C144FB345A2}" name="Column1812"/>
    <tableColumn id="1827" xr3:uid="{527B45E6-E594-4807-9E86-3CB0DA2660D5}" name="Column1813"/>
    <tableColumn id="1828" xr3:uid="{8049C62F-3B9A-4589-92A3-19FC672F9338}" name="Column1814"/>
    <tableColumn id="1829" xr3:uid="{09B07FF0-4FC2-4314-B91E-570D78610AD2}" name="Column1815"/>
    <tableColumn id="1830" xr3:uid="{C8AF67B5-5EF7-45C5-B1FB-23CA8C29A697}" name="Column1816"/>
    <tableColumn id="1831" xr3:uid="{9392F322-08A6-479D-9E7F-84ACF835F494}" name="Column1817"/>
    <tableColumn id="1832" xr3:uid="{EC63C479-2BB3-457D-919F-91A45AFF193A}" name="Column1818"/>
    <tableColumn id="1833" xr3:uid="{23687DC5-7E56-42B6-A157-E638EA66CA58}" name="Column1819"/>
    <tableColumn id="1834" xr3:uid="{FBE8391E-2A8F-43A9-AD9A-772303E2560E}" name="Column1820"/>
    <tableColumn id="1835" xr3:uid="{CED136C5-7BE5-409A-A80C-78EA5706CF20}" name="Column1821"/>
    <tableColumn id="1836" xr3:uid="{FA6C12EA-F76F-4C9B-9F73-D3FB00A271F9}" name="Column1822"/>
    <tableColumn id="1837" xr3:uid="{2F94CEF3-AB6F-4620-84C1-C3D80FDD188D}" name="Column1823"/>
    <tableColumn id="1838" xr3:uid="{4CE1B481-ED53-42E0-9BFE-A0674BEC15DE}" name="Column1824"/>
    <tableColumn id="1839" xr3:uid="{41AFBFDD-2681-4192-A26A-0C262929FA85}" name="Column1825"/>
    <tableColumn id="1840" xr3:uid="{FBC4E52F-9BBE-4CEB-B87F-316E3B9F82A5}" name="Column1826"/>
    <tableColumn id="1841" xr3:uid="{8F73CA65-BF07-42DC-A039-B7EC870FFFFE}" name="Column1827"/>
    <tableColumn id="1842" xr3:uid="{FA3B2D71-89B7-450D-B068-6AD37E607F93}" name="Column1828"/>
    <tableColumn id="1843" xr3:uid="{5CBA1F47-4E1C-4025-B5F5-3AB48C3211BE}" name="Column1829"/>
    <tableColumn id="1844" xr3:uid="{60CF6C70-1FC4-4B47-9363-9ED40548F437}" name="Column1830"/>
    <tableColumn id="1845" xr3:uid="{0F60CDBB-22C9-4831-B8E9-8181AA29C883}" name="Column1831"/>
    <tableColumn id="1846" xr3:uid="{C7809EF0-2648-427A-9D09-BBD990A26867}" name="Column1832"/>
    <tableColumn id="1847" xr3:uid="{9DED5A3A-2AD7-4AE0-A089-4B14898A1B95}" name="Column1833"/>
    <tableColumn id="1848" xr3:uid="{429EBC66-A7D0-4ACC-9854-3EDBCA2F40D3}" name="Column1834"/>
    <tableColumn id="1849" xr3:uid="{9A1481F6-BC37-4A46-AF11-8E88D99E46FB}" name="Column1835"/>
    <tableColumn id="1850" xr3:uid="{DE8F9E95-82B5-4E2E-A23E-396F179626CA}" name="Column1836"/>
    <tableColumn id="1851" xr3:uid="{772759A6-4A94-400F-A155-29DC7A405470}" name="Column1837"/>
    <tableColumn id="1852" xr3:uid="{8B2E1AD8-9007-4582-B91F-FF213591BC0A}" name="Column1838"/>
    <tableColumn id="1853" xr3:uid="{5F6D9999-293F-44C7-B390-463B91256552}" name="Column1839"/>
    <tableColumn id="1854" xr3:uid="{37BCA83C-16F3-4706-A6E6-917CE8C9A627}" name="Column1840"/>
    <tableColumn id="1855" xr3:uid="{2D128FF6-6B28-48B3-A686-5243716078D9}" name="Column1841"/>
    <tableColumn id="1856" xr3:uid="{204F4E5D-B855-49C3-9660-B29BEAF9A55F}" name="Column1842"/>
    <tableColumn id="1857" xr3:uid="{49BEDB71-C1BC-494B-8B08-0488C1B6B307}" name="Column1843"/>
    <tableColumn id="1858" xr3:uid="{A862C31C-82DE-46E1-B6D8-743B41AA7054}" name="Column1844"/>
    <tableColumn id="1859" xr3:uid="{2380BC54-936D-4E38-9268-79A7258D9F8D}" name="Column1845"/>
    <tableColumn id="1860" xr3:uid="{312B2702-6B06-4673-BBE7-0D17AB83A35F}" name="Column1846"/>
    <tableColumn id="1861" xr3:uid="{430320A7-C0AA-4312-9E54-4EEC01596F22}" name="Column1847"/>
    <tableColumn id="1862" xr3:uid="{7CE07B24-3C52-4288-B5A3-B65147C90490}" name="Column1848"/>
    <tableColumn id="1863" xr3:uid="{635409CE-B8B5-4389-9B5D-E5BD5D888A97}" name="Column1849"/>
    <tableColumn id="1864" xr3:uid="{73AC29D7-5C88-4123-9DB3-4E8FABBDAC67}" name="Column1850"/>
    <tableColumn id="1865" xr3:uid="{D7EE9F42-6AAC-4222-A6EC-C18D113D2F32}" name="Column1851"/>
    <tableColumn id="1866" xr3:uid="{D9684737-B9C7-4C2D-A6C5-8967924E2D6A}" name="Column1852"/>
    <tableColumn id="1867" xr3:uid="{78FD62E4-E97F-4EAD-B8DF-9BF9BD1E49A0}" name="Column1853"/>
    <tableColumn id="1868" xr3:uid="{667B0F5D-47F9-49C5-909A-A49B2F3CFAB2}" name="Column1854"/>
    <tableColumn id="1869" xr3:uid="{03121DB1-98D4-418F-A77E-37C1D6215476}" name="Column1855"/>
    <tableColumn id="1870" xr3:uid="{A8178EDF-2E8F-431F-9A53-9210CA62CF60}" name="Column1856"/>
    <tableColumn id="1871" xr3:uid="{35206B29-EB68-4556-97BF-90843D33A5C1}" name="Column1857"/>
    <tableColumn id="1872" xr3:uid="{8ECCB905-E4F5-4AE7-BAA2-379D2031BF52}" name="Column1858"/>
    <tableColumn id="1873" xr3:uid="{4DFBCFA7-F461-4077-AEB5-9B3D59894070}" name="Column1859"/>
    <tableColumn id="1874" xr3:uid="{42305CD2-961B-4EA1-A1E4-40057960FDD7}" name="Column1860"/>
    <tableColumn id="1875" xr3:uid="{0A90DF93-6982-4E07-95BB-E527F14E8AC6}" name="Column1861"/>
    <tableColumn id="1876" xr3:uid="{CF0D216D-8A75-4B6F-9C38-288EAFD3725D}" name="Column1862"/>
    <tableColumn id="1877" xr3:uid="{01C8CD98-CCF4-49E5-858B-ECC6B11CDF3F}" name="Column1863"/>
    <tableColumn id="1878" xr3:uid="{EE755221-D6CF-464D-918B-95088DDC6DAB}" name="Column1864"/>
    <tableColumn id="1879" xr3:uid="{6F9DB609-2ED7-42F9-850D-00E77DF48AB0}" name="Column1865"/>
    <tableColumn id="1880" xr3:uid="{EB0EE767-2664-48DC-9F31-0BBF5D945D9E}" name="Column1866"/>
    <tableColumn id="1881" xr3:uid="{5E816EAB-5FF9-4723-A9B0-96DB3E9EEAB2}" name="Column1867"/>
    <tableColumn id="1882" xr3:uid="{64FF2B6F-DCA2-46D3-A83E-FB95985295C1}" name="Column1868"/>
    <tableColumn id="1883" xr3:uid="{7B583537-44F4-4976-8CB6-28D105F05368}" name="Column1869"/>
    <tableColumn id="1884" xr3:uid="{0F318C49-27B4-4351-98D2-8037DB9F6F00}" name="Column1870"/>
    <tableColumn id="1885" xr3:uid="{994A2F80-F2F9-4600-A324-B1F43582C9E1}" name="Column1871"/>
    <tableColumn id="1886" xr3:uid="{B9DFD47A-8241-49D9-9CA0-495AA9DF01FC}" name="Column1872"/>
    <tableColumn id="1887" xr3:uid="{055CB184-D769-403F-BC13-6AD55A8C2BCB}" name="Column1873"/>
    <tableColumn id="1888" xr3:uid="{B32EAB53-36CB-473C-AAFA-22CF4880B8AB}" name="Column1874"/>
    <tableColumn id="1889" xr3:uid="{06AF48B4-F424-4AB0-922A-6CB9F34A4906}" name="Column1875"/>
    <tableColumn id="1890" xr3:uid="{2CEA4738-AA42-425C-969D-129B0FDD7194}" name="Column1876"/>
    <tableColumn id="1891" xr3:uid="{FC6267CC-AE52-4127-98F9-9419A8CF0D07}" name="Column1877"/>
    <tableColumn id="1892" xr3:uid="{689520DF-F996-4089-BA0A-F11D61F4D91D}" name="Column1878"/>
    <tableColumn id="1893" xr3:uid="{5D69339E-3863-4135-BACC-2CEB4A5C7778}" name="Column1879"/>
    <tableColumn id="1894" xr3:uid="{981C5BD0-B615-4992-9C34-B5CB0FFEA894}" name="Column1880"/>
    <tableColumn id="1895" xr3:uid="{317D6DEF-4BB5-40B5-8C76-D4BD7B94E625}" name="Column1881"/>
    <tableColumn id="1896" xr3:uid="{942D5F02-DE86-4E0E-B824-402D7116581F}" name="Column1882"/>
    <tableColumn id="1897" xr3:uid="{6B31218E-437E-4BAF-BA42-BFC510C58A56}" name="Column1883"/>
    <tableColumn id="1898" xr3:uid="{51211908-F1DB-4122-BE6B-1BF7041ABAE8}" name="Column1884"/>
    <tableColumn id="1899" xr3:uid="{303A67AE-C1C2-41E3-96F8-579515AECDB6}" name="Column1885"/>
    <tableColumn id="1900" xr3:uid="{E3965395-6E1C-4176-A892-63933B729978}" name="Column1886"/>
    <tableColumn id="1901" xr3:uid="{56282279-1ED4-4B11-8119-F2DF542A2687}" name="Column1887"/>
    <tableColumn id="1902" xr3:uid="{8EE14E55-1FE7-486F-91E6-280F74EEA30F}" name="Column1888"/>
    <tableColumn id="1903" xr3:uid="{5E34347D-39F4-4F72-81BC-8E5EC50B276D}" name="Column1889"/>
    <tableColumn id="1904" xr3:uid="{16C20B7E-6E82-42B0-8F6F-5965E3D946F7}" name="Column1890"/>
    <tableColumn id="1905" xr3:uid="{8967B2FE-5517-478B-83C4-8E6E3D2C5EAD}" name="Column1891"/>
    <tableColumn id="1906" xr3:uid="{EAC175CB-E13D-46AB-B6DE-562C8663EBB0}" name="Column1892"/>
    <tableColumn id="1907" xr3:uid="{03A31D87-EDF2-4658-9C31-C4CE2B21C6D4}" name="Column1893"/>
    <tableColumn id="1908" xr3:uid="{F0600F27-38F6-4265-A33F-0F93C83ADDCA}" name="Column1894"/>
    <tableColumn id="1909" xr3:uid="{7D8D21A2-4B3F-49C0-A19C-99065DCD0103}" name="Column1895"/>
    <tableColumn id="1910" xr3:uid="{7423DF8D-2B02-4EAF-8DCD-D18BA92DAA7C}" name="Column1896"/>
    <tableColumn id="1911" xr3:uid="{0FBD0EF0-56B8-45B3-9525-DB3B6025B416}" name="Column1897"/>
    <tableColumn id="1912" xr3:uid="{3D5CCF47-57A2-465A-8743-DF820F87E219}" name="Column1898"/>
    <tableColumn id="1913" xr3:uid="{94A95AF2-6CDC-4D11-9A6D-4421F8FB8788}" name="Column1899"/>
    <tableColumn id="1914" xr3:uid="{018A81D0-8ABF-4BAD-83F9-F820F6AD8683}" name="Column1900"/>
    <tableColumn id="1915" xr3:uid="{99EEE6AA-0772-46DE-AD14-1AAF5E47A3FC}" name="Column1901"/>
    <tableColumn id="1916" xr3:uid="{C1FD8A55-FD32-4A8E-A3B1-3830D0F0CCE9}" name="Column1902"/>
    <tableColumn id="1917" xr3:uid="{92DDDC92-DD58-4E21-8EAF-B1C602CD2409}" name="Column1903"/>
    <tableColumn id="1918" xr3:uid="{33DE4E6F-4A09-40A5-AA43-9DF027E6A204}" name="Column1904"/>
    <tableColumn id="1919" xr3:uid="{74835FE4-BC5D-4267-8A77-7A528B42B534}" name="Column1905"/>
    <tableColumn id="1920" xr3:uid="{E9A0F186-99D4-45BC-9EBA-6711FFA176F1}" name="Column1906"/>
    <tableColumn id="1921" xr3:uid="{60B61783-F028-42D2-92DE-4343C106A677}" name="Column1907"/>
    <tableColumn id="1922" xr3:uid="{7A461FDA-C30A-46CA-BE1D-3DEF4A9BBF9F}" name="Column1908"/>
    <tableColumn id="1923" xr3:uid="{CE9D7683-1F3C-452D-9DD2-9C3681E5138A}" name="Column1909"/>
    <tableColumn id="1924" xr3:uid="{7BCDAF1D-F667-4329-8427-C9BCD6A5F916}" name="Column1910"/>
    <tableColumn id="1925" xr3:uid="{F417B759-D8FF-4D68-B898-F06CBB0FAFE0}" name="Column1911"/>
    <tableColumn id="1926" xr3:uid="{C93BBB19-00A7-4CF7-B076-8C71A14D7EA8}" name="Column1912"/>
    <tableColumn id="1927" xr3:uid="{57243114-29E4-4695-A1C1-61720C80C919}" name="Column1913"/>
    <tableColumn id="1928" xr3:uid="{E9D0DA73-9477-4208-97EF-D5D490B31517}" name="Column1914"/>
    <tableColumn id="1929" xr3:uid="{4ECFE262-A495-4DE2-88FF-7234CA2B1220}" name="Column1915"/>
    <tableColumn id="1930" xr3:uid="{558C9157-B5AB-4046-BE09-9449C6C9E40D}" name="Column1916"/>
    <tableColumn id="1931" xr3:uid="{0B47EDD5-6BC8-4278-909F-A424C4E38B9B}" name="Column1917"/>
    <tableColumn id="1932" xr3:uid="{6FE7F8B5-243F-45E5-8B37-205B8772DB5D}" name="Column1918"/>
    <tableColumn id="1933" xr3:uid="{1D14788B-5D8F-42F9-B5D0-529D743DDF7F}" name="Column1919"/>
    <tableColumn id="1934" xr3:uid="{F2E90C6B-86C1-498E-B6CD-360A3BC274A3}" name="Column1920"/>
    <tableColumn id="1935" xr3:uid="{EA7B297A-29A0-493B-B71F-2E5BD42139DA}" name="Column1921"/>
    <tableColumn id="1936" xr3:uid="{5B841EB5-5B2B-4BA1-8B92-075BADC66BB2}" name="Column1922"/>
    <tableColumn id="1937" xr3:uid="{EE16FC8B-17BD-4DAB-90BE-7E5A61117488}" name="Column1923"/>
    <tableColumn id="1938" xr3:uid="{6D31FD19-313E-4147-B7C1-71EDBCCDA910}" name="Column1924"/>
    <tableColumn id="1939" xr3:uid="{0208C9AD-1A97-4FD7-A031-28D386073C20}" name="Column1925"/>
    <tableColumn id="1940" xr3:uid="{F2203B68-55E7-4EC3-B659-48D767C3A322}" name="Column1926"/>
    <tableColumn id="1941" xr3:uid="{A715E9F9-141B-4DC8-A132-C27FD4E235E7}" name="Column1927"/>
    <tableColumn id="1942" xr3:uid="{AF5DEBD3-77D7-4C4B-862F-ECD53FB2B1AE}" name="Column1928"/>
    <tableColumn id="1943" xr3:uid="{1E00B3BD-27E8-4777-99DA-5B8F3EF36065}" name="Column1929"/>
    <tableColumn id="1944" xr3:uid="{6EA5A8C0-B2D6-46A3-B294-2ABF7921A2F6}" name="Column1930"/>
    <tableColumn id="1945" xr3:uid="{AF043AF8-6AF6-4A5A-9353-CCABF86600C8}" name="Column1931"/>
    <tableColumn id="1946" xr3:uid="{85AC6C43-33CB-4FDB-BF6F-C84EED175C46}" name="Column1932"/>
    <tableColumn id="1947" xr3:uid="{DFCA8CF5-D111-4875-9CDE-D523A00ACB53}" name="Column1933"/>
    <tableColumn id="1948" xr3:uid="{A2A33B33-ECC1-4BC9-BC70-0E5F206B9955}" name="Column1934"/>
    <tableColumn id="1949" xr3:uid="{10523B73-F7CF-4A3F-90E4-2232E72E0AEC}" name="Column1935"/>
    <tableColumn id="1950" xr3:uid="{FE495AB5-1809-44AB-A6D6-A790307971C6}" name="Column1936"/>
    <tableColumn id="1951" xr3:uid="{13CDDFA7-D47A-47E4-95DA-F1C942D2DB93}" name="Column1937"/>
    <tableColumn id="1952" xr3:uid="{14D27FE9-F747-4EB7-9DBF-E9BB3C884248}" name="Column1938"/>
    <tableColumn id="1953" xr3:uid="{46504B91-26A6-4939-9EF7-0373615D6019}" name="Column1939"/>
    <tableColumn id="1954" xr3:uid="{3ECBA86E-E7B8-4D42-9379-A137689733DC}" name="Column1940"/>
    <tableColumn id="1955" xr3:uid="{5DC0253F-857B-458F-8BC0-2D858ADC4610}" name="Column1941"/>
    <tableColumn id="1956" xr3:uid="{7D66411A-2DB1-4AA0-BD29-BAE2D9489303}" name="Column1942"/>
    <tableColumn id="1957" xr3:uid="{A941ED75-EE40-40E5-925E-A190C057D92B}" name="Column1943"/>
    <tableColumn id="1958" xr3:uid="{B27DA172-844E-46D4-9A87-FE1B37EEEB7C}" name="Column1944"/>
    <tableColumn id="1959" xr3:uid="{A136495F-ABEB-47AE-AE56-54AC0CD35CC8}" name="Column1945"/>
    <tableColumn id="1960" xr3:uid="{BFA2E7DD-8E82-47FF-ABD9-9A464D342785}" name="Column1946"/>
    <tableColumn id="1961" xr3:uid="{B35811A7-6595-4A49-9C8F-7BDCB12C7F70}" name="Column1947"/>
    <tableColumn id="1962" xr3:uid="{CA6277AA-6EB2-452B-A146-8ECAE214429D}" name="Column1948"/>
    <tableColumn id="1963" xr3:uid="{40BF919C-2DE0-4807-8E99-E584D6373946}" name="Column1949"/>
    <tableColumn id="1964" xr3:uid="{8DCE11D8-DCD5-4A6E-B10D-D19CF3847996}" name="Column1950"/>
    <tableColumn id="1965" xr3:uid="{6ECF2D07-D7E8-4593-8C9F-71B70203274F}" name="Column1951"/>
    <tableColumn id="1966" xr3:uid="{497E4A39-23E4-4AD5-843A-58D8AC695BB9}" name="Column1952"/>
    <tableColumn id="1967" xr3:uid="{907EDAFE-F192-4672-BE73-4F51C03F8B4E}" name="Column1953"/>
    <tableColumn id="1968" xr3:uid="{35A9A2D4-1F48-4402-9707-8BD4EE03E8FE}" name="Column1954"/>
    <tableColumn id="1969" xr3:uid="{BA6B0711-6B22-431B-91FF-C7878FBFB236}" name="Column1955"/>
    <tableColumn id="1970" xr3:uid="{3DC0BBDD-24A5-49E4-9377-162942014E49}" name="Column1956"/>
    <tableColumn id="1971" xr3:uid="{CD6CB03B-1977-4027-AD92-CDAD579B4F68}" name="Column1957"/>
    <tableColumn id="1972" xr3:uid="{0DD181B5-A2ED-44EF-BA55-F3B65B8F278F}" name="Column1958"/>
    <tableColumn id="1973" xr3:uid="{1BEA1111-39AB-4D61-9686-2318E520282F}" name="Column1959"/>
    <tableColumn id="1974" xr3:uid="{BD187D3F-18D4-4BC8-96BB-C384454C972F}" name="Column1960"/>
    <tableColumn id="1975" xr3:uid="{F5239B25-171C-4564-BADC-036561C7FD25}" name="Column1961"/>
    <tableColumn id="1976" xr3:uid="{07E25D9C-45E9-4AE6-9007-88EEBC95E7D0}" name="Column1962"/>
    <tableColumn id="1977" xr3:uid="{642A5089-A265-4628-A3DC-ACAC9E8E838A}" name="Column1963"/>
    <tableColumn id="1978" xr3:uid="{05C8B942-FA7E-4F87-901B-26763B4EA478}" name="Column1964"/>
    <tableColumn id="1979" xr3:uid="{3FF98C95-1728-48E7-A6E4-EE80813EACDB}" name="Column1965"/>
    <tableColumn id="1980" xr3:uid="{8D3F641F-7B24-4A57-8236-FA7F1926D0F1}" name="Column1966"/>
    <tableColumn id="1981" xr3:uid="{2ADEAF07-4E11-4A20-90E4-352E930BD3BC}" name="Column1967"/>
    <tableColumn id="1982" xr3:uid="{45909657-DDDE-4AE7-AFCF-FC6BC98701E8}" name="Column1968"/>
    <tableColumn id="1983" xr3:uid="{BF625BCD-6CC8-427C-A146-6EB61BD9C769}" name="Column1969"/>
    <tableColumn id="1984" xr3:uid="{3B503254-981C-41E6-BFAA-7F377583E9CF}" name="Column1970"/>
    <tableColumn id="1985" xr3:uid="{4518826B-5317-4A66-B2F8-40A953DAAC19}" name="Column1971"/>
    <tableColumn id="1986" xr3:uid="{6039407A-4B90-4906-BFC2-3E064C6B23D6}" name="Column1972"/>
    <tableColumn id="1987" xr3:uid="{AAAC75A4-2F97-4AC1-8E20-0168C1F194BF}" name="Column1973"/>
    <tableColumn id="1988" xr3:uid="{7686540F-5F1B-4F86-8A25-70806570FB24}" name="Column1974"/>
    <tableColumn id="1989" xr3:uid="{43379A17-0EC1-4EAB-A03D-B736FBE79C6A}" name="Column1975"/>
    <tableColumn id="1990" xr3:uid="{55ACA97B-147D-4378-9243-5396E10B3D52}" name="Column1976"/>
    <tableColumn id="1991" xr3:uid="{52C3587D-076D-44AA-8CE9-DC37BC0A7FC4}" name="Column1977"/>
    <tableColumn id="1992" xr3:uid="{0FFE84F4-0401-4C0F-8D83-CB3DEB8A0AA5}" name="Column1978"/>
    <tableColumn id="1993" xr3:uid="{D499F64D-9D05-4072-8292-FE81A4C17EE2}" name="Column1979"/>
    <tableColumn id="1994" xr3:uid="{02AF1D31-3448-42C4-B271-F95AB44290FC}" name="Column1980"/>
    <tableColumn id="1995" xr3:uid="{DA4F7DC0-EFE0-48D3-9420-499E05BBE168}" name="Column1981"/>
    <tableColumn id="1996" xr3:uid="{DEB90B7D-31B0-483E-B5AA-AC5B8A572B09}" name="Column1982"/>
    <tableColumn id="1997" xr3:uid="{7633A8CC-310A-42EE-97A6-1A76A57F986B}" name="Column1983"/>
    <tableColumn id="1998" xr3:uid="{B4D74BE7-3C1A-4BE9-972D-CDEB51417BA5}" name="Column1984"/>
    <tableColumn id="1999" xr3:uid="{D1C8D6FE-0A88-42FA-B8A5-259243877D71}" name="Column1985"/>
    <tableColumn id="2000" xr3:uid="{4F5376D4-B818-4C09-8A40-99BD3BDD518B}" name="Column1986"/>
    <tableColumn id="2001" xr3:uid="{E7207E01-9BAA-41FD-A917-4A12D14A0C4B}" name="Column1987"/>
    <tableColumn id="2002" xr3:uid="{768D9E7A-14A4-479F-B9EC-843AAB584A28}" name="Column1988"/>
    <tableColumn id="2003" xr3:uid="{83DC2664-68CF-4320-8BA1-ECAE967B98D6}" name="Column1989"/>
    <tableColumn id="2004" xr3:uid="{3DEE1AF7-2892-4330-985C-E98E2AA02806}" name="Column1990"/>
    <tableColumn id="2005" xr3:uid="{6AEEBD2B-9627-406A-BD37-8394152877B3}" name="Column1991"/>
    <tableColumn id="2006" xr3:uid="{16011245-DF89-4DF2-B948-FAE8EDE99EEA}" name="Column1992"/>
    <tableColumn id="2007" xr3:uid="{5A9883AB-E148-4885-98EE-707486BD2CDB}" name="Column1993"/>
    <tableColumn id="2008" xr3:uid="{A7DCD3C2-856C-4CA9-8F41-47C7380F0CDD}" name="Column1994"/>
    <tableColumn id="2009" xr3:uid="{CB346E88-C567-4A7C-B7BF-D28BE8A73097}" name="Column1995"/>
    <tableColumn id="2010" xr3:uid="{375F3EE4-423C-4CD2-8E9E-B75580A4625E}" name="Column1996"/>
    <tableColumn id="2011" xr3:uid="{2B9F734B-2B35-4C97-986C-0A633F54175E}" name="Column1997"/>
    <tableColumn id="2012" xr3:uid="{5953A1D9-FC15-4452-B7BE-66BB18FB9F3B}" name="Column1998"/>
    <tableColumn id="2013" xr3:uid="{8BA43DC1-2A62-4E97-92BB-D50C32C126E6}" name="Column1999"/>
    <tableColumn id="2014" xr3:uid="{5C54674F-2CDF-4522-B903-ECC9B1DDF092}" name="Column2000"/>
    <tableColumn id="2015" xr3:uid="{6E36A7AF-8D3A-4C56-B087-1F88EAB326F1}" name="Column2001"/>
    <tableColumn id="2016" xr3:uid="{C7FC6510-6170-4F04-A8D8-7078CC924319}" name="Column2002"/>
    <tableColumn id="2017" xr3:uid="{ED1C9ADF-056A-4D5B-9F81-01D876152028}" name="Column2003"/>
    <tableColumn id="2018" xr3:uid="{20ED386A-C1E8-454B-9302-11207B67B813}" name="Column2004"/>
    <tableColumn id="2019" xr3:uid="{C0F19589-519B-4372-B443-2216124F2DCD}" name="Column2005"/>
    <tableColumn id="2020" xr3:uid="{99AD4DB2-7A98-4B7D-AA9E-8FD8D77838EB}" name="Column2006"/>
    <tableColumn id="2021" xr3:uid="{BF7A58AE-FB27-4E95-A8CA-C3431A0FAB4C}" name="Column2007"/>
    <tableColumn id="2022" xr3:uid="{E1CEAC79-760E-415C-B0C5-7BC0910E47DE}" name="Column2008"/>
    <tableColumn id="2023" xr3:uid="{B6E6FDAD-61BF-4BBA-81C4-24912267B75B}" name="Column2009"/>
    <tableColumn id="2024" xr3:uid="{F63C103B-5308-4849-8F51-427FD2F33941}" name="Column2010"/>
    <tableColumn id="2025" xr3:uid="{9CBB96C9-156E-4D63-8A48-33711E8E75C9}" name="Column2011"/>
    <tableColumn id="2026" xr3:uid="{07BE036B-E018-48E0-93DE-14A201239E0E}" name="Column2012"/>
    <tableColumn id="2027" xr3:uid="{2639714C-D14E-481D-B4A2-E66BFCA30AF3}" name="Column2013"/>
    <tableColumn id="2028" xr3:uid="{2694BCC5-6BDB-4419-AF1C-F236980AD363}" name="Column2014"/>
    <tableColumn id="2029" xr3:uid="{F2B7EBA7-5565-4953-8BAC-564939E2F412}" name="Column2015"/>
    <tableColumn id="2030" xr3:uid="{297132F6-D053-4CCF-95DD-FC744525D6F7}" name="Column2016"/>
    <tableColumn id="2031" xr3:uid="{3983449B-2D7B-4F2F-8C2C-490B33813829}" name="Column2017"/>
    <tableColumn id="2032" xr3:uid="{7791AA44-4155-4A49-B157-3500B444FF2B}" name="Column2018"/>
    <tableColumn id="2033" xr3:uid="{7C5BF383-08E0-4352-8367-863E33A8DC0A}" name="Column2019"/>
    <tableColumn id="2034" xr3:uid="{0EB6041A-73B5-4592-B5A3-39FC1CC15508}" name="Column2020"/>
    <tableColumn id="2035" xr3:uid="{5372C4DE-7182-47CB-96CB-46BFB253F67C}" name="Column2021"/>
    <tableColumn id="2036" xr3:uid="{E774FF60-DCA6-4EDB-B122-E2B0F854CDA6}" name="Column2022"/>
    <tableColumn id="2037" xr3:uid="{629EC901-48F8-415A-822A-B83DB886ED5F}" name="Column2023"/>
    <tableColumn id="2038" xr3:uid="{6E15856B-A460-4685-A416-A3823967B6F8}" name="Column2024"/>
    <tableColumn id="2039" xr3:uid="{5B961DF2-D75F-45C6-98B1-B2B58AC0D363}" name="Column2025"/>
    <tableColumn id="2040" xr3:uid="{72A88F1C-60AC-4EB5-828F-38355A719128}" name="Column2026"/>
    <tableColumn id="2041" xr3:uid="{01F554FD-3BB8-4BC7-A061-639195902AD0}" name="Column2027"/>
    <tableColumn id="2042" xr3:uid="{4E9660F9-7A6A-4C5C-AAAD-D89DB4F4DB4B}" name="Column2028"/>
    <tableColumn id="2043" xr3:uid="{ED9220AF-AFC6-4D84-866D-93D9F45134E1}" name="Column2029"/>
    <tableColumn id="2044" xr3:uid="{4C0046B2-B8FE-409B-A6A5-BFB6984A2894}" name="Column2030"/>
    <tableColumn id="2045" xr3:uid="{6EB913B2-C796-4E6E-8A59-DA074CA858D9}" name="Column2031"/>
    <tableColumn id="2046" xr3:uid="{22F14CCB-F259-45AB-9C2B-62AFE0EF4DBA}" name="Column2032"/>
    <tableColumn id="2047" xr3:uid="{4AB59097-13FE-48BC-9048-0D4F76E88CD2}" name="Column2033"/>
    <tableColumn id="2048" xr3:uid="{6502B481-BC79-4578-BF66-8A05C5DB6B47}" name="Column2034"/>
    <tableColumn id="2049" xr3:uid="{D4F4444F-9E0E-4E64-B20C-9C9F28306372}" name="Column2035"/>
    <tableColumn id="2050" xr3:uid="{8BA15057-4F60-4F87-905B-44360098D405}" name="Column2036"/>
    <tableColumn id="2051" xr3:uid="{A21158BD-F0C2-47C1-87E9-25E3626D5763}" name="Column2037"/>
    <tableColumn id="2052" xr3:uid="{DE21E741-F065-4362-B91E-1516A19D300F}" name="Column2038"/>
    <tableColumn id="2053" xr3:uid="{7C91B05B-A18D-4C16-9C04-63C3EBEC94DB}" name="Column2039"/>
    <tableColumn id="2054" xr3:uid="{5C1D265D-220D-4C73-AB0D-5D3DA6F478A8}" name="Column2040"/>
    <tableColumn id="2055" xr3:uid="{EA43E91C-5DA4-45E5-B43F-638BF5545CDB}" name="Column2041"/>
    <tableColumn id="2056" xr3:uid="{1942BEB4-A1DE-492E-B8EA-DB99CD050431}" name="Column2042"/>
    <tableColumn id="2057" xr3:uid="{69307864-5187-4AFA-8862-0503CE4B1BE7}" name="Column2043"/>
    <tableColumn id="2058" xr3:uid="{E3429BDC-3B52-42C9-B924-47B7C0752748}" name="Column2044"/>
    <tableColumn id="2059" xr3:uid="{DE2E3125-AA79-4FEC-A6E5-58A7A2455118}" name="Column2045"/>
    <tableColumn id="2060" xr3:uid="{E39D7332-1EC4-4D72-8302-BCD225A40E73}" name="Column2046"/>
    <tableColumn id="2061" xr3:uid="{1CA69A1B-AF0E-4765-B937-F139BFA9164B}" name="Column2047"/>
    <tableColumn id="2062" xr3:uid="{E988432F-D864-4BE7-BDA7-B7CE55D03E2A}" name="Column2048"/>
    <tableColumn id="2063" xr3:uid="{2F0C7166-0B00-4836-B604-06BE36407DCA}" name="Column2049"/>
    <tableColumn id="2064" xr3:uid="{43FD513A-68AD-4066-B897-C89CB6EBD6EF}" name="Column2050"/>
    <tableColumn id="2065" xr3:uid="{3A62B39B-4080-4C51-8DAB-9F6D341D3A1B}" name="Column2051"/>
    <tableColumn id="2066" xr3:uid="{C236286E-3F3A-4121-9237-D8DF7E9DDF16}" name="Column2052"/>
    <tableColumn id="2067" xr3:uid="{AC1635F2-8074-44A0-912D-4DBD4120A34F}" name="Column2053"/>
    <tableColumn id="2068" xr3:uid="{CF179995-BF02-473D-9731-4D8FBD52DA4A}" name="Column2054"/>
    <tableColumn id="2069" xr3:uid="{B135AC24-E69E-4A61-8276-508531EC6BAA}" name="Column2055"/>
    <tableColumn id="2070" xr3:uid="{9979EADF-C383-47A6-BDF0-35F0E31591D6}" name="Column2056"/>
    <tableColumn id="2071" xr3:uid="{FD7856BE-EA88-4AD3-A9D8-6B3636C16F65}" name="Column2057"/>
    <tableColumn id="2072" xr3:uid="{3033E292-2F70-4828-8986-2E7382577F36}" name="Column2058"/>
    <tableColumn id="2073" xr3:uid="{032E9B15-6405-464C-B09E-5245DBB7A9A9}" name="Column2059"/>
    <tableColumn id="2074" xr3:uid="{1AE40711-98EA-4261-9F57-B4AB7CD8C910}" name="Column2060"/>
    <tableColumn id="2075" xr3:uid="{35E6952E-EF52-449B-8C90-2EDA6FA108AB}" name="Column2061"/>
    <tableColumn id="2076" xr3:uid="{3ED56483-9E51-4C58-A356-CDE3CDF1A229}" name="Column2062"/>
    <tableColumn id="2077" xr3:uid="{E351E552-8410-488E-9291-1F01A6F0D2DE}" name="Column2063"/>
    <tableColumn id="2078" xr3:uid="{78AFF172-138F-4535-AF3F-037C75DD0345}" name="Column2064"/>
    <tableColumn id="2079" xr3:uid="{1FA3DBD0-5FE9-4521-9401-D53B40CC1586}" name="Column2065"/>
    <tableColumn id="2080" xr3:uid="{9AED4E03-0C72-49CF-B7D5-7EEB20799504}" name="Column2066"/>
    <tableColumn id="2081" xr3:uid="{1E630EB4-67C7-4D2C-BE29-C012A7369748}" name="Column2067"/>
    <tableColumn id="2082" xr3:uid="{048BF97A-35E5-4624-8D8D-820B46DFA42D}" name="Column2068"/>
    <tableColumn id="2083" xr3:uid="{2008CE8F-30F1-4005-B5BA-8E59242EFA82}" name="Column2069"/>
    <tableColumn id="2084" xr3:uid="{2B4226C6-FACE-4756-A0B9-66253B6BD552}" name="Column2070"/>
    <tableColumn id="2085" xr3:uid="{0831385D-93FE-4737-ADF9-AFAA40475EA9}" name="Column2071"/>
    <tableColumn id="2086" xr3:uid="{0E256F50-DD3A-43FD-BE46-8C0BF82D6539}" name="Column2072"/>
    <tableColumn id="2087" xr3:uid="{163E1990-DD11-45E4-B188-5A356B7DC2E9}" name="Column2073"/>
    <tableColumn id="2088" xr3:uid="{F5AEE09C-8769-4B09-B34E-87123D10D5A0}" name="Column2074"/>
    <tableColumn id="2089" xr3:uid="{6E7FDC95-A91E-4A3E-9F46-295540001830}" name="Column2075"/>
    <tableColumn id="2090" xr3:uid="{361F9970-69E9-4274-ADE3-CB2FD2C8E406}" name="Column2076"/>
    <tableColumn id="2091" xr3:uid="{38BC9EC9-8FCF-402F-BC1B-35ECC1EDFEC8}" name="Column2077"/>
    <tableColumn id="2092" xr3:uid="{3CA54F63-B971-48AA-8E26-58E48DF6D587}" name="Column2078"/>
    <tableColumn id="2093" xr3:uid="{E8F766F6-12C9-4A95-A3DE-42350236A43A}" name="Column2079"/>
    <tableColumn id="2094" xr3:uid="{E4B024B6-BFF1-4F2B-B776-03219E4C65A9}" name="Column2080"/>
    <tableColumn id="2095" xr3:uid="{CEE793EB-D17E-4739-A383-8701847425D0}" name="Column2081"/>
    <tableColumn id="2096" xr3:uid="{EF0C5B36-FAE0-4E7E-9FBB-69E9DD89F788}" name="Column2082"/>
    <tableColumn id="2097" xr3:uid="{74079DEE-5149-4311-980C-79E2E073424F}" name="Column2083"/>
    <tableColumn id="2098" xr3:uid="{4D729747-E3AF-4BDD-AAA1-ADAE9B2B3ACF}" name="Column2084"/>
    <tableColumn id="2099" xr3:uid="{11CC425C-FD9F-4583-97BA-2BD7F9F6FEF2}" name="Column2085"/>
    <tableColumn id="2100" xr3:uid="{E6D345AF-0852-4BAB-B2C3-CA4A47B1E443}" name="Column2086"/>
    <tableColumn id="2101" xr3:uid="{B2A5203C-13ED-414F-B699-67A9EBE5B031}" name="Column2087"/>
    <tableColumn id="2102" xr3:uid="{E000DAAA-3725-41AD-8C28-0E66C10C96D3}" name="Column2088"/>
    <tableColumn id="2103" xr3:uid="{853966E8-ED4A-4F26-8322-BE0C1A8D0B3F}" name="Column2089"/>
    <tableColumn id="2104" xr3:uid="{2F443770-07ED-4FF7-909B-F30656B03608}" name="Column2090"/>
    <tableColumn id="2105" xr3:uid="{325DDDE5-7927-4CA4-9EAB-D1D4F480C212}" name="Column2091"/>
    <tableColumn id="2106" xr3:uid="{29FAA698-A748-4052-B56E-D079ED9E0727}" name="Column2092"/>
    <tableColumn id="2107" xr3:uid="{B9E6DBD5-F911-4328-AF8E-791B226AE4DC}" name="Column2093"/>
    <tableColumn id="2108" xr3:uid="{61FB2433-EE7D-45A3-9AC1-69147639DF05}" name="Column2094"/>
    <tableColumn id="2109" xr3:uid="{A33C9F7C-9A33-42BD-840B-2D54DC2BA083}" name="Column2095"/>
    <tableColumn id="2110" xr3:uid="{7B910AB9-C347-4C06-9727-5BC5E7CD0B88}" name="Column2096"/>
    <tableColumn id="2111" xr3:uid="{DCAA791C-1A38-444E-A9C3-FAFBF928B2CD}" name="Column2097"/>
    <tableColumn id="2112" xr3:uid="{88A7318E-7D62-436A-97D3-D3991BD270BA}" name="Column2098"/>
    <tableColumn id="2113" xr3:uid="{99659B52-28D0-4EC4-9B19-36984FFDF819}" name="Column2099"/>
    <tableColumn id="2114" xr3:uid="{7A931A95-8EE4-4294-9997-CAF90B5F50A7}" name="Column2100"/>
    <tableColumn id="2115" xr3:uid="{E9C0CEAB-1B4D-4D98-B381-A9554B07B49A}" name="Column2101"/>
    <tableColumn id="2116" xr3:uid="{028DE515-1936-4C0A-8422-C53D0D42D10B}" name="Column2102"/>
    <tableColumn id="2117" xr3:uid="{70B3F4A2-DCF6-47AC-A000-853A6EBFE608}" name="Column2103"/>
    <tableColumn id="2118" xr3:uid="{1B5C6AE0-F9A8-449C-B90B-610743670404}" name="Column2104"/>
    <tableColumn id="2119" xr3:uid="{CC131AD9-F6EA-4005-892C-314741454BBC}" name="Column2105"/>
    <tableColumn id="2120" xr3:uid="{B82A0906-8AA9-41B8-BF24-F78A61E1718D}" name="Column2106"/>
    <tableColumn id="2121" xr3:uid="{FBC5928A-BF20-4976-ABCC-9842C56E7EE9}" name="Column2107"/>
    <tableColumn id="2122" xr3:uid="{4D9A1C44-97AE-48E7-906E-03771D7CA981}" name="Column2108"/>
    <tableColumn id="2123" xr3:uid="{241984A5-DF43-4658-B2A2-AFE6CBC153F8}" name="Column2109"/>
    <tableColumn id="2124" xr3:uid="{010C0C17-ADF6-41CA-90F0-E2354C925008}" name="Column2110"/>
    <tableColumn id="2125" xr3:uid="{64F0330E-8A26-4CDB-8BDF-425CB9C55821}" name="Column2111"/>
    <tableColumn id="2126" xr3:uid="{C6653B16-C9CF-4944-8461-949AFE825CD9}" name="Column2112"/>
    <tableColumn id="2127" xr3:uid="{72E5CAA4-BB24-4097-918B-131FB4D47024}" name="Column2113"/>
    <tableColumn id="2128" xr3:uid="{DF54D72F-50C1-4853-8F6F-D6B3194CE229}" name="Column2114"/>
    <tableColumn id="2129" xr3:uid="{CAEABA3B-CA4F-463E-8E63-99B44A32583E}" name="Column2115"/>
    <tableColumn id="2130" xr3:uid="{8C8317B1-167A-47E7-A690-EEBE58168ECB}" name="Column2116"/>
    <tableColumn id="2131" xr3:uid="{CBDF8BCF-6565-4C21-965E-B7CBD89B3CD3}" name="Column2117"/>
    <tableColumn id="2132" xr3:uid="{17711EA1-98CD-4A42-9E08-ECF37049C1D6}" name="Column2118"/>
    <tableColumn id="2133" xr3:uid="{7F3F36A4-44D3-434F-8C7E-DF1AF26E2B67}" name="Column2119"/>
    <tableColumn id="2134" xr3:uid="{116A33DC-7192-4CE2-ABE2-ECC4B011A168}" name="Column2120"/>
    <tableColumn id="2135" xr3:uid="{3EE118BB-6F97-4999-8699-EA4BAFAA2156}" name="Column2121"/>
    <tableColumn id="2136" xr3:uid="{7B4D90F3-E258-47F1-ACF9-A0C302ED44E1}" name="Column2122"/>
    <tableColumn id="2137" xr3:uid="{9996C37E-964E-4340-80B4-59693B8A5220}" name="Column2123"/>
    <tableColumn id="2138" xr3:uid="{1CABBE0A-7F3C-4774-B835-2DC39F59EDF1}" name="Column2124"/>
    <tableColumn id="2139" xr3:uid="{83F5BB7B-241C-4879-93A8-62DF8634788C}" name="Column2125"/>
    <tableColumn id="2140" xr3:uid="{69BEBCC4-033C-4058-860D-656AC202C37E}" name="Column2126"/>
    <tableColumn id="2141" xr3:uid="{A0ADF879-4B94-4512-BEA8-EBE1A093C9DA}" name="Column2127"/>
    <tableColumn id="2142" xr3:uid="{61794DFA-E86F-45F2-ACFF-68EF3063EF9A}" name="Column2128"/>
    <tableColumn id="2143" xr3:uid="{67C2238B-468F-423C-8354-DC14DE7CA9FF}" name="Column2129"/>
    <tableColumn id="2144" xr3:uid="{57B91FE1-6FC4-4D5D-98B8-F6E665DA06B6}" name="Column2130"/>
    <tableColumn id="2145" xr3:uid="{B7604046-864B-41B2-98D5-30B9037E46F4}" name="Column2131"/>
    <tableColumn id="2146" xr3:uid="{C8D7AB46-E66B-48CE-87A0-BD6AD32A0576}" name="Column2132"/>
    <tableColumn id="2147" xr3:uid="{945B8E75-3B37-4C84-A0E6-E8E45B7EC6CA}" name="Column2133"/>
    <tableColumn id="2148" xr3:uid="{FCD74C61-A7DF-40C0-8446-9D5DC70F9AD7}" name="Column2134"/>
    <tableColumn id="2149" xr3:uid="{4D1DC16F-E1C6-42EC-89A2-4F660CA376AA}" name="Column2135"/>
    <tableColumn id="2150" xr3:uid="{8820F162-8978-4141-BCDB-1A0F731088CD}" name="Column2136"/>
    <tableColumn id="2151" xr3:uid="{7DF5B8AC-C70E-4393-8336-E2E3E7971629}" name="Column2137"/>
    <tableColumn id="2152" xr3:uid="{A8967F89-936B-4AA2-B453-72A5920240A7}" name="Column2138"/>
    <tableColumn id="2153" xr3:uid="{A18B1119-2CCD-4850-A885-23E34DFC945C}" name="Column2139"/>
    <tableColumn id="2154" xr3:uid="{9F510975-5403-4321-B968-5ED60DBF19A4}" name="Column2140"/>
    <tableColumn id="2155" xr3:uid="{FE926DDC-7DCA-4F86-BEB3-7A45152AD1E9}" name="Column2141"/>
    <tableColumn id="2156" xr3:uid="{75F970AF-DECC-49F3-B361-5B91E537773A}" name="Column2142"/>
    <tableColumn id="2157" xr3:uid="{53B3A660-A187-4AD0-8B94-09B08D5975F4}" name="Column2143"/>
    <tableColumn id="2158" xr3:uid="{44F60E20-5BA1-4466-B492-FBA582554DC5}" name="Column2144"/>
    <tableColumn id="2159" xr3:uid="{10215808-8891-4AF1-BD17-B4F5DB339C57}" name="Column2145"/>
    <tableColumn id="2160" xr3:uid="{3C5218A7-2191-4E20-B95E-6F79E19E6A24}" name="Column2146"/>
    <tableColumn id="2161" xr3:uid="{E8AE885D-DFA2-4C93-A95A-AD30664D639B}" name="Column2147"/>
    <tableColumn id="2162" xr3:uid="{7C13CC5A-B92F-4389-AFF5-3B0CE131F479}" name="Column2148"/>
    <tableColumn id="2163" xr3:uid="{D009CC29-8B97-4D4A-AC16-560F09307F61}" name="Column2149"/>
    <tableColumn id="2164" xr3:uid="{388FAA46-D39A-4BD3-A4DE-901705D58352}" name="Column2150"/>
    <tableColumn id="2165" xr3:uid="{FC2E7036-8331-4F22-8A14-3BB07F30157D}" name="Column2151"/>
    <tableColumn id="2166" xr3:uid="{D73A4685-02C8-4B4B-AC57-82BAB37B3A3B}" name="Column2152"/>
    <tableColumn id="2167" xr3:uid="{8FF2E763-2EA3-4280-9559-9F23A6904CF5}" name="Column2153"/>
    <tableColumn id="2168" xr3:uid="{47F6618E-AC81-475C-9703-EE50A4D789E2}" name="Column2154"/>
    <tableColumn id="2169" xr3:uid="{9C515BB4-5E8A-42FD-840B-DD0BA49FF38C}" name="Column2155"/>
    <tableColumn id="2170" xr3:uid="{BD9D88D8-A059-4ED4-AECA-3F8C2FB8B5B9}" name="Column2156"/>
    <tableColumn id="2171" xr3:uid="{3120AC50-A73D-4CA5-B242-944EC8ABA38F}" name="Column2157"/>
    <tableColumn id="2172" xr3:uid="{808C0DAF-B6A5-49B2-A656-A044B3FDE965}" name="Column2158"/>
    <tableColumn id="2173" xr3:uid="{591F277C-EDD2-4C1E-A182-BDC1C04E5346}" name="Column2159"/>
    <tableColumn id="2174" xr3:uid="{9822CB37-1D96-463B-AEF6-1C85B33ED00F}" name="Column2160"/>
    <tableColumn id="2175" xr3:uid="{F6DFAD63-1C1D-4D77-AFA1-D6167530DA2D}" name="Column2161"/>
    <tableColumn id="2176" xr3:uid="{9E6FC481-ECA6-494F-988B-13B92132D977}" name="Column2162"/>
    <tableColumn id="2177" xr3:uid="{C6222FA6-F65E-4439-AE51-95B371FFEA25}" name="Column2163"/>
    <tableColumn id="2178" xr3:uid="{5803E6AA-B944-4561-B87A-454A47E8E55A}" name="Column2164"/>
    <tableColumn id="2179" xr3:uid="{660A535A-B6D2-4E79-9B55-868754BEA378}" name="Column2165"/>
    <tableColumn id="2180" xr3:uid="{47EBB3E5-33E2-43B9-A913-A1CC3F1DBB3D}" name="Column2166"/>
    <tableColumn id="2181" xr3:uid="{36B17DD1-74F2-4C11-BF15-0BBD50BB698C}" name="Column2167"/>
    <tableColumn id="2182" xr3:uid="{05F98F2F-574C-4FBC-9162-72AAB2339A1F}" name="Column2168"/>
    <tableColumn id="2183" xr3:uid="{B93FCDED-A975-4012-BE4D-EDA7236C3626}" name="Column2169"/>
    <tableColumn id="2184" xr3:uid="{C03BE997-A586-466F-A288-D5E8415DA919}" name="Column2170"/>
    <tableColumn id="2185" xr3:uid="{00BF2CA3-1DE8-42BF-8522-F38998A7AC4E}" name="Column2171"/>
    <tableColumn id="2186" xr3:uid="{D2C3AA1D-3C67-4F04-9A77-7EA4E2F334BC}" name="Column2172"/>
    <tableColumn id="2187" xr3:uid="{64CF26FB-D1BD-4AA3-A36F-F48F89341CFC}" name="Column2173"/>
    <tableColumn id="2188" xr3:uid="{C58853EA-3FB9-44DC-B654-554FF2F4F49C}" name="Column2174"/>
    <tableColumn id="2189" xr3:uid="{831E34CA-380E-4D6A-8BDC-2B74090BCE90}" name="Column2175"/>
    <tableColumn id="2190" xr3:uid="{3D0E2B92-C3F3-412B-AA52-011B491566F2}" name="Column2176"/>
    <tableColumn id="2191" xr3:uid="{93C018C1-D3EC-4E47-9C9B-B197789666AF}" name="Column2177"/>
    <tableColumn id="2192" xr3:uid="{00A3BE22-2E54-45AE-A2F2-32686B5C4D2A}" name="Column2178"/>
    <tableColumn id="2193" xr3:uid="{E9FA6F9D-7385-4F6E-8D7E-B11C5F793C84}" name="Column2179"/>
    <tableColumn id="2194" xr3:uid="{717D946D-2A0E-4FE7-9781-4D7097188850}" name="Column2180"/>
    <tableColumn id="2195" xr3:uid="{617E0CB6-673E-42A8-B865-7EE3FF95C2F3}" name="Column2181"/>
    <tableColumn id="2196" xr3:uid="{DD1BBB00-6502-4942-8366-173EA92BA627}" name="Column2182"/>
    <tableColumn id="2197" xr3:uid="{61245E04-9E34-4B31-91F4-EAC1A0327B42}" name="Column2183"/>
    <tableColumn id="2198" xr3:uid="{B9BEB8DD-E5C5-4F95-8049-45F7155D23E2}" name="Column2184"/>
    <tableColumn id="2199" xr3:uid="{CFD3381A-A833-4114-ABC5-90B77721EA6F}" name="Column2185"/>
    <tableColumn id="2200" xr3:uid="{7CE4AB51-2324-4668-9FAB-F3F7B450BDA5}" name="Column2186"/>
    <tableColumn id="2201" xr3:uid="{BCD8D87C-0F83-4B12-A8AC-D87662CE81AB}" name="Column2187"/>
    <tableColumn id="2202" xr3:uid="{2DB8BA47-12DC-43CA-AF6C-00F9D35C50C9}" name="Column2188"/>
    <tableColumn id="2203" xr3:uid="{BA346B27-EEC9-42C1-9420-F61B58F2B156}" name="Column2189"/>
    <tableColumn id="2204" xr3:uid="{2EA5DB4D-E7E5-4DCF-A5D4-FDAC2CD4D566}" name="Column2190"/>
    <tableColumn id="2205" xr3:uid="{0D68524F-5FD2-46D6-80E2-41F49BC95CAD}" name="Column2191"/>
    <tableColumn id="2206" xr3:uid="{3D9F3389-41B1-4292-96E9-F95D25C37760}" name="Column2192"/>
    <tableColumn id="2207" xr3:uid="{C51C770E-B033-4A89-9179-7514DDDD3C8B}" name="Column2193"/>
    <tableColumn id="2208" xr3:uid="{9BE49481-D425-41B3-8F61-D791E6DEE24A}" name="Column2194"/>
    <tableColumn id="2209" xr3:uid="{CE3847EA-68CD-4519-9147-B982C458653E}" name="Column2195"/>
    <tableColumn id="2210" xr3:uid="{C0C96213-9FCF-4773-8FA6-0415FE2A667F}" name="Column2196"/>
    <tableColumn id="2211" xr3:uid="{D9B85EB7-2281-44C1-9368-EDF020F039CB}" name="Column2197"/>
    <tableColumn id="2212" xr3:uid="{0EE08BCD-3F42-4ED1-A911-409EE3F75002}" name="Column2198"/>
    <tableColumn id="2213" xr3:uid="{ADFFD43F-06F0-4202-929A-A937A183552E}" name="Column2199"/>
    <tableColumn id="2214" xr3:uid="{CE3EA69B-AEE4-411F-905E-0A15A8E03432}" name="Column2200"/>
    <tableColumn id="2215" xr3:uid="{0496F1DF-3F20-4E3D-8016-3B44CB972B02}" name="Column2201"/>
    <tableColumn id="2216" xr3:uid="{03316B10-488F-4AF6-ABAA-02A8EBF6D711}" name="Column2202"/>
    <tableColumn id="2217" xr3:uid="{2C23C663-C929-4F0C-BEE8-89B308F80B93}" name="Column2203"/>
    <tableColumn id="2218" xr3:uid="{6C83313A-EF31-40FA-8B16-D82361588B5C}" name="Column2204"/>
    <tableColumn id="2219" xr3:uid="{491C82C7-6618-4B72-8ABF-0922D7006B47}" name="Column2205"/>
    <tableColumn id="2220" xr3:uid="{510C5B02-8EE8-4406-A179-796AF99074F7}" name="Column2206"/>
    <tableColumn id="2221" xr3:uid="{72316013-DAED-4A19-B638-A6C2ADC438D5}" name="Column2207"/>
    <tableColumn id="2222" xr3:uid="{EE23FCF4-273B-41C2-9C40-C20F6150B13C}" name="Column2208"/>
    <tableColumn id="2223" xr3:uid="{8265148F-A240-4CB8-BBF4-401F034249B0}" name="Column2209"/>
    <tableColumn id="2224" xr3:uid="{4B36A683-5A4B-491A-91EF-428B300599E5}" name="Column2210"/>
    <tableColumn id="2225" xr3:uid="{ABFF3FC1-0A64-4F30-91FA-4F308732D32B}" name="Column2211"/>
    <tableColumn id="2226" xr3:uid="{75974C20-4016-4D9E-9960-5EE8EF082A87}" name="Column2212"/>
    <tableColumn id="2227" xr3:uid="{5AB8F007-7B7A-43ED-AC93-98DB6470805F}" name="Column2213"/>
    <tableColumn id="2228" xr3:uid="{6C034AFA-C9CC-4ACF-AC9C-EAC5969D71C0}" name="Column2214"/>
    <tableColumn id="2229" xr3:uid="{1A801015-A979-411E-9986-77D576C8D0AC}" name="Column2215"/>
    <tableColumn id="2230" xr3:uid="{0376C9F7-D2C0-452F-846B-8930B218A66D}" name="Column2216"/>
    <tableColumn id="2231" xr3:uid="{2B3EE1A4-93D2-43F3-BD1A-4A1C66874791}" name="Column2217"/>
    <tableColumn id="2232" xr3:uid="{B8F087FC-814B-485A-BCF3-A461A93FE358}" name="Column2218"/>
    <tableColumn id="2233" xr3:uid="{32D428C8-75BC-468A-B1C3-A45D5B0B5042}" name="Column2219"/>
    <tableColumn id="2234" xr3:uid="{79AD984D-C2A3-491F-8910-4D34E65704C4}" name="Column2220"/>
    <tableColumn id="2235" xr3:uid="{2A498FD4-6D58-4FBD-B5A1-CCA8E21102DD}" name="Column2221"/>
    <tableColumn id="2236" xr3:uid="{52C37E46-D253-4A0B-9CDE-C96ADB290FA2}" name="Column2222"/>
    <tableColumn id="2237" xr3:uid="{821C8879-60BE-4FF8-871E-45F17053C9C9}" name="Column2223"/>
    <tableColumn id="2238" xr3:uid="{C361A403-A0FF-4B18-8A64-C80922F49ECD}" name="Column2224"/>
    <tableColumn id="2239" xr3:uid="{6B7F9416-5925-444B-89FA-554F07DCB36F}" name="Column2225"/>
    <tableColumn id="2240" xr3:uid="{145BA816-5966-44D5-BD89-9C56DED69C70}" name="Column2226"/>
    <tableColumn id="2241" xr3:uid="{BD228524-72AB-4741-A404-C3B09FF471E8}" name="Column2227"/>
    <tableColumn id="2242" xr3:uid="{002F5848-F051-49E7-8440-232A2145BA92}" name="Column2228"/>
    <tableColumn id="2243" xr3:uid="{92BDAFCB-3007-4F77-9BE5-187BDE15018F}" name="Column2229"/>
    <tableColumn id="2244" xr3:uid="{C0B4BE46-001D-4851-ACFA-CAECCC6BE353}" name="Column2230"/>
    <tableColumn id="2245" xr3:uid="{D3EBDFC1-07A6-49A4-9668-6F5402EA9ED6}" name="Column2231"/>
    <tableColumn id="2246" xr3:uid="{937D8294-ECB3-4A4B-B7E0-D80C548AD3C7}" name="Column2232"/>
    <tableColumn id="2247" xr3:uid="{A6188C97-58AE-48C2-9DE5-14D73B0C6AE6}" name="Column2233"/>
    <tableColumn id="2248" xr3:uid="{681A3516-AD15-4473-8774-4D87BE849A0D}" name="Column2234"/>
    <tableColumn id="2249" xr3:uid="{7F12E948-6128-4B7B-ADFD-971D788A2E62}" name="Column2235"/>
    <tableColumn id="2250" xr3:uid="{BF26F23E-D366-485A-B0CB-C829A9B5B776}" name="Column2236"/>
    <tableColumn id="2251" xr3:uid="{DE10A72D-5950-4E08-A916-EB43EDE2C529}" name="Column2237"/>
    <tableColumn id="2252" xr3:uid="{CF0AA0FF-41F1-4D10-B3AB-8CF5DF85F1D6}" name="Column2238"/>
    <tableColumn id="2253" xr3:uid="{D67FBDE9-D2A7-417B-A377-D40A8DE1F3C1}" name="Column2239"/>
    <tableColumn id="2254" xr3:uid="{56ECE52F-761A-4F65-BA4A-8D6C3CDB9CF9}" name="Column2240"/>
    <tableColumn id="2255" xr3:uid="{020BAC6C-B4B2-48A7-8316-ADD1D1878EE4}" name="Column2241"/>
    <tableColumn id="2256" xr3:uid="{AC5CBFBB-D566-4FCF-AEFE-E2995013546A}" name="Column2242"/>
    <tableColumn id="2257" xr3:uid="{D61D0F2E-7735-409D-9A9B-804B140E72EA}" name="Column2243"/>
    <tableColumn id="2258" xr3:uid="{1E6ACAD6-3D9D-489D-B371-FE94054880EA}" name="Column2244"/>
    <tableColumn id="2259" xr3:uid="{46AD6542-D706-4CAE-9539-152CA1D9E38A}" name="Column2245"/>
    <tableColumn id="2260" xr3:uid="{4C02B1DF-8828-46FE-AFF8-662B0B1270A1}" name="Column2246"/>
    <tableColumn id="2261" xr3:uid="{B7BC66F2-9A64-4444-813F-4CCC8121E81A}" name="Column2247"/>
    <tableColumn id="2262" xr3:uid="{95464BDA-A4C7-4B8F-BFAB-14256645D05F}" name="Column2248"/>
    <tableColumn id="2263" xr3:uid="{B897DE3B-2B40-4FBC-A4C7-8E372828E4C6}" name="Column2249"/>
    <tableColumn id="2264" xr3:uid="{EC4FA6CD-3C1F-443B-AB43-862DD36AD8CE}" name="Column2250"/>
    <tableColumn id="2265" xr3:uid="{25992992-7D15-4766-95DF-0E82F609043F}" name="Column2251"/>
    <tableColumn id="2266" xr3:uid="{0C48992A-BE05-4121-BB9E-753FA8D46CF4}" name="Column2252"/>
    <tableColumn id="2267" xr3:uid="{8B356DEB-B6D3-458D-8B16-FC69895A267A}" name="Column2253"/>
    <tableColumn id="2268" xr3:uid="{6C0B0EE7-FE59-43D3-B272-B191BD2713D8}" name="Column2254"/>
    <tableColumn id="2269" xr3:uid="{4F2E9CCC-FA65-424D-A463-E0EEA0186DFA}" name="Column2255"/>
    <tableColumn id="2270" xr3:uid="{0A9A371E-56F8-44C9-B1F0-558CC7608A95}" name="Column2256"/>
    <tableColumn id="2271" xr3:uid="{DA59A40A-ADDA-46FE-843C-C5BED9DCC4A9}" name="Column2257"/>
    <tableColumn id="2272" xr3:uid="{086A3FCA-3FDA-4B42-8533-F521EA6324BE}" name="Column2258"/>
    <tableColumn id="2273" xr3:uid="{EF844177-030B-4D9D-AF71-164B97911B86}" name="Column2259"/>
    <tableColumn id="2274" xr3:uid="{E568000E-287D-4189-83C3-71F7D6CC5F1A}" name="Column2260"/>
    <tableColumn id="2275" xr3:uid="{1274EA7A-D5E9-4FDA-ACBA-C94599E07790}" name="Column2261"/>
    <tableColumn id="2276" xr3:uid="{48B62AB7-10D0-41A7-AF83-1CFDB94D43E2}" name="Column2262"/>
    <tableColumn id="2277" xr3:uid="{CADB9ED5-F6CB-4277-948E-C33ECD409729}" name="Column2263"/>
    <tableColumn id="2278" xr3:uid="{6C9F2DAF-C1A4-4721-BA80-45E2C5C165B4}" name="Column2264"/>
    <tableColumn id="2279" xr3:uid="{0AD42C77-7B19-4D2A-8787-F72804244CFA}" name="Column2265"/>
    <tableColumn id="2280" xr3:uid="{82E784DF-195C-4603-B053-0F962B0F9004}" name="Column2266"/>
    <tableColumn id="2281" xr3:uid="{B40ACF25-7E03-4004-8AB9-93F4693D88B4}" name="Column2267"/>
    <tableColumn id="2282" xr3:uid="{45792264-3C8A-4A37-8737-89A0EB74D313}" name="Column2268"/>
    <tableColumn id="2283" xr3:uid="{7B121FD0-8BE3-4ACB-B048-B1D20D059ABA}" name="Column2269"/>
    <tableColumn id="2284" xr3:uid="{904354DF-E1D9-4555-B644-4303990A832F}" name="Column2270"/>
    <tableColumn id="2285" xr3:uid="{5A556434-7C86-41B6-9B40-9932BAA79E02}" name="Column2271"/>
    <tableColumn id="2286" xr3:uid="{53841C81-0CF2-42C0-91A3-01572839B7FB}" name="Column2272"/>
    <tableColumn id="2287" xr3:uid="{176BFD62-BF6E-4E13-A14F-8E961036AE4E}" name="Column2273"/>
    <tableColumn id="2288" xr3:uid="{7874CFA7-471A-4D48-914A-6C152881A238}" name="Column2274"/>
    <tableColumn id="2289" xr3:uid="{3A723904-3D89-41C9-9E18-40E5299B0F78}" name="Column2275"/>
    <tableColumn id="2290" xr3:uid="{BC8D7FAE-4036-4463-9591-5648D7883B35}" name="Column2276"/>
    <tableColumn id="2291" xr3:uid="{6933745D-B5DE-4764-BD40-7CC6FAC6F17F}" name="Column2277"/>
    <tableColumn id="2292" xr3:uid="{0DEBFD2E-427B-4D60-AF28-CD91C2594C25}" name="Column2278"/>
    <tableColumn id="2293" xr3:uid="{6EF03BE0-6B60-4899-8A65-D16F4DBBF2B4}" name="Column2279"/>
    <tableColumn id="2294" xr3:uid="{AB36950C-AFA1-4B9B-8920-3DD1C9B07B5A}" name="Column2280"/>
    <tableColumn id="2295" xr3:uid="{4D1DB99A-60CA-40FC-AC1E-D2FC401C9D61}" name="Column2281"/>
    <tableColumn id="2296" xr3:uid="{1D9E1BF3-6C2F-4876-8DCC-71302C1DA6DF}" name="Column2282"/>
    <tableColumn id="2297" xr3:uid="{AAC6257B-685C-45FD-B340-5B45A046E735}" name="Column2283"/>
    <tableColumn id="2298" xr3:uid="{16CC60DC-20C1-4054-801E-88B74086F100}" name="Column2284"/>
    <tableColumn id="2299" xr3:uid="{86DFA83C-3A3A-44D6-B0FB-EA94822A6A43}" name="Column2285"/>
    <tableColumn id="2300" xr3:uid="{53B610F7-9763-4139-B71F-0063EB303418}" name="Column2286"/>
    <tableColumn id="2301" xr3:uid="{FBBB7D46-4A14-445E-8378-05568B3C194B}" name="Column2287"/>
    <tableColumn id="2302" xr3:uid="{D4DB6D66-4F79-41EB-99D1-B3E56996F658}" name="Column2288"/>
    <tableColumn id="2303" xr3:uid="{6D65F690-A457-403C-A892-E09010C225B9}" name="Column2289"/>
    <tableColumn id="2304" xr3:uid="{B889C576-0F9E-45EB-B60E-F6EBFD6B415E}" name="Column2290"/>
    <tableColumn id="2305" xr3:uid="{8F79341A-DFB1-4B58-AAF3-84C5400D2F44}" name="Column2291"/>
    <tableColumn id="2306" xr3:uid="{9DB5B984-E163-47A3-B90C-83AA0299570C}" name="Column2292"/>
    <tableColumn id="2307" xr3:uid="{D2143A8A-D826-4B6A-B704-36F2BBAEB365}" name="Column2293"/>
    <tableColumn id="2308" xr3:uid="{9195C7D2-A811-4060-B830-E6C6B3149C52}" name="Column2294"/>
    <tableColumn id="2309" xr3:uid="{B60220E4-8582-45FC-BADC-C1E1390E3CD9}" name="Column2295"/>
    <tableColumn id="2310" xr3:uid="{5C621E29-1459-4DEB-A88A-426399FB4832}" name="Column2296"/>
    <tableColumn id="2311" xr3:uid="{52CBBDDA-2FF8-499A-A730-248C848E8BF0}" name="Column2297"/>
    <tableColumn id="2312" xr3:uid="{3B43DE5D-51B9-43D2-AC86-2EEDB9D8E003}" name="Column2298"/>
    <tableColumn id="2313" xr3:uid="{64CED5CD-4357-4FBE-90E1-ED5F54548779}" name="Column2299"/>
    <tableColumn id="2314" xr3:uid="{5E26E240-C61F-441B-8E97-536192F1D6C3}" name="Column2300"/>
    <tableColumn id="2315" xr3:uid="{494A611E-CE7F-4849-AAAB-64E5F312E8E0}" name="Column2301"/>
    <tableColumn id="2316" xr3:uid="{2ED8FBD3-9A0F-4E05-80D7-C83D38816801}" name="Column2302"/>
    <tableColumn id="2317" xr3:uid="{46426488-B69E-43A3-9D7D-022E2DE8FDF2}" name="Column2303"/>
    <tableColumn id="2318" xr3:uid="{B06F99D0-FDC9-48FC-9D2D-3DF587A6EB39}" name="Column2304"/>
    <tableColumn id="2319" xr3:uid="{680D1F45-8474-4DAB-AF71-9A059D580B06}" name="Column2305"/>
    <tableColumn id="2320" xr3:uid="{5736C809-CAA9-4E13-A1DD-27F83AF3E158}" name="Column2306"/>
    <tableColumn id="2321" xr3:uid="{469AFE26-9CC0-4012-9BE3-AADB5B3619AF}" name="Column2307"/>
    <tableColumn id="2322" xr3:uid="{391F7A1C-F935-4FD5-A79B-AA6B987A9AC3}" name="Column2308"/>
    <tableColumn id="2323" xr3:uid="{13CA7800-244A-4DFD-9930-9ECD7595B11A}" name="Column2309"/>
    <tableColumn id="2324" xr3:uid="{88D38B08-7249-44EE-9F6F-9C7D88B23BA8}" name="Column2310"/>
    <tableColumn id="2325" xr3:uid="{E999D602-F96F-4BCF-A0C1-4FB7B7C5FE62}" name="Column2311"/>
    <tableColumn id="2326" xr3:uid="{B9E83371-76F5-48A3-ACC2-92E4DA208528}" name="Column2312"/>
    <tableColumn id="2327" xr3:uid="{D5FD91DF-9FFC-4DE2-B6AC-D275EEE7C0CC}" name="Column2313"/>
    <tableColumn id="2328" xr3:uid="{14882919-DE97-40FA-89BD-D55CDC758F2B}" name="Column2314"/>
    <tableColumn id="2329" xr3:uid="{B07E3974-A656-4A12-960B-2DBE68E718DC}" name="Column2315"/>
    <tableColumn id="2330" xr3:uid="{44942D5A-7FA2-4B99-B083-102310842D39}" name="Column2316"/>
    <tableColumn id="2331" xr3:uid="{64E0364B-8073-40AB-8CCC-CC6482124F11}" name="Column2317"/>
    <tableColumn id="2332" xr3:uid="{3132FD5D-46C1-4ACE-8E29-836CEE714DB0}" name="Column2318"/>
    <tableColumn id="2333" xr3:uid="{341CAEC5-F598-4385-91D9-B96BBA51E332}" name="Column2319"/>
    <tableColumn id="2334" xr3:uid="{14D5F208-DC6C-44E7-8E30-07B8E8F843C8}" name="Column2320"/>
    <tableColumn id="2335" xr3:uid="{4881B273-4D8D-45EE-8C71-69C350DC4169}" name="Column2321"/>
    <tableColumn id="2336" xr3:uid="{DE221B7B-C375-4EC6-AC8B-0C364C9A29D2}" name="Column2322"/>
    <tableColumn id="2337" xr3:uid="{1CFBC965-FF7C-4E78-A28C-87FFBA1BFF24}" name="Column2323"/>
    <tableColumn id="2338" xr3:uid="{BAA9A11D-4ADE-4E46-ADE9-9FF1F3852581}" name="Column2324"/>
    <tableColumn id="2339" xr3:uid="{E262A36D-E8F0-4397-86A0-0A5635ED0F84}" name="Column2325"/>
    <tableColumn id="2340" xr3:uid="{34B890AE-04F0-4572-9BBF-AA1BF498EEDA}" name="Column2326"/>
    <tableColumn id="2341" xr3:uid="{8ED56423-EB41-45B4-82A7-888764B4D775}" name="Column2327"/>
    <tableColumn id="2342" xr3:uid="{76BE86D3-A48E-4708-84B1-AF9537937E91}" name="Column2328"/>
    <tableColumn id="2343" xr3:uid="{640358C0-A7D8-4EAA-BB3C-91F322A60140}" name="Column2329"/>
    <tableColumn id="2344" xr3:uid="{CC210945-065C-42A9-A742-67EF7D51A8D4}" name="Column2330"/>
    <tableColumn id="2345" xr3:uid="{1892DD08-97C4-4C02-9EDA-C1A5675B87B8}" name="Column2331"/>
    <tableColumn id="2346" xr3:uid="{1D9DD915-30B5-435C-BB42-23EFD7157064}" name="Column2332"/>
    <tableColumn id="2347" xr3:uid="{450DD3C5-B029-4E4E-9F1B-F04610138884}" name="Column2333"/>
    <tableColumn id="2348" xr3:uid="{2C852E7A-FD61-43B4-9888-9DA8EAD79671}" name="Column2334"/>
    <tableColumn id="2349" xr3:uid="{A6E0A886-6148-4382-9692-25E80B85A720}" name="Column2335"/>
    <tableColumn id="2350" xr3:uid="{7CCDECDA-E78E-407E-9C0D-656200B7F30B}" name="Column2336"/>
    <tableColumn id="2351" xr3:uid="{D7B654EF-DD72-4A93-A257-14193773E80D}" name="Column2337"/>
    <tableColumn id="2352" xr3:uid="{A923560E-715B-4AC3-816B-948E5A57D2B8}" name="Column2338"/>
    <tableColumn id="2353" xr3:uid="{5E94BA6F-6A48-427C-AD13-2A2F54818EFE}" name="Column2339"/>
    <tableColumn id="2354" xr3:uid="{B4C62180-B807-4BD9-9481-0224AD2E3097}" name="Column2340"/>
    <tableColumn id="2355" xr3:uid="{C56205B4-87CA-4EEC-8AEF-23FE83F7FA30}" name="Column2341"/>
    <tableColumn id="2356" xr3:uid="{33E41E4A-DBF9-467A-A491-5B4D769BD2CD}" name="Column2342"/>
    <tableColumn id="2357" xr3:uid="{A9406F1F-4BF7-4160-8EFE-DE7106456721}" name="Column2343"/>
    <tableColumn id="2358" xr3:uid="{7E9BD8DC-A4F9-45D8-BF25-FB50EA822942}" name="Column2344"/>
    <tableColumn id="2359" xr3:uid="{6FBCFA4D-BBC1-4FA8-AD42-0804F68DC85B}" name="Column2345"/>
    <tableColumn id="2360" xr3:uid="{E95680D8-6884-4837-AFCD-618FC5F27658}" name="Column2346"/>
    <tableColumn id="2361" xr3:uid="{185E8A58-6478-49AC-BE81-1266EE282DBA}" name="Column2347"/>
    <tableColumn id="2362" xr3:uid="{363B5C69-F7A1-4684-9813-00F273E63294}" name="Column2348"/>
    <tableColumn id="2363" xr3:uid="{590913C2-CCBB-47BC-8212-2849644A1991}" name="Column2349"/>
    <tableColumn id="2364" xr3:uid="{DD9B7CDA-72AC-42E5-8982-E185B6676D87}" name="Column2350"/>
    <tableColumn id="2365" xr3:uid="{0345ED88-BE82-4B81-8557-3DE63CAB43AD}" name="Column2351"/>
    <tableColumn id="2366" xr3:uid="{745CAFF0-C5C1-4FC3-AC60-C99A7B658503}" name="Column2352"/>
    <tableColumn id="2367" xr3:uid="{14363212-B3EF-4BCF-9FC2-AAFAC0DBE0EC}" name="Column2353"/>
    <tableColumn id="2368" xr3:uid="{8A4E8EFC-D669-4559-91A8-E8160350C218}" name="Column2354"/>
    <tableColumn id="2369" xr3:uid="{6768D1FB-5BB1-4D0D-91BD-1009599B6937}" name="Column2355"/>
    <tableColumn id="2370" xr3:uid="{08338A62-AF29-4DEE-B6A5-28658657DE5D}" name="Column2356"/>
    <tableColumn id="2371" xr3:uid="{D135B624-A49F-4357-939E-1585ACDAE3F6}" name="Column2357"/>
    <tableColumn id="2372" xr3:uid="{DF3278B1-B2FE-44CE-92EB-E94012882460}" name="Column2358"/>
    <tableColumn id="2373" xr3:uid="{9707F365-96DA-4647-9524-158BDC1347C9}" name="Column2359"/>
    <tableColumn id="2374" xr3:uid="{7FBD27F2-F6AD-47C6-A27A-4E87DDA7C891}" name="Column2360"/>
    <tableColumn id="2375" xr3:uid="{18A73964-4D6A-44ED-BC18-7CB39C94C68C}" name="Column2361"/>
    <tableColumn id="2376" xr3:uid="{BE9304A4-CD8A-4C7B-B0B3-6709705E9707}" name="Column2362"/>
    <tableColumn id="2377" xr3:uid="{4ADFA5FD-05A2-4F21-9640-7F9A3916D761}" name="Column2363"/>
    <tableColumn id="2378" xr3:uid="{C3683231-8D04-47F9-B1FC-2DA349A23A78}" name="Column2364"/>
    <tableColumn id="2379" xr3:uid="{13EA523A-E9BB-49B5-B5FD-FDF161D53BA7}" name="Column2365"/>
    <tableColumn id="2380" xr3:uid="{D47EEE6D-E043-4A60-8796-E7776EB7BB31}" name="Column2366"/>
    <tableColumn id="2381" xr3:uid="{62DFDCB2-E697-4156-96F8-586CB612D61A}" name="Column2367"/>
    <tableColumn id="2382" xr3:uid="{A91B2D36-8564-42EA-871A-B471D680EEBC}" name="Column2368"/>
    <tableColumn id="2383" xr3:uid="{6A03C97F-12D2-4CB2-9C01-556E1D5FDD69}" name="Column2369"/>
    <tableColumn id="2384" xr3:uid="{F83D4EE9-908B-4DD4-94A1-DCB96F75C161}" name="Column2370"/>
    <tableColumn id="2385" xr3:uid="{09C4A544-E6DC-4056-9E12-81B06C065A62}" name="Column2371"/>
    <tableColumn id="2386" xr3:uid="{33CB7A67-5ED9-42D7-94DF-546A6A0B23CE}" name="Column2372"/>
    <tableColumn id="2387" xr3:uid="{5213F042-B57C-42FB-9560-F24D36E31B54}" name="Column2373"/>
    <tableColumn id="2388" xr3:uid="{DAAAA9E7-7AB5-494B-8D70-C6D3EFBDF195}" name="Column2374"/>
    <tableColumn id="2389" xr3:uid="{6FBF4367-744C-45A0-A6C1-12E6FE3AE0B6}" name="Column2375"/>
    <tableColumn id="2390" xr3:uid="{6DEC34F0-8C31-4567-BC24-3ECC841E776C}" name="Column2376"/>
    <tableColumn id="2391" xr3:uid="{1CCC1F31-0F46-461B-ABAE-681277EC6415}" name="Column2377"/>
    <tableColumn id="2392" xr3:uid="{6F305E37-C130-429D-B1F7-9D31C76D2E31}" name="Column2378"/>
    <tableColumn id="2393" xr3:uid="{31D45B7D-022F-422E-AA65-A39EFAB9021C}" name="Column2379"/>
    <tableColumn id="2394" xr3:uid="{6E61B6F1-27C5-4036-91C9-A4B45ADF93C1}" name="Column2380"/>
    <tableColumn id="2395" xr3:uid="{B83C1837-DCFF-4F66-99FC-84EB10C63D6F}" name="Column2381"/>
    <tableColumn id="2396" xr3:uid="{4DB21064-D419-4E3A-94C4-D072922AF54A}" name="Column2382"/>
    <tableColumn id="2397" xr3:uid="{1E237E9F-A3B4-49B8-9991-75E6B70B71F2}" name="Column2383"/>
    <tableColumn id="2398" xr3:uid="{27733939-2345-4CA2-A530-0E10E6259046}" name="Column2384"/>
    <tableColumn id="2399" xr3:uid="{8CD83E46-9844-49EF-88B9-41855D054F2A}" name="Column2385"/>
    <tableColumn id="2400" xr3:uid="{ACD4406C-FEFF-474C-8611-6517B94B1126}" name="Column2386"/>
    <tableColumn id="2401" xr3:uid="{D951F1B3-26AD-4851-A2A4-0920BCC06AAA}" name="Column2387"/>
    <tableColumn id="2402" xr3:uid="{EDD31EC5-9FDD-4F49-A00F-8111E2D1811D}" name="Column2388"/>
    <tableColumn id="2403" xr3:uid="{EBF8A9BE-E849-44DA-B18A-EEA6D1D71108}" name="Column2389"/>
    <tableColumn id="2404" xr3:uid="{CAEBE8F3-2857-47BF-AED9-E42A8F71D701}" name="Column2390"/>
    <tableColumn id="2405" xr3:uid="{4235F270-52CF-49B3-97F1-771CE760CB11}" name="Column2391"/>
    <tableColumn id="2406" xr3:uid="{13868C29-A403-41D0-8A51-EE0D44BC5F1A}" name="Column2392"/>
    <tableColumn id="2407" xr3:uid="{38B07E05-2C4C-4F5E-B9DB-5122146F3426}" name="Column2393"/>
    <tableColumn id="2408" xr3:uid="{2F6F3CB0-935F-45A0-A817-5D86918B09B4}" name="Column2394"/>
    <tableColumn id="2409" xr3:uid="{90DAA21B-C4F0-428E-BB5D-09A2D36D7C33}" name="Column2395"/>
    <tableColumn id="2410" xr3:uid="{4F0F718A-2FD5-47E4-8885-94A91F6C6985}" name="Column2396"/>
    <tableColumn id="2411" xr3:uid="{C2491A9D-A45C-4D5C-BE01-166B5EA553BA}" name="Column2397"/>
    <tableColumn id="2412" xr3:uid="{9D29442B-3EB3-471D-9F2D-866EED764E57}" name="Column2398"/>
    <tableColumn id="2413" xr3:uid="{1587304D-151F-4D57-B6A0-AED088EFAD45}" name="Column2399"/>
    <tableColumn id="2414" xr3:uid="{6C0E46D6-36D9-4EC6-B4A9-3E8DEF8E7764}" name="Column2400"/>
    <tableColumn id="2415" xr3:uid="{68DD9A58-3A58-45B6-9C4F-E13DD15A4145}" name="Column2401"/>
    <tableColumn id="2416" xr3:uid="{670E49BD-48D7-4756-AD81-6F70F9A358A9}" name="Column2402"/>
    <tableColumn id="2417" xr3:uid="{78497BD1-E802-49C5-BCCD-5512802FB2F7}" name="Column2403"/>
    <tableColumn id="2418" xr3:uid="{B9583D9A-75B8-493B-B158-B730AF01B186}" name="Column2404"/>
    <tableColumn id="2419" xr3:uid="{957EDA6E-2B93-42F0-AEC1-CF065B2167C7}" name="Column2405"/>
    <tableColumn id="2420" xr3:uid="{E77E30F4-2431-4292-A93E-B574CA750C66}" name="Column2406"/>
    <tableColumn id="2421" xr3:uid="{21034026-7295-4A49-BEB1-319F99183D44}" name="Column2407"/>
    <tableColumn id="2422" xr3:uid="{8E4832D6-DBB3-4C98-8FAF-58CFFE45619F}" name="Column2408"/>
    <tableColumn id="2423" xr3:uid="{9D0D630F-9383-4932-B0EE-C87E03B135EB}" name="Column2409"/>
    <tableColumn id="2424" xr3:uid="{C6D72093-D9CB-44FB-943C-AA95283CC0E4}" name="Column2410"/>
    <tableColumn id="2425" xr3:uid="{B5BA812E-77AD-4800-B974-145179B5177A}" name="Column2411"/>
    <tableColumn id="2426" xr3:uid="{37B1E818-2D5E-441D-90A8-0AC1C713F5FC}" name="Column2412"/>
    <tableColumn id="2427" xr3:uid="{AF6C3A0F-FF56-4B4A-8020-189496DE3D64}" name="Column2413"/>
    <tableColumn id="2428" xr3:uid="{B1A95BB9-3B69-422F-9D53-AB3610E4AA51}" name="Column2414"/>
    <tableColumn id="2429" xr3:uid="{7B16D696-8ECC-414E-84B2-E0E678A929E2}" name="Column2415"/>
    <tableColumn id="2430" xr3:uid="{7F3B1C14-F85E-4E56-8873-0957642D10CD}" name="Column2416"/>
    <tableColumn id="2431" xr3:uid="{67E3EBC6-0E6C-43BD-B6ED-55EEE7A0A7C5}" name="Column2417"/>
    <tableColumn id="2432" xr3:uid="{62E37D1B-7A64-4F1B-BCF2-BAB38029F31E}" name="Column2418"/>
    <tableColumn id="2433" xr3:uid="{330BAB99-FE9D-4DCA-BC82-93033EF3C848}" name="Column2419"/>
    <tableColumn id="2434" xr3:uid="{2ED949FB-118B-47E3-B0AE-1161B7BC5AEF}" name="Column2420"/>
    <tableColumn id="2435" xr3:uid="{08AE6A31-82A8-449D-9C6E-FA2F3818582B}" name="Column2421"/>
    <tableColumn id="2436" xr3:uid="{332F2A79-6050-4E60-998A-F5169ED11E42}" name="Column2422"/>
    <tableColumn id="2437" xr3:uid="{6E1F2F35-0151-40DF-A173-5FE289AC3474}" name="Column2423"/>
    <tableColumn id="2438" xr3:uid="{168F086F-ACAD-4A83-B9DB-009BEDE62E4C}" name="Column2424"/>
    <tableColumn id="2439" xr3:uid="{4B58EDB9-A300-4C16-AF42-46E63E5FB989}" name="Column2425"/>
    <tableColumn id="2440" xr3:uid="{6F1E6247-A39D-4C8A-A149-A8CDB2517BBF}" name="Column2426"/>
    <tableColumn id="2441" xr3:uid="{FF33A399-9BAC-41BE-BEF5-DD186AC7193B}" name="Column2427"/>
    <tableColumn id="2442" xr3:uid="{1F40DC9E-E304-4F84-8962-C7BF932B595E}" name="Column2428"/>
    <tableColumn id="2443" xr3:uid="{419D34A9-4067-4C1C-B958-4D6EB42C8502}" name="Column2429"/>
    <tableColumn id="2444" xr3:uid="{593310E7-F659-48DC-B170-3911B3671087}" name="Column2430"/>
    <tableColumn id="2445" xr3:uid="{4E0A5C15-D049-4C82-AED7-D72DF81F37FF}" name="Column2431"/>
    <tableColumn id="2446" xr3:uid="{A0751280-34D2-43C0-9D72-73F4AB013A80}" name="Column2432"/>
    <tableColumn id="2447" xr3:uid="{2C786D82-C0A3-4021-B517-70404792C7CC}" name="Column2433"/>
    <tableColumn id="2448" xr3:uid="{9F072F9E-626F-4349-9070-98657B32495F}" name="Column2434"/>
    <tableColumn id="2449" xr3:uid="{1EA856C9-1246-4F7A-90A9-7FAE96942273}" name="Column2435"/>
    <tableColumn id="2450" xr3:uid="{D6490B72-0145-4769-8CB1-B1E5B7CCFE06}" name="Column2436"/>
    <tableColumn id="2451" xr3:uid="{5E55ABC6-9161-4611-9CCF-E4448EDC7361}" name="Column2437"/>
    <tableColumn id="2452" xr3:uid="{560A3BCC-1FB4-41AC-AA69-D9AA515A9128}" name="Column2438"/>
    <tableColumn id="2453" xr3:uid="{07326C97-F35A-45C1-8531-AE9276BD5592}" name="Column2439"/>
    <tableColumn id="2454" xr3:uid="{8426A47A-FF16-4F67-981C-F7D16C29F204}" name="Column2440"/>
    <tableColumn id="2455" xr3:uid="{E94DEB23-1C59-4AB4-B3E1-3BBB30B0C4AC}" name="Column2441"/>
    <tableColumn id="2456" xr3:uid="{2910F54D-CA45-46CE-9A85-77BCCC6DB5C3}" name="Column2442"/>
    <tableColumn id="2457" xr3:uid="{7415D0C2-D761-45E5-AFA3-1A6BA2C8D420}" name="Column2443"/>
    <tableColumn id="2458" xr3:uid="{9D3EB414-D516-4ADE-99C8-A731172BED58}" name="Column2444"/>
    <tableColumn id="2459" xr3:uid="{95C3B5A9-25C3-4790-817F-0C762D406212}" name="Column2445"/>
    <tableColumn id="2460" xr3:uid="{D7442EDC-9B5A-4D6D-BB62-324DD5B27C2F}" name="Column2446"/>
    <tableColumn id="2461" xr3:uid="{37C89447-B1BA-4795-ACF0-04C3D80E17E9}" name="Column2447"/>
    <tableColumn id="2462" xr3:uid="{1B3A2AA9-2134-442C-9F50-474BE704792E}" name="Column2448"/>
    <tableColumn id="2463" xr3:uid="{31AA5070-30B2-454C-8549-AFCB15237E5D}" name="Column2449"/>
    <tableColumn id="2464" xr3:uid="{665EB2DD-6506-4941-A19E-2AB759164006}" name="Column2450"/>
    <tableColumn id="2465" xr3:uid="{281A24DB-7FAE-4BA3-9C6B-0B5BC2CE7203}" name="Column2451"/>
    <tableColumn id="2466" xr3:uid="{D3660D43-B062-462F-8C8D-3CEE4A2E4472}" name="Column2452"/>
    <tableColumn id="2467" xr3:uid="{41B48538-6556-4746-BCAF-67BD61798C40}" name="Column2453"/>
    <tableColumn id="2468" xr3:uid="{740EAD42-A251-4237-81D4-7A98FAFB5681}" name="Column2454"/>
    <tableColumn id="2469" xr3:uid="{35E532C4-92E6-4B68-AB4C-976698439D7D}" name="Column2455"/>
    <tableColumn id="2470" xr3:uid="{5AEF964D-6E05-4B0B-9F94-C5D33E02AE43}" name="Column2456"/>
    <tableColumn id="2471" xr3:uid="{2D7777E0-8AC7-416D-A8EB-49B07906827D}" name="Column2457"/>
    <tableColumn id="2472" xr3:uid="{775CDC94-82AB-4CBE-B525-BA79911A1513}" name="Column2458"/>
    <tableColumn id="2473" xr3:uid="{EF3B1D93-16D0-4AD3-B5C6-D402D1303C6C}" name="Column2459"/>
    <tableColumn id="2474" xr3:uid="{CF1F958E-C3B4-4B78-8A7E-584F96AE4562}" name="Column2460"/>
    <tableColumn id="2475" xr3:uid="{C9655641-8B3D-4AB6-9B64-776FD0599A89}" name="Column2461"/>
    <tableColumn id="2476" xr3:uid="{53EB219E-6605-4620-B968-72FDE5205BD0}" name="Column2462"/>
    <tableColumn id="2477" xr3:uid="{EF70093D-5269-4B5F-918F-71A6638B1586}" name="Column2463"/>
    <tableColumn id="2478" xr3:uid="{54FC31A4-6640-4151-BE29-140E502A9B8E}" name="Column2464"/>
    <tableColumn id="2479" xr3:uid="{201E2FA0-E445-46C3-8936-D251B6A8F95B}" name="Column2465"/>
    <tableColumn id="2480" xr3:uid="{5BD63FDD-4C4C-4E51-919D-9C7E757FE062}" name="Column2466"/>
    <tableColumn id="2481" xr3:uid="{D0FE0273-89E7-45A4-855F-AB7CF2F2D5D2}" name="Column2467"/>
    <tableColumn id="2482" xr3:uid="{021C3D7B-3E34-4C78-8DB7-15C9208036D0}" name="Column2468"/>
    <tableColumn id="2483" xr3:uid="{C65441A3-0199-4BD1-80B1-F63F972549D8}" name="Column2469"/>
    <tableColumn id="2484" xr3:uid="{A9F9A362-8C30-43A9-B526-B0D9EF9F3E34}" name="Column2470"/>
    <tableColumn id="2485" xr3:uid="{FE10BADE-2A47-4963-83A5-03CCE7F97062}" name="Column2471"/>
    <tableColumn id="2486" xr3:uid="{7C6027F0-56E3-421A-90B3-2885E9283F4E}" name="Column2472"/>
    <tableColumn id="2487" xr3:uid="{60A0A59B-6334-4EBE-AC66-79469BCCF742}" name="Column2473"/>
    <tableColumn id="2488" xr3:uid="{83B88017-FCCA-4EC6-85F9-7536A94D5753}" name="Column2474"/>
    <tableColumn id="2489" xr3:uid="{562F3001-33B3-4AF9-9B73-668DD59EB7F5}" name="Column2475"/>
    <tableColumn id="2490" xr3:uid="{BD6DBDDC-1CC1-4258-809D-A0DDCE542648}" name="Column2476"/>
    <tableColumn id="2491" xr3:uid="{D0013FE0-35FA-4EA5-930A-93B6B2786994}" name="Column2477"/>
    <tableColumn id="2492" xr3:uid="{33DE6A41-8986-4EE1-AB6C-4251A5F58277}" name="Column2478"/>
    <tableColumn id="2493" xr3:uid="{6343D9D3-A382-4CA6-A9C3-67557B1A56CD}" name="Column2479"/>
    <tableColumn id="2494" xr3:uid="{BDE9B4CC-7E38-4597-A872-BEFCF69212AA}" name="Column2480"/>
    <tableColumn id="2495" xr3:uid="{DAA4521E-094A-4740-B39B-EDEFFA70DB20}" name="Column2481"/>
    <tableColumn id="2496" xr3:uid="{38AF9DF3-D1FE-4BDF-852F-1372DDDD4C4C}" name="Column2482"/>
    <tableColumn id="2497" xr3:uid="{9A121F86-5DFC-4C46-9D63-E8C538541133}" name="Column2483"/>
    <tableColumn id="2498" xr3:uid="{2E5FB5DE-01B1-466D-8E1D-339B2CB2D981}" name="Column2484"/>
    <tableColumn id="2499" xr3:uid="{0A70C1AB-49F2-421A-95FC-FDBD6778FAC7}" name="Column2485"/>
    <tableColumn id="2500" xr3:uid="{16C79379-849C-4120-AB9C-064204434ADE}" name="Column2486"/>
    <tableColumn id="2501" xr3:uid="{511CA0DD-3F73-4AC1-B5BD-B96DF9323FC7}" name="Column2487"/>
    <tableColumn id="2502" xr3:uid="{B63AA931-FA52-455F-85D9-760048249264}" name="Column2488"/>
    <tableColumn id="2503" xr3:uid="{5DFE7DBA-5C9A-47F0-A7A3-88397ABA1B82}" name="Column2489"/>
    <tableColumn id="2504" xr3:uid="{F8830553-1FB3-448D-955C-448AC9449D89}" name="Column2490"/>
    <tableColumn id="2505" xr3:uid="{3629479C-8BC9-4CA0-A3E3-EC5295FEDC1E}" name="Column2491"/>
    <tableColumn id="2506" xr3:uid="{4F0EDDBD-890C-44E4-83D4-3BE7CE016A5B}" name="Column2492"/>
    <tableColumn id="2507" xr3:uid="{12D1AA03-DE3A-459E-8952-EE05DF74BE28}" name="Column2493"/>
    <tableColumn id="2508" xr3:uid="{91899C25-99D6-4152-AA68-E850931A1E01}" name="Column2494"/>
    <tableColumn id="2509" xr3:uid="{BFFFB343-CC53-4E51-97E3-5DEA8A3DF09F}" name="Column2495"/>
    <tableColumn id="2510" xr3:uid="{553888EB-1025-4FC1-9647-AB60D8CC922C}" name="Column2496"/>
    <tableColumn id="2511" xr3:uid="{FD50D117-04AC-44BC-9F68-051EB834ED1A}" name="Column2497"/>
    <tableColumn id="2512" xr3:uid="{1953AA1E-FF69-4C3F-92C6-54A3FEE1D7F3}" name="Column2498"/>
    <tableColumn id="2513" xr3:uid="{ED492090-36D1-42F5-9689-F7EF216432AE}" name="Column2499"/>
    <tableColumn id="2514" xr3:uid="{0330DDE3-9117-484D-BA22-744600463F50}" name="Column2500"/>
    <tableColumn id="2515" xr3:uid="{AC16B609-1D20-41E3-8FA1-1D97117637A6}" name="Column2501"/>
    <tableColumn id="2516" xr3:uid="{E56C92CF-CD99-4A64-9746-ACD33F9E865B}" name="Column2502"/>
    <tableColumn id="2517" xr3:uid="{B14820FF-F56D-4B60-BC65-36E2ECA14FE7}" name="Column2503"/>
    <tableColumn id="2518" xr3:uid="{457DAAF0-977F-4474-9395-AD6AC9CB9846}" name="Column2504"/>
    <tableColumn id="2519" xr3:uid="{8B8DC38B-DA99-4827-B0AC-501C4997030A}" name="Column2505"/>
    <tableColumn id="2520" xr3:uid="{D5ADB1B6-26FF-4904-BDE4-4238E29CD6E1}" name="Column2506"/>
    <tableColumn id="2521" xr3:uid="{D810AA6C-26F2-4D44-98E8-F31EDB75A7FC}" name="Column2507"/>
    <tableColumn id="2522" xr3:uid="{FB0D7D90-89AD-4C19-9BA9-392F64626893}" name="Column2508"/>
    <tableColumn id="2523" xr3:uid="{12557673-D425-49BC-AB34-D14887D1DBE4}" name="Column2509"/>
    <tableColumn id="2524" xr3:uid="{39CCA8F3-53B5-42A1-96D4-6CE9DD934107}" name="Column2510"/>
    <tableColumn id="2525" xr3:uid="{88E76119-6B72-4F0C-A0D8-471D475D0BDC}" name="Column2511"/>
    <tableColumn id="2526" xr3:uid="{BB04A7C8-9D22-4D72-87B8-29303AF88C7B}" name="Column2512"/>
    <tableColumn id="2527" xr3:uid="{00FF16D0-A81C-4E0A-B0C7-D25C26DF4E4E}" name="Column2513"/>
    <tableColumn id="2528" xr3:uid="{6E073B3E-0F0D-4FE6-B7B3-45107BD44F6B}" name="Column2514"/>
    <tableColumn id="2529" xr3:uid="{6D63DD9A-0361-47F2-93A3-87AF6C594AB8}" name="Column2515"/>
    <tableColumn id="2530" xr3:uid="{FEFAE71E-BC84-421A-AB72-545A1DA30B55}" name="Column2516"/>
    <tableColumn id="2531" xr3:uid="{9BF13086-BAFB-4AD3-9C84-60939D702F3D}" name="Column2517"/>
    <tableColumn id="2532" xr3:uid="{5FE1089F-54EF-4073-9073-2355302F6341}" name="Column2518"/>
    <tableColumn id="2533" xr3:uid="{FD5819B1-A8CA-4B8B-A195-F1FACA9C0796}" name="Column2519"/>
    <tableColumn id="2534" xr3:uid="{306708FF-B9A6-4B79-8A50-A4CA6B1281FA}" name="Column2520"/>
    <tableColumn id="2535" xr3:uid="{D25AADBF-891B-4108-88EF-226C378F5E4E}" name="Column2521"/>
    <tableColumn id="2536" xr3:uid="{C14D49BE-4432-40A5-9E12-16D70B5050D4}" name="Column2522"/>
    <tableColumn id="2537" xr3:uid="{CD266CD0-F5AC-497C-A507-FFA05DF1AFC0}" name="Column2523"/>
    <tableColumn id="2538" xr3:uid="{54A439C8-21FF-4F43-BABA-DB758B089C15}" name="Column2524"/>
    <tableColumn id="2539" xr3:uid="{381CA7D2-9C45-4267-8DAE-D276729A9EAE}" name="Column2525"/>
    <tableColumn id="2540" xr3:uid="{F8E45C34-544E-4A91-A6CA-A2DC24A20A72}" name="Column2526"/>
    <tableColumn id="2541" xr3:uid="{93D6EB94-A81A-474D-9CE3-E28D170A5F7D}" name="Column2527"/>
    <tableColumn id="2542" xr3:uid="{B8FC7113-1205-4B6F-9F3D-39AB2B14997F}" name="Column2528"/>
    <tableColumn id="2543" xr3:uid="{1C74951F-2AC6-47CC-8C1B-C05654D5629D}" name="Column2529"/>
    <tableColumn id="2544" xr3:uid="{68233A27-8C0E-4CC1-A61C-53D0F98FE237}" name="Column2530"/>
    <tableColumn id="2545" xr3:uid="{4084CAB5-B4B1-4A53-A5BA-D7F93E6E8430}" name="Column2531"/>
    <tableColumn id="2546" xr3:uid="{6E68DAD4-9030-4D18-921F-BD364A84FF44}" name="Column2532"/>
    <tableColumn id="2547" xr3:uid="{FC657E30-0558-4C88-9815-59C1EAB11562}" name="Column2533"/>
    <tableColumn id="2548" xr3:uid="{5EA7B403-4BFD-4DF7-9464-307C0AD1ED64}" name="Column2534"/>
    <tableColumn id="2549" xr3:uid="{4FD77FE7-B53D-4FA2-95C1-1B03972E8834}" name="Column2535"/>
    <tableColumn id="2550" xr3:uid="{B64EF4A9-AC1C-4541-80EE-A893425C8026}" name="Column2536"/>
    <tableColumn id="2551" xr3:uid="{1196B861-5891-48B1-8E5F-EBD35A4F3386}" name="Column2537"/>
    <tableColumn id="2552" xr3:uid="{4DC50F23-08AC-46E1-AA64-6A986C8B5CEC}" name="Column2538"/>
    <tableColumn id="2553" xr3:uid="{3D725925-9F5D-4EC7-AAB1-2282119AEB32}" name="Column2539"/>
    <tableColumn id="2554" xr3:uid="{7C0F184C-FAAF-4DE9-B0A8-CC9FCE6E80A3}" name="Column2540"/>
    <tableColumn id="2555" xr3:uid="{947F0B97-DA9A-4097-9AB9-A8AD4DCF2AEC}" name="Column2541"/>
    <tableColumn id="2556" xr3:uid="{31618860-E022-4FDF-894F-94263A7B295F}" name="Column2542"/>
    <tableColumn id="2557" xr3:uid="{8035FAA3-06C3-4AF2-9253-7D5B9F7185B4}" name="Column2543"/>
    <tableColumn id="2558" xr3:uid="{BAE8AB83-7E88-4F2C-ACFC-B75DF384182C}" name="Column2544"/>
    <tableColumn id="2559" xr3:uid="{AF11394E-B15D-4D42-BB85-85E2FE3773E7}" name="Column2545"/>
    <tableColumn id="2560" xr3:uid="{1E823E60-2F04-45F9-9938-9F9600695AEA}" name="Column2546"/>
    <tableColumn id="2561" xr3:uid="{B79D8721-572D-4272-A417-7D57AF52E475}" name="Column2547"/>
    <tableColumn id="2562" xr3:uid="{A8E00694-F2CB-451B-BB42-43C19836E568}" name="Column2548"/>
    <tableColumn id="2563" xr3:uid="{89C1D645-2910-4D1C-9224-7B064A561FA4}" name="Column2549"/>
    <tableColumn id="2564" xr3:uid="{D2AA92CE-C6D8-47D9-8A22-D7A39787C767}" name="Column2550"/>
    <tableColumn id="2565" xr3:uid="{236CB0DA-9398-4E2C-BFA8-A562530F7F2B}" name="Column2551"/>
    <tableColumn id="2566" xr3:uid="{6AB128CB-EB7B-4573-98D4-AA843B724813}" name="Column2552"/>
    <tableColumn id="2567" xr3:uid="{3CA167CE-AC02-4297-97DC-493DA6BBF05E}" name="Column2553"/>
    <tableColumn id="2568" xr3:uid="{FCEA438B-297C-47B5-B93F-E5897496CE89}" name="Column2554"/>
    <tableColumn id="2569" xr3:uid="{66C3B701-6BAF-4120-BC63-D27C2405EB09}" name="Column2555"/>
    <tableColumn id="2570" xr3:uid="{9798A340-8CFC-4601-BA6C-142D85A29F4F}" name="Column2556"/>
    <tableColumn id="2571" xr3:uid="{59C4FE97-BDD1-469C-AA9A-297809751C52}" name="Column2557"/>
    <tableColumn id="2572" xr3:uid="{1EFB970F-4E3B-48F3-A803-EBBED1A897B8}" name="Column2558"/>
    <tableColumn id="2573" xr3:uid="{7412FE12-CEF8-4D11-A471-FF2A0E30C02B}" name="Column2559"/>
    <tableColumn id="2574" xr3:uid="{EBC3C486-8642-49DE-8236-3E01CF3540D9}" name="Column2560"/>
    <tableColumn id="2575" xr3:uid="{27E2C659-763F-463E-9448-671E1C0D5EC2}" name="Column2561"/>
    <tableColumn id="2576" xr3:uid="{1DA6ED1B-5872-4208-82E4-3114325112DD}" name="Column2562"/>
    <tableColumn id="2577" xr3:uid="{727279DB-299E-443A-B6DA-A9E5A09A93EC}" name="Column2563"/>
    <tableColumn id="2578" xr3:uid="{A3B925C0-BBB4-4683-8012-84A2849AC770}" name="Column2564"/>
    <tableColumn id="2579" xr3:uid="{B7AD5A61-98A7-43BA-B551-69A4ABBECBA9}" name="Column2565"/>
    <tableColumn id="2580" xr3:uid="{6FF07EF1-E400-4A5D-A72E-F47AB5AE252C}" name="Column2566"/>
    <tableColumn id="2581" xr3:uid="{F2E15E99-3F5E-459E-B7C3-0907688BE4FF}" name="Column2567"/>
    <tableColumn id="2582" xr3:uid="{8C4408CB-2C79-4134-9D09-FBB4649E0104}" name="Column2568"/>
    <tableColumn id="2583" xr3:uid="{E4FF77AC-9DF5-4112-A407-689ED20FF0C6}" name="Column2569"/>
    <tableColumn id="2584" xr3:uid="{EAC0CDB2-1CE4-444D-B100-1996905E939E}" name="Column2570"/>
    <tableColumn id="2585" xr3:uid="{2F49A2DB-F3D4-4E30-AB62-D3AF040283A0}" name="Column2571"/>
    <tableColumn id="2586" xr3:uid="{0CEA512B-040F-45AB-89D1-9F747513722E}" name="Column2572"/>
    <tableColumn id="2587" xr3:uid="{B29F6F77-086A-412B-9263-8867A98F95F9}" name="Column2573"/>
    <tableColumn id="2588" xr3:uid="{91559AAE-3DB4-4356-95D2-0938CD7738E5}" name="Column2574"/>
    <tableColumn id="2589" xr3:uid="{109928FE-7970-442F-870B-FDAC2FF97ACD}" name="Column2575"/>
    <tableColumn id="2590" xr3:uid="{6C9D45DF-D1B4-4888-810B-68D1EBEFA747}" name="Column2576"/>
    <tableColumn id="2591" xr3:uid="{F0CCA448-F176-4AE7-AE46-44E4501CB47F}" name="Column2577"/>
    <tableColumn id="2592" xr3:uid="{7DF0198D-7073-4771-B4FC-397B240D7B06}" name="Column2578"/>
    <tableColumn id="2593" xr3:uid="{59129142-226D-4219-BEED-76836FD90D96}" name="Column2579"/>
    <tableColumn id="2594" xr3:uid="{D6178DBC-95AA-41EE-8ECC-DC622E89CDE4}" name="Column2580"/>
    <tableColumn id="2595" xr3:uid="{257D25E8-B782-434D-A72B-0F513A28D15B}" name="Column2581"/>
    <tableColumn id="2596" xr3:uid="{4593C955-E3F4-4139-B1BA-95853CC5D1C5}" name="Column2582"/>
    <tableColumn id="2597" xr3:uid="{B50A1955-178C-4E44-AD02-FB0FB28655BC}" name="Column2583"/>
    <tableColumn id="2598" xr3:uid="{E2AF5028-1F87-49CA-9605-C92EBEE1F0A0}" name="Column2584"/>
    <tableColumn id="2599" xr3:uid="{608507C4-ACC8-4E47-B302-CD7FB553ACF0}" name="Column2585"/>
    <tableColumn id="2600" xr3:uid="{2D13AF69-A85F-43F7-AE7B-94B318768374}" name="Column2586"/>
    <tableColumn id="2601" xr3:uid="{A1B0A059-BA31-4357-8708-B8BC6AA1D7F2}" name="Column2587"/>
    <tableColumn id="2602" xr3:uid="{C3B147D2-4B6E-400A-9697-006B1E44A92F}" name="Column2588"/>
    <tableColumn id="2603" xr3:uid="{170A40EC-7BFE-48B4-BFF8-0CABEBD8D00A}" name="Column2589"/>
    <tableColumn id="2604" xr3:uid="{7EC040FF-D9AD-402C-AF4F-9B4B3083AD26}" name="Column2590"/>
    <tableColumn id="2605" xr3:uid="{E58F0D95-1BCA-4D3D-A177-51DF42D8F00B}" name="Column2591"/>
    <tableColumn id="2606" xr3:uid="{D30D6193-0DD7-4BE6-919A-38A4446413F4}" name="Column2592"/>
    <tableColumn id="2607" xr3:uid="{8A954ED8-4D39-43A3-96EC-DA662B48A117}" name="Column2593"/>
    <tableColumn id="2608" xr3:uid="{EDE20744-B8DE-4C4D-B8FE-0C26F2D67A2D}" name="Column2594"/>
    <tableColumn id="2609" xr3:uid="{FFD42483-8639-4D2B-B81F-80E26A4CF914}" name="Column2595"/>
    <tableColumn id="2610" xr3:uid="{AD2FEDF4-6C96-4FB4-B444-75DAF2787DC8}" name="Column2596"/>
    <tableColumn id="2611" xr3:uid="{039DC923-160C-44EA-8802-B1DF36FB7B0E}" name="Column2597"/>
    <tableColumn id="2612" xr3:uid="{02040610-D75D-40C4-9FE4-AAA19AFDF720}" name="Column2598"/>
    <tableColumn id="2613" xr3:uid="{2212507C-7F83-4F04-91C1-EBD6E39EC1D5}" name="Column2599"/>
    <tableColumn id="2614" xr3:uid="{72215A82-8D10-4D01-9BB8-67D190CC9CFA}" name="Column2600"/>
    <tableColumn id="2615" xr3:uid="{DA253ADE-4B74-4820-976C-0989CC94EB99}" name="Column2601"/>
    <tableColumn id="2616" xr3:uid="{8D062109-5B2A-4E09-9902-2B753AC31FF6}" name="Column2602"/>
    <tableColumn id="2617" xr3:uid="{BFA70D3D-D9D5-4A2B-8309-6D190ED20A82}" name="Column2603"/>
    <tableColumn id="2618" xr3:uid="{4B7B260F-F4F7-492C-B77B-AB5D15960203}" name="Column2604"/>
    <tableColumn id="2619" xr3:uid="{F7EF13C6-F079-45DA-A8FB-9ACFE36486D8}" name="Column2605"/>
    <tableColumn id="2620" xr3:uid="{EBC84EEC-6068-41E0-8BB7-926A666EBD5E}" name="Column2606"/>
    <tableColumn id="2621" xr3:uid="{F5A4F2E3-AD22-4386-BD4C-AB3214F18362}" name="Column2607"/>
    <tableColumn id="2622" xr3:uid="{8D3581C4-5785-4F21-9136-B02CB89EEFAE}" name="Column2608"/>
    <tableColumn id="2623" xr3:uid="{870034D9-5DB0-41AF-8D69-495748DE9B03}" name="Column2609"/>
    <tableColumn id="2624" xr3:uid="{713CE94B-1C6D-4632-AF1F-3BD6F17637B2}" name="Column2610"/>
    <tableColumn id="2625" xr3:uid="{77160C74-FA7E-4A6C-9AAA-51510B03FE40}" name="Column2611"/>
    <tableColumn id="2626" xr3:uid="{662F1C28-2390-4558-9136-5431787411F3}" name="Column2612"/>
    <tableColumn id="2627" xr3:uid="{C3A1132C-A4CC-43B8-A136-8E1218AF7EAF}" name="Column2613"/>
    <tableColumn id="2628" xr3:uid="{6C018EAF-A189-4B75-9B2E-F32ABF91B934}" name="Column2614"/>
    <tableColumn id="2629" xr3:uid="{CA4AD1FA-063A-4BB0-9C2F-2522B6C7DE14}" name="Column2615"/>
    <tableColumn id="2630" xr3:uid="{EA94C664-50F1-4879-9A74-EEAAFAA54FCD}" name="Column2616"/>
    <tableColumn id="2631" xr3:uid="{7297A950-3BEC-4433-B662-9843FC267F49}" name="Column2617"/>
    <tableColumn id="2632" xr3:uid="{D207D512-8127-4610-9D42-3DA2667F74BD}" name="Column2618"/>
    <tableColumn id="2633" xr3:uid="{DF07A616-D460-454F-A91A-723596652743}" name="Column2619"/>
    <tableColumn id="2634" xr3:uid="{C1F35F3D-49E6-490E-BA8A-5AE81088479E}" name="Column2620"/>
    <tableColumn id="2635" xr3:uid="{AD15DDF4-5732-405E-8DD9-B94F12691FB6}" name="Column2621"/>
    <tableColumn id="2636" xr3:uid="{18A456B2-7A95-466D-9006-6F8563DBA107}" name="Column2622"/>
    <tableColumn id="2637" xr3:uid="{FE2D776E-E035-4209-B6EF-31267CBAB772}" name="Column2623"/>
    <tableColumn id="2638" xr3:uid="{FF60F3A7-8616-46DC-8F15-583BB65DED5B}" name="Column2624"/>
    <tableColumn id="2639" xr3:uid="{46D1D859-BE64-4BF6-8186-07326CB15746}" name="Column2625"/>
    <tableColumn id="2640" xr3:uid="{805D753B-3660-44E9-8117-602D9D59DAA6}" name="Column2626"/>
    <tableColumn id="2641" xr3:uid="{A8F1CA95-3739-4CDB-936C-A2B4819D727A}" name="Column2627"/>
    <tableColumn id="2642" xr3:uid="{2066906B-F60E-408E-86C4-B9F7BA378F54}" name="Column2628"/>
    <tableColumn id="2643" xr3:uid="{075DCF5B-ADD6-4D2F-9218-04F4BA795B8D}" name="Column2629"/>
    <tableColumn id="2644" xr3:uid="{B4586742-E2B8-4B7F-ADAB-F7755E9D29B0}" name="Column2630"/>
    <tableColumn id="2645" xr3:uid="{6E537EB0-3C11-43DF-BDAD-E0BA663BFA68}" name="Column2631"/>
    <tableColumn id="2646" xr3:uid="{A7515C00-75D7-499E-BDBB-EE269860490C}" name="Column2632"/>
    <tableColumn id="2647" xr3:uid="{D9A6D2A5-7F65-490E-8622-722BB52D0F7E}" name="Column2633"/>
    <tableColumn id="2648" xr3:uid="{7BEC6644-65A2-4768-8A49-CD6E9EEF24C2}" name="Column2634"/>
    <tableColumn id="2649" xr3:uid="{69110FEF-FB04-49BF-8707-363CB191FC09}" name="Column2635"/>
    <tableColumn id="2650" xr3:uid="{778C6D69-20F4-453F-A6B6-7744C3128B33}" name="Column2636"/>
    <tableColumn id="2651" xr3:uid="{EF370FD4-059D-4C40-8B50-5D9D68C4294F}" name="Column2637"/>
    <tableColumn id="2652" xr3:uid="{AF58CA9B-76F0-46B7-A4FD-35502039FC5D}" name="Column2638"/>
    <tableColumn id="2653" xr3:uid="{45D10C9A-C901-4645-81AA-97832CEF5056}" name="Column2639"/>
    <tableColumn id="2654" xr3:uid="{6CAE2AB1-5FF1-4FCD-8FA1-854495299A76}" name="Column2640"/>
    <tableColumn id="2655" xr3:uid="{E3F0FAB8-9503-4507-BEDB-95457A4A87A6}" name="Column2641"/>
    <tableColumn id="2656" xr3:uid="{302098A4-722A-41B2-81DE-6DCFCB8AB02A}" name="Column2642"/>
    <tableColumn id="2657" xr3:uid="{DD55F6A9-1165-484D-BF8B-F2CD4A8298F7}" name="Column2643"/>
    <tableColumn id="2658" xr3:uid="{79ADFB3D-AEC6-4875-A19F-BC4947170558}" name="Column2644"/>
    <tableColumn id="2659" xr3:uid="{E9C734CE-99E8-4A9C-9440-91D54C5A6F8F}" name="Column2645"/>
    <tableColumn id="2660" xr3:uid="{E71C5B84-EF40-4E61-A5BE-C3316E0A9A68}" name="Column2646"/>
    <tableColumn id="2661" xr3:uid="{AA51CE9D-2CB6-4813-AFB5-AFEDCEDD46C1}" name="Column2647"/>
    <tableColumn id="2662" xr3:uid="{F14CCC06-B791-4F99-8EC2-2234F358B62E}" name="Column2648"/>
    <tableColumn id="2663" xr3:uid="{4D1F5CBC-12E1-4B22-8C40-C3EEDA393543}" name="Column2649"/>
    <tableColumn id="2664" xr3:uid="{C2068874-5B89-4A55-BF26-B47F56165F39}" name="Column2650"/>
    <tableColumn id="2665" xr3:uid="{448C9820-7706-497A-9896-522A1CE1CA97}" name="Column2651"/>
    <tableColumn id="2666" xr3:uid="{40E86BA9-834F-489A-9CC3-30ECD03CC0FC}" name="Column2652"/>
    <tableColumn id="2667" xr3:uid="{356E3A13-5F7F-4FB5-989B-A99A5CF6AC20}" name="Column2653"/>
    <tableColumn id="2668" xr3:uid="{FE25D5F0-9B02-4420-BB68-FE78479CC995}" name="Column2654"/>
    <tableColumn id="2669" xr3:uid="{6546B8E1-E6B0-44DB-93AB-E05F8B9B0A6B}" name="Column2655"/>
    <tableColumn id="2670" xr3:uid="{94B5D1BF-A4FE-4A42-8422-BFEB167366FA}" name="Column2656"/>
    <tableColumn id="2671" xr3:uid="{24B39A6B-BBC4-4475-AC49-82E345685243}" name="Column2657"/>
    <tableColumn id="2672" xr3:uid="{00E0BEF3-5FC9-4303-B2E1-7A82E2A458E2}" name="Column2658"/>
    <tableColumn id="2673" xr3:uid="{31A79139-1A78-4DD4-97C7-1004C84231B4}" name="Column2659"/>
    <tableColumn id="2674" xr3:uid="{112FEA3E-2965-4013-9A06-411A7BFA080E}" name="Column2660"/>
    <tableColumn id="2675" xr3:uid="{82DAEA10-7FB0-4830-9F31-D7CAC29B3E69}" name="Column2661"/>
    <tableColumn id="2676" xr3:uid="{00B46934-5111-4E14-942E-797E1B340E90}" name="Column2662"/>
    <tableColumn id="2677" xr3:uid="{3C284933-CF5B-4A30-8C44-E0693D1193C0}" name="Column2663"/>
    <tableColumn id="2678" xr3:uid="{941F73BD-B7C6-49B5-B5B7-00100BA3D18A}" name="Column2664"/>
    <tableColumn id="2679" xr3:uid="{4B8D979F-C294-4BB9-AA58-275881124C05}" name="Column2665"/>
    <tableColumn id="2680" xr3:uid="{F9848F81-95EF-4DF7-81B5-F3FC7FE64B41}" name="Column2666"/>
    <tableColumn id="2681" xr3:uid="{4050CB91-DF17-4FF2-BF22-E0CFF080EBB5}" name="Column2667"/>
    <tableColumn id="2682" xr3:uid="{77D897AF-D0D7-48FE-AA17-96F3D21CCFD8}" name="Column2668"/>
    <tableColumn id="2683" xr3:uid="{A3547BDB-CC14-4AFE-9FD7-9C960AE087C0}" name="Column2669"/>
    <tableColumn id="2684" xr3:uid="{E239B32D-4718-4607-8C67-A26CF831D7A0}" name="Column2670"/>
    <tableColumn id="2685" xr3:uid="{5E0BAED5-0B94-4127-B358-2A7B9BBEF152}" name="Column2671"/>
    <tableColumn id="2686" xr3:uid="{93E67BFE-E94D-48E2-AD1C-C8B9EF746129}" name="Column2672"/>
    <tableColumn id="2687" xr3:uid="{FC1F1470-1363-494A-AE65-15088ED0ADE2}" name="Column2673"/>
    <tableColumn id="2688" xr3:uid="{C4FCA13C-CCF5-408C-8AFF-227253AF2823}" name="Column2674"/>
    <tableColumn id="2689" xr3:uid="{79FBC5E7-FABF-46C0-A524-92D93C5C891E}" name="Column2675"/>
    <tableColumn id="2690" xr3:uid="{51F2314C-F206-4B5C-8917-6170E2BABF2B}" name="Column2676"/>
    <tableColumn id="2691" xr3:uid="{B831F3D3-9BBC-4C0E-8C0E-97B315C94D30}" name="Column2677"/>
    <tableColumn id="2692" xr3:uid="{7C4E8699-588B-45AF-A4F9-3D6026190EAD}" name="Column2678"/>
    <tableColumn id="2693" xr3:uid="{B19C4F6C-3F87-47EB-B263-57C5006CC283}" name="Column2679"/>
    <tableColumn id="2694" xr3:uid="{F9A7AA58-C55B-48D6-A456-2ED3CED59EAF}" name="Column2680"/>
    <tableColumn id="2695" xr3:uid="{579FD177-87D8-4174-BB6F-9AF2B0D70F76}" name="Column2681"/>
    <tableColumn id="2696" xr3:uid="{DAE66F05-0929-42B5-A24D-970F32A140E7}" name="Column2682"/>
    <tableColumn id="2697" xr3:uid="{B061D67B-3A5E-42D5-97F8-09E836836879}" name="Column2683"/>
    <tableColumn id="2698" xr3:uid="{70BAF7E5-F8A4-44FB-ABB6-784FDFA10774}" name="Column2684"/>
    <tableColumn id="2699" xr3:uid="{CC74155D-508A-4D8C-A885-3016971B6EFE}" name="Column2685"/>
    <tableColumn id="2700" xr3:uid="{132E02F7-0F48-4595-B074-6F120379F064}" name="Column2686"/>
    <tableColumn id="2701" xr3:uid="{790D342C-C701-4DCA-AF88-E95666C56AF5}" name="Column2687"/>
    <tableColumn id="2702" xr3:uid="{CEB15243-EA20-4E94-A07B-54DF8E48ACF9}" name="Column2688"/>
    <tableColumn id="2703" xr3:uid="{418DF4DE-11AF-4666-A0FB-D0973027F33D}" name="Column2689"/>
    <tableColumn id="2704" xr3:uid="{C9215C1F-D955-491B-B6AC-311BCB2C4DF6}" name="Column2690"/>
    <tableColumn id="2705" xr3:uid="{F2E5C6CC-50B5-4B24-AA6B-4779ADB5D0A7}" name="Column2691"/>
    <tableColumn id="2706" xr3:uid="{3CDCB426-78EF-4B0A-AF4D-E91CD28537E4}" name="Column2692"/>
    <tableColumn id="2707" xr3:uid="{9C303209-1A5F-43C4-9D5C-9FE17BA9A5F9}" name="Column2693"/>
    <tableColumn id="2708" xr3:uid="{2ED34CB7-698C-4E70-A6B7-3E0A93B14387}" name="Column2694"/>
    <tableColumn id="2709" xr3:uid="{8FA49FF8-6483-4F48-B299-08207D222059}" name="Column2695"/>
    <tableColumn id="2710" xr3:uid="{73BE25FC-FC2A-4744-95E4-CF6BEEB58FBE}" name="Column2696"/>
    <tableColumn id="2711" xr3:uid="{5B66FD51-A813-46ED-B8AC-56D34835F43D}" name="Column2697"/>
    <tableColumn id="2712" xr3:uid="{0F0779FA-FADD-4065-BD19-6509C2725FFF}" name="Column2698"/>
    <tableColumn id="2713" xr3:uid="{EF22AC70-D3B9-4003-B0F1-44C65CBDF0A9}" name="Column2699"/>
    <tableColumn id="2714" xr3:uid="{3CE31A55-A36E-4A14-B01B-DA59D6E44C35}" name="Column2700"/>
    <tableColumn id="2715" xr3:uid="{FFBBC996-CEE3-4C20-9E30-14BF7C491BDE}" name="Column2701"/>
    <tableColumn id="2716" xr3:uid="{0BC7F5CD-C3F7-4015-98B6-2F90D9B83469}" name="Column2702"/>
    <tableColumn id="2717" xr3:uid="{BD0ABF24-7B7D-4880-977B-AA741462651D}" name="Column2703"/>
    <tableColumn id="2718" xr3:uid="{DE1A0277-D13A-4792-8A2A-818948810470}" name="Column2704"/>
    <tableColumn id="2719" xr3:uid="{0964666E-F95A-488F-BC25-D8FFA321AD07}" name="Column2705"/>
    <tableColumn id="2720" xr3:uid="{8FE7E883-D285-4136-9460-5A9C2D26CE6A}" name="Column2706"/>
    <tableColumn id="2721" xr3:uid="{AD3C4F53-A3C4-45C3-B3E2-DF901A59B140}" name="Column2707"/>
    <tableColumn id="2722" xr3:uid="{7A63E82E-018E-4790-A2D9-64C45B11F1A3}" name="Column2708"/>
    <tableColumn id="2723" xr3:uid="{78B70A5C-E376-4FCC-88E0-5F37B11E5179}" name="Column2709"/>
    <tableColumn id="2724" xr3:uid="{036B6663-9626-49BD-A726-F13CF76B3458}" name="Column2710"/>
    <tableColumn id="2725" xr3:uid="{9ED56592-C258-4847-AD02-9B05943858ED}" name="Column2711"/>
    <tableColumn id="2726" xr3:uid="{BEED7D36-03A2-4B09-B282-30CBE22E58A1}" name="Column2712"/>
    <tableColumn id="2727" xr3:uid="{07A51AFD-D8BF-4164-AD3B-ECDCDD0FCBD2}" name="Column2713"/>
    <tableColumn id="2728" xr3:uid="{CF58A0CB-A5AE-429B-97DB-191BB972F4E6}" name="Column2714"/>
    <tableColumn id="2729" xr3:uid="{FA99FA68-B95A-49C4-9C68-583134D3A779}" name="Column2715"/>
    <tableColumn id="2730" xr3:uid="{360775B7-8433-4AB5-8CEF-BCFBFE2522F6}" name="Column2716"/>
    <tableColumn id="2731" xr3:uid="{32D670B1-DDF1-487C-BFCF-A11831CF1D39}" name="Column2717"/>
    <tableColumn id="2732" xr3:uid="{268806D9-A0F4-43EF-9CBC-981751F905A2}" name="Column2718"/>
    <tableColumn id="2733" xr3:uid="{77072AC6-7F89-4E9F-8583-95FC3F17E6F4}" name="Column2719"/>
    <tableColumn id="2734" xr3:uid="{241512C0-788B-489D-85AA-5FDCDCB585EA}" name="Column2720"/>
    <tableColumn id="2735" xr3:uid="{3C3F9461-3028-45C1-97C3-971F62B8F45F}" name="Column2721"/>
    <tableColumn id="2736" xr3:uid="{CD221A33-3A6D-4D59-9177-81ED09A9826D}" name="Column2722"/>
    <tableColumn id="2737" xr3:uid="{FB242A5D-A464-4428-92FF-E839DDFBF4CD}" name="Column2723"/>
    <tableColumn id="2738" xr3:uid="{B96A7236-AFFE-451A-B160-819D8D3699C8}" name="Column2724"/>
    <tableColumn id="2739" xr3:uid="{26ACC688-10A9-44AE-8BC8-77A64010816F}" name="Column2725"/>
    <tableColumn id="2740" xr3:uid="{5A7434FB-ABED-425F-8FBD-611EE5E9EAB7}" name="Column2726"/>
    <tableColumn id="2741" xr3:uid="{60267099-B918-4753-901E-126888334024}" name="Column2727"/>
    <tableColumn id="2742" xr3:uid="{331248A8-1714-4A1E-95D0-04312EDE336C}" name="Column2728"/>
    <tableColumn id="2743" xr3:uid="{F60AB6CC-26F5-453F-869C-FEFF942FDFCD}" name="Column2729"/>
    <tableColumn id="2744" xr3:uid="{239909FB-0B4A-40F0-A0F8-B8F690656797}" name="Column2730"/>
    <tableColumn id="2745" xr3:uid="{4BCFE8C4-6FD5-49EC-9EDE-5FF3D7ABD62A}" name="Column2731"/>
    <tableColumn id="2746" xr3:uid="{2304835E-D3D1-44F3-91EC-85A2DB1E1A87}" name="Column2732"/>
    <tableColumn id="2747" xr3:uid="{3DD0584A-6F66-4E31-94B1-DD50CCE3362A}" name="Column2733"/>
    <tableColumn id="2748" xr3:uid="{7DED323F-B160-4E34-A9A9-BDEC2B46E0D3}" name="Column2734"/>
    <tableColumn id="2749" xr3:uid="{BC7E5ED0-622E-46F7-85CF-18C951D2EBF4}" name="Column2735"/>
    <tableColumn id="2750" xr3:uid="{9E4FADE2-C89C-49D2-B129-13676315BE51}" name="Column2736"/>
    <tableColumn id="2751" xr3:uid="{9C01B31E-91D8-4313-8D5B-17EFE2B79217}" name="Column2737"/>
    <tableColumn id="2752" xr3:uid="{1C6E4801-F025-482E-A026-5F33BEC9D80B}" name="Column2738"/>
    <tableColumn id="2753" xr3:uid="{E6A35548-7E8C-4063-A09D-229A0BAD6E51}" name="Column2739"/>
    <tableColumn id="2754" xr3:uid="{63C6025D-3B06-4DDC-BE3F-70C58F798B20}" name="Column2740"/>
    <tableColumn id="2755" xr3:uid="{52979BC4-CAE8-406F-82A5-159F237ED4B3}" name="Column2741"/>
    <tableColumn id="2756" xr3:uid="{502B224B-5B98-475B-B28F-CDB83D8E4C3E}" name="Column2742"/>
    <tableColumn id="2757" xr3:uid="{05B75499-A3C0-4FDE-87C8-4772C8361FC0}" name="Column2743"/>
    <tableColumn id="2758" xr3:uid="{51DA1B13-6C5F-4FAC-869E-DEF94A32C1C7}" name="Column2744"/>
    <tableColumn id="2759" xr3:uid="{D2CF1677-4CBD-444E-80DA-909D6876F3FC}" name="Column2745"/>
    <tableColumn id="2760" xr3:uid="{F2F38A5C-2022-44B7-B981-A6ED6DC7D873}" name="Column2746"/>
    <tableColumn id="2761" xr3:uid="{C4497A33-B4C3-42C8-9109-FCF0192CB95F}" name="Column2747"/>
    <tableColumn id="2762" xr3:uid="{0D913BC7-D511-4BDE-A3E8-856800C72102}" name="Column2748"/>
    <tableColumn id="2763" xr3:uid="{F80AD232-3694-4F7B-8DEA-27986BD431AC}" name="Column2749"/>
    <tableColumn id="2764" xr3:uid="{ABAB0717-DF74-4369-99D4-AAFA0F2EFF5A}" name="Column2750"/>
    <tableColumn id="2765" xr3:uid="{5ADEFCD6-4BB6-4629-81E1-F03F0A64F6FA}" name="Column2751"/>
    <tableColumn id="2766" xr3:uid="{04C3A8E9-B280-48EA-B2BB-19085936095F}" name="Column2752"/>
    <tableColumn id="2767" xr3:uid="{31576F8F-5F05-45F8-83B1-1D96A195390D}" name="Column2753"/>
    <tableColumn id="2768" xr3:uid="{89293F1D-AFE2-4F25-AF56-4F92D24C9BF4}" name="Column2754"/>
    <tableColumn id="2769" xr3:uid="{673D7D2F-F46A-4F7A-A3EA-9769B103BC6E}" name="Column2755"/>
    <tableColumn id="2770" xr3:uid="{C441D51B-0124-4B63-847A-4EC8FDFB7363}" name="Column2756"/>
    <tableColumn id="2771" xr3:uid="{A297E468-2E5C-4D91-99DE-5DEBE39A0D0D}" name="Column2757"/>
    <tableColumn id="2772" xr3:uid="{3DAFE5EC-E339-4B74-ACEC-5F3BC820E1CF}" name="Column2758"/>
    <tableColumn id="2773" xr3:uid="{E91FFADE-771D-4B5C-91AB-7A609A05960C}" name="Column2759"/>
    <tableColumn id="2774" xr3:uid="{43E5E59B-F1BC-4ED7-BEEE-26A46B35486B}" name="Column2760"/>
    <tableColumn id="2775" xr3:uid="{65FDA1C8-FA81-407E-8940-9807626C6FDD}" name="Column2761"/>
    <tableColumn id="2776" xr3:uid="{66F97082-B49D-498E-8112-9B98E7C9B279}" name="Column2762"/>
    <tableColumn id="2777" xr3:uid="{96951E35-3AF8-438A-B652-C8568CE8B5CE}" name="Column2763"/>
    <tableColumn id="2778" xr3:uid="{55B483E5-703C-4D9E-8FA2-864B0FA40FAE}" name="Column2764"/>
    <tableColumn id="2779" xr3:uid="{35370EA5-B6EF-4B3F-AC0D-1EFFF95D03E2}" name="Column2765"/>
    <tableColumn id="2780" xr3:uid="{A1A9C640-1B93-4CF6-A793-16749D14DD4D}" name="Column2766"/>
    <tableColumn id="2781" xr3:uid="{0B6FCEBB-773B-498E-99FA-45718B899C1A}" name="Column2767"/>
    <tableColumn id="2782" xr3:uid="{472DAB9A-96F4-4591-BC51-258082DED2E5}" name="Column2768"/>
    <tableColumn id="2783" xr3:uid="{680FD22D-0620-40D9-972F-6F9F557E80AB}" name="Column2769"/>
    <tableColumn id="2784" xr3:uid="{F52FBD74-96C9-4DCB-88E1-1E29F09D7407}" name="Column2770"/>
    <tableColumn id="2785" xr3:uid="{77C292C4-AA35-40F3-BC30-D2166A270BBA}" name="Column2771"/>
    <tableColumn id="2786" xr3:uid="{F986CFBF-1182-4F8D-87D3-D74BBA87DFB8}" name="Column2772"/>
    <tableColumn id="2787" xr3:uid="{E4C6D568-BD8E-4AB2-952C-FD7B36F64DD8}" name="Column2773"/>
    <tableColumn id="2788" xr3:uid="{C62BC434-BE59-44E0-9CF4-77007AD4DE00}" name="Column2774"/>
    <tableColumn id="2789" xr3:uid="{F294C5AC-F805-4C69-B7B7-A6F9ACA5CE7E}" name="Column2775"/>
    <tableColumn id="2790" xr3:uid="{9CBDDE14-69F1-4A07-AD26-28E44359295D}" name="Column2776"/>
    <tableColumn id="2791" xr3:uid="{4D41A219-8A52-4505-8399-2D4CD4C6961B}" name="Column2777"/>
    <tableColumn id="2792" xr3:uid="{5B803A88-0D25-455B-90F8-4880C659EAA7}" name="Column2778"/>
    <tableColumn id="2793" xr3:uid="{87EDFE8B-F3BB-42AC-8220-49DBF7231ED0}" name="Column2779"/>
    <tableColumn id="2794" xr3:uid="{9BFA1853-7231-4DD0-88E5-E090D014030B}" name="Column2780"/>
    <tableColumn id="2795" xr3:uid="{6900C45F-FB92-481D-AE63-839C1D8D344D}" name="Column2781"/>
    <tableColumn id="2796" xr3:uid="{FCDAFEB2-B27C-4B8C-B4D9-2910933ADA87}" name="Column2782"/>
    <tableColumn id="2797" xr3:uid="{0DB9EADD-CBF8-4D27-AA11-539624E776F3}" name="Column2783"/>
    <tableColumn id="2798" xr3:uid="{24BBF928-7E1F-4C33-9AFA-084C49950487}" name="Column2784"/>
    <tableColumn id="2799" xr3:uid="{76629F82-C662-4ACB-8B15-0AF4819DE6C6}" name="Column2785"/>
    <tableColumn id="2800" xr3:uid="{D2608DA4-471E-4233-A0D4-42114B754EFC}" name="Column2786"/>
    <tableColumn id="2801" xr3:uid="{4051CC05-D075-4850-BF61-9988A1A6DC1D}" name="Column2787"/>
    <tableColumn id="2802" xr3:uid="{2FC6538E-2096-4FDA-9694-B0336FB279B6}" name="Column2788"/>
    <tableColumn id="2803" xr3:uid="{6ABF3567-8D8E-4DF5-A8ED-5E722A5B1853}" name="Column2789"/>
    <tableColumn id="2804" xr3:uid="{FE4DBF63-280C-4FB1-9B43-64CA95175320}" name="Column2790"/>
    <tableColumn id="2805" xr3:uid="{36345699-C800-462A-A92A-5DB138DFDF29}" name="Column2791"/>
    <tableColumn id="2806" xr3:uid="{82433605-31C4-4EFE-9155-3B2E5D509349}" name="Column2792"/>
    <tableColumn id="2807" xr3:uid="{9C0CCAEB-404F-4074-B082-CF2524EB7BD6}" name="Column2793"/>
    <tableColumn id="2808" xr3:uid="{7A0F5523-5DA4-4F43-99DF-64DED6C420D0}" name="Column2794"/>
    <tableColumn id="2809" xr3:uid="{C52757DE-2EEF-4E90-B2DF-3D2667078596}" name="Column2795"/>
    <tableColumn id="2810" xr3:uid="{8B55BEBB-6BA8-4C37-9A67-6F6ADDA9C010}" name="Column2796"/>
    <tableColumn id="2811" xr3:uid="{00BDD904-5C61-4E0E-83E6-9D45B4E7017B}" name="Column2797"/>
    <tableColumn id="2812" xr3:uid="{FAB4A2F7-8935-4259-8C7E-2328CD354F5A}" name="Column2798"/>
    <tableColumn id="2813" xr3:uid="{1FB1222E-DF02-4268-9D17-A5BF9D21BCFC}" name="Column2799"/>
    <tableColumn id="2814" xr3:uid="{6614D27E-7D44-4CF0-AA6F-EF20B2676B85}" name="Column2800"/>
    <tableColumn id="2815" xr3:uid="{61CB4336-EEDE-4959-B692-FD55E6CCE03E}" name="Column2801"/>
    <tableColumn id="2816" xr3:uid="{FF054045-509A-47B3-8809-DA171279703A}" name="Column2802"/>
    <tableColumn id="2817" xr3:uid="{2EFCEECA-4964-4C4D-86D2-A960C2F90E59}" name="Column2803"/>
    <tableColumn id="2818" xr3:uid="{9953271D-5F37-4EE2-8532-52D9A22CB8BF}" name="Column2804"/>
    <tableColumn id="2819" xr3:uid="{F01F88FF-A7F6-4EED-84B5-56C3EC825A13}" name="Column2805"/>
    <tableColumn id="2820" xr3:uid="{D6D8C7C6-0EEB-4533-AF59-CDCEB8519A3B}" name="Column2806"/>
    <tableColumn id="2821" xr3:uid="{2DEFE5B3-982D-4D7D-89E3-A79F74BE0BE5}" name="Column2807"/>
    <tableColumn id="2822" xr3:uid="{5AC5325A-1529-416D-B5BF-073F6070FB9B}" name="Column2808"/>
    <tableColumn id="2823" xr3:uid="{1C4BB0BE-2037-4344-9BC0-74EBDFEF20E9}" name="Column2809"/>
    <tableColumn id="2824" xr3:uid="{47075146-0F21-48BC-B799-579CDB68688B}" name="Column2810"/>
    <tableColumn id="2825" xr3:uid="{07B70C1C-27EE-4FDF-8A66-5F7C2E67403A}" name="Column2811"/>
    <tableColumn id="2826" xr3:uid="{899EED0C-A32C-4091-8EC1-BAE66CB70360}" name="Column2812"/>
    <tableColumn id="2827" xr3:uid="{8126A7CF-5006-4481-B5FA-79662CC95B60}" name="Column2813"/>
    <tableColumn id="2828" xr3:uid="{693F4203-FDC5-4310-9738-A84B76EDA1A1}" name="Column2814"/>
    <tableColumn id="2829" xr3:uid="{1E29C809-AB89-4A3A-9B66-F2A6474B0D84}" name="Column2815"/>
    <tableColumn id="2830" xr3:uid="{C05F619F-46F5-418E-AB82-87EBBEEDD62A}" name="Column2816"/>
    <tableColumn id="2831" xr3:uid="{24AF0E8D-589B-4C6C-8BB6-06FC47638106}" name="Column2817"/>
    <tableColumn id="2832" xr3:uid="{FEFFCBFF-F3B9-457A-8FB3-6D2B4920FB33}" name="Column2818"/>
    <tableColumn id="2833" xr3:uid="{9162A0F1-4836-4B8C-8F67-B0F76A96ED0A}" name="Column2819"/>
    <tableColumn id="2834" xr3:uid="{650A1BBA-08B9-4B86-82A5-A52F0617C273}" name="Column2820"/>
    <tableColumn id="2835" xr3:uid="{48E60634-861D-4852-A8A4-A0C35D133BD0}" name="Column2821"/>
    <tableColumn id="2836" xr3:uid="{BB23C3E4-2CA7-473E-97EC-92F269CEF8E1}" name="Column2822"/>
    <tableColumn id="2837" xr3:uid="{BF6C0050-92CA-4238-A107-F5A21E4633EB}" name="Column2823"/>
    <tableColumn id="2838" xr3:uid="{D547A52A-CD8B-44FB-B1BB-E8B9D7AAF246}" name="Column2824"/>
    <tableColumn id="2839" xr3:uid="{4E17E6B7-6F6E-4D95-9F98-A35E696ED62A}" name="Column2825"/>
    <tableColumn id="2840" xr3:uid="{E6A9ACB7-2A9D-4485-90EA-707E315035A1}" name="Column2826"/>
    <tableColumn id="2841" xr3:uid="{62AADFDF-68A6-4565-BE1A-68BDC3AFC18C}" name="Column2827"/>
    <tableColumn id="2842" xr3:uid="{891B350F-7026-4481-9847-040D55E78C49}" name="Column2828"/>
    <tableColumn id="2843" xr3:uid="{2B774ED5-09D8-4F29-B2F8-8C5ED20F468F}" name="Column2829"/>
    <tableColumn id="2844" xr3:uid="{D6FABCC1-AEE0-4846-B944-D36FE83F5128}" name="Column2830"/>
    <tableColumn id="2845" xr3:uid="{4A05402E-3A38-4B9D-9378-73DF6D4D6829}" name="Column2831"/>
    <tableColumn id="2846" xr3:uid="{4A94D70B-D761-409F-9110-195D14A108FC}" name="Column2832"/>
    <tableColumn id="2847" xr3:uid="{EB3AC768-75DF-4E05-9BBA-35DECE0DA43C}" name="Column2833"/>
    <tableColumn id="2848" xr3:uid="{8F7A0B29-947D-41DA-BA19-22554BF90912}" name="Column2834"/>
    <tableColumn id="2849" xr3:uid="{E9F8243A-1C2F-46AB-90A3-7159CD284E2A}" name="Column2835"/>
    <tableColumn id="2850" xr3:uid="{0615AF9C-011C-4532-BA4F-AD4B6BF79DFB}" name="Column2836"/>
    <tableColumn id="2851" xr3:uid="{65120A9E-8352-423D-B15A-B841943EF17C}" name="Column2837"/>
    <tableColumn id="2852" xr3:uid="{2B25D08D-985A-46FE-81E5-6A5BF906BFFD}" name="Column2838"/>
    <tableColumn id="2853" xr3:uid="{55F8497A-EBB8-4E10-87D3-F10D0C8A2B23}" name="Column2839"/>
    <tableColumn id="2854" xr3:uid="{587F77FF-82B7-4528-85EA-3513AF0F8458}" name="Column2840"/>
    <tableColumn id="2855" xr3:uid="{2B685FFA-87B5-4F5B-9432-7B0C8595170B}" name="Column2841"/>
    <tableColumn id="2856" xr3:uid="{C2AAAD4B-6027-4F76-95DD-5D96FCD929BE}" name="Column2842"/>
    <tableColumn id="2857" xr3:uid="{0FAB546B-FC51-46B7-886B-726989AC4BF2}" name="Column2843"/>
    <tableColumn id="2858" xr3:uid="{FF5F9A48-7AEE-48E2-A9A5-B4DC336A8DBF}" name="Column2844"/>
    <tableColumn id="2859" xr3:uid="{10161394-10BB-4282-8C21-B4127AFED1B5}" name="Column2845"/>
    <tableColumn id="2860" xr3:uid="{D0120841-F0AA-403D-AE88-4F9BA1D96C5E}" name="Column2846"/>
    <tableColumn id="2861" xr3:uid="{C4017386-7A04-46D0-998C-04DB3B4AE8D6}" name="Column2847"/>
    <tableColumn id="2862" xr3:uid="{0D129688-B7C1-4E1C-9B7A-B54A0337F71B}" name="Column2848"/>
    <tableColumn id="2863" xr3:uid="{DD06C542-9E0B-4560-836E-74EC1E36B2F2}" name="Column2849"/>
    <tableColumn id="2864" xr3:uid="{3D62EB3A-85D1-47A0-AD0B-1A2E16FC076A}" name="Column2850"/>
    <tableColumn id="2865" xr3:uid="{D18B4D44-BFCE-4D37-8E32-56E5776765B3}" name="Column2851"/>
    <tableColumn id="2866" xr3:uid="{3900A2E2-81B7-4476-A496-50912E52306D}" name="Column2852"/>
    <tableColumn id="2867" xr3:uid="{AF570612-8CC3-460C-8271-D952672E29B9}" name="Column2853"/>
    <tableColumn id="2868" xr3:uid="{6E0EA0E8-4864-4291-BC6B-2C0BB6D48D64}" name="Column2854"/>
    <tableColumn id="2869" xr3:uid="{0392FB8A-29DD-479C-B64D-AFF0153C2B5C}" name="Column2855"/>
    <tableColumn id="2870" xr3:uid="{ACE4EA7C-E042-42E2-90E9-E96FADF9BF05}" name="Column2856"/>
    <tableColumn id="2871" xr3:uid="{FAE06373-AE47-4BAC-8822-7CC94AFA59A5}" name="Column2857"/>
    <tableColumn id="2872" xr3:uid="{44EB9DD9-0C61-4089-B903-A3502CE8F279}" name="Column2858"/>
    <tableColumn id="2873" xr3:uid="{594EE70B-AF07-4B71-B842-3EC46636D678}" name="Column2859"/>
    <tableColumn id="2874" xr3:uid="{4307ABAC-AEE0-46CB-9AEB-02BEEB377D5A}" name="Column2860"/>
    <tableColumn id="2875" xr3:uid="{1DD6E414-B0DF-44E8-8460-4D5969224AB7}" name="Column2861"/>
    <tableColumn id="2876" xr3:uid="{D635F3E9-BE9E-4587-BB27-EEB71AE68078}" name="Column2862"/>
    <tableColumn id="2877" xr3:uid="{D9005124-75E3-4330-902C-8AD613DC1A19}" name="Column2863"/>
    <tableColumn id="2878" xr3:uid="{8AE79DC5-3270-4579-A261-9850FDA6B314}" name="Column2864"/>
    <tableColumn id="2879" xr3:uid="{0B356FD3-0238-427F-B901-AEF5EDD322AF}" name="Column2865"/>
    <tableColumn id="2880" xr3:uid="{F6E8D7C0-A540-4154-B756-7031EB5DF850}" name="Column2866"/>
    <tableColumn id="2881" xr3:uid="{5917D9D7-6A72-4238-B83F-5A659B2351B7}" name="Column2867"/>
    <tableColumn id="2882" xr3:uid="{38A1F13A-2AFD-4231-AB79-7C0033B99EAB}" name="Column2868"/>
    <tableColumn id="2883" xr3:uid="{8979F1B4-97E6-46A2-B6BA-14BA122C6932}" name="Column2869"/>
    <tableColumn id="2884" xr3:uid="{09B7130E-B513-4B34-BC7C-44AB997B289B}" name="Column2870"/>
    <tableColumn id="2885" xr3:uid="{34DA25A9-5671-4656-A233-96807ACD879E}" name="Column2871"/>
    <tableColumn id="2886" xr3:uid="{D0FBD37B-9F0B-4103-9C42-7FEC616A92D8}" name="Column2872"/>
    <tableColumn id="2887" xr3:uid="{46253B41-19A7-437C-B7E3-55D389EA811E}" name="Column2873"/>
    <tableColumn id="2888" xr3:uid="{DD06A641-2FA9-4000-87DE-8F8F0AEACD69}" name="Column2874"/>
    <tableColumn id="2889" xr3:uid="{0C30668C-FBEC-4497-9B9B-8BB26D3ABA9A}" name="Column2875"/>
    <tableColumn id="2890" xr3:uid="{79EACADE-2962-47F2-AA94-BE69BD2D0570}" name="Column2876"/>
    <tableColumn id="2891" xr3:uid="{C967C494-164F-4829-AD45-49AE6919D2FD}" name="Column2877"/>
    <tableColumn id="2892" xr3:uid="{4EBFCE35-8DCF-4EE1-B746-581EBF2424E9}" name="Column2878"/>
    <tableColumn id="2893" xr3:uid="{59FDA029-D565-44B0-96D4-3B7CCC2C5D8E}" name="Column2879"/>
    <tableColumn id="2894" xr3:uid="{699D45B2-0BB6-4281-845E-799D11C9CDB4}" name="Column2880"/>
    <tableColumn id="2895" xr3:uid="{AFCAFF02-E645-4A2C-ADFD-08092C7F68E9}" name="Column2881"/>
    <tableColumn id="2896" xr3:uid="{84763059-D5B7-457B-AD9D-A8E4D31BAF87}" name="Column2882"/>
    <tableColumn id="2897" xr3:uid="{75BA3A96-DFFC-4A96-9D47-C6CFA682DB2F}" name="Column2883"/>
    <tableColumn id="2898" xr3:uid="{8758F9D5-4467-4FFD-9402-E5C6046B6B1F}" name="Column2884"/>
    <tableColumn id="2899" xr3:uid="{648AA3A8-226C-4831-8C66-06D60D3ADF36}" name="Column2885"/>
    <tableColumn id="2900" xr3:uid="{A23DDE7E-4D79-4B9A-BF25-BD990DD41E15}" name="Column2886"/>
    <tableColumn id="2901" xr3:uid="{BDBF87CA-D96D-48A7-98F3-465D249B0E3B}" name="Column2887"/>
    <tableColumn id="2902" xr3:uid="{001C5233-911E-4928-96E1-2EC26C9C12B5}" name="Column2888"/>
    <tableColumn id="2903" xr3:uid="{435F9CF8-2462-47DB-B62E-F258CC4AFA0A}" name="Column2889"/>
    <tableColumn id="2904" xr3:uid="{67E04834-0179-4905-B000-B026EA32138F}" name="Column2890"/>
    <tableColumn id="2905" xr3:uid="{F1873A0C-2CEE-44BD-B3BC-6CC88CE75829}" name="Column2891"/>
    <tableColumn id="2906" xr3:uid="{D9BECBFA-74E2-4F58-BB7A-C7A9696E62EF}" name="Column2892"/>
    <tableColumn id="2907" xr3:uid="{FFB82147-572F-4D37-88FB-030ED350DE0F}" name="Column2893"/>
    <tableColumn id="2908" xr3:uid="{D2D59238-9DC2-4AF9-9BB0-BF8A0055A19B}" name="Column2894"/>
    <tableColumn id="2909" xr3:uid="{BEA9378D-B300-431C-BE65-435F7F79FD28}" name="Column2895"/>
    <tableColumn id="2910" xr3:uid="{3AD9AFC3-A86A-40DA-A511-0F42D3AF4104}" name="Column2896"/>
    <tableColumn id="2911" xr3:uid="{76DA20DC-CADF-4EE5-B533-2D94BC6E0DEA}" name="Column2897"/>
    <tableColumn id="2912" xr3:uid="{F20D3263-DD66-42F9-A8EC-13CB26A313D7}" name="Column2898"/>
    <tableColumn id="2913" xr3:uid="{D2627F12-1A45-4DB6-9B26-FEFF783CDA8F}" name="Column2899"/>
    <tableColumn id="2914" xr3:uid="{B55292D4-4F07-436C-BB36-B20BEA7CBD2A}" name="Column2900"/>
    <tableColumn id="2915" xr3:uid="{13FBA04C-D36A-4F18-B39E-A12E8FE4B00B}" name="Column2901"/>
    <tableColumn id="2916" xr3:uid="{3B3F7F9F-9C7A-4CCF-8DF8-D410EB25CBD2}" name="Column2902"/>
    <tableColumn id="2917" xr3:uid="{D508D06C-4AFC-43B8-B33C-2B7E113625E3}" name="Column2903"/>
    <tableColumn id="2918" xr3:uid="{6966D7C2-D6CF-4C6B-A66C-9E611461402C}" name="Column2904"/>
    <tableColumn id="2919" xr3:uid="{0538CCFC-44F0-456F-A8F3-1DCACB2323F0}" name="Column2905"/>
    <tableColumn id="2920" xr3:uid="{E5FE80A2-ED76-4136-8004-A2ACF85046BC}" name="Column2906"/>
    <tableColumn id="2921" xr3:uid="{E0C59C28-7548-46FB-8F12-C0C5DD0CBC67}" name="Column2907"/>
    <tableColumn id="2922" xr3:uid="{56B0ADB4-BF59-4EBB-9951-CBEAC3C9D7E6}" name="Column2908"/>
    <tableColumn id="2923" xr3:uid="{BE1CE8F7-41E1-479D-912B-24C8F13A5E0E}" name="Column2909"/>
    <tableColumn id="2924" xr3:uid="{2986A4AF-D009-47F5-8360-A4D945899D16}" name="Column2910"/>
    <tableColumn id="2925" xr3:uid="{2EDAF0C4-4DC4-417A-B54C-172C2BFC5D94}" name="Column2911"/>
    <tableColumn id="2926" xr3:uid="{4AC4FDD0-B433-458F-8190-374ECD535730}" name="Column2912"/>
    <tableColumn id="2927" xr3:uid="{C8D7B35D-8D96-43FC-8542-E1D46CA75DF6}" name="Column2913"/>
    <tableColumn id="2928" xr3:uid="{15CD0F76-36F7-4C68-A4AE-3D9C6040BDCC}" name="Column2914"/>
    <tableColumn id="2929" xr3:uid="{5C866AEB-3818-4F90-BBDF-D673118833DA}" name="Column2915"/>
    <tableColumn id="2930" xr3:uid="{5B04B2EF-4A7B-4DDB-9931-483E05F4BD2B}" name="Column2916"/>
    <tableColumn id="2931" xr3:uid="{91FBD56C-FC9F-4B7F-8F6C-EA7286EFB51A}" name="Column2917"/>
    <tableColumn id="2932" xr3:uid="{55A73379-A4A5-43A5-80A7-906928989CB5}" name="Column2918"/>
    <tableColumn id="2933" xr3:uid="{F7CB85FE-BBAB-4B6F-AD60-8FE41E43F011}" name="Column2919"/>
    <tableColumn id="2934" xr3:uid="{0FB4B6A0-F652-4156-8436-02F82D09C235}" name="Column2920"/>
    <tableColumn id="2935" xr3:uid="{81836B57-7046-4987-8215-0293D6562359}" name="Column2921"/>
    <tableColumn id="2936" xr3:uid="{7D03DF0A-462F-4DFA-B6C9-CBA67FA0BCFD}" name="Column2922"/>
    <tableColumn id="2937" xr3:uid="{2B6BB152-6A9B-4F94-90CF-091C93E6D6AC}" name="Column2923"/>
    <tableColumn id="2938" xr3:uid="{051AC1DF-4F6D-4A9F-B6E8-9573B269F2F6}" name="Column2924"/>
    <tableColumn id="2939" xr3:uid="{D47F3410-23CD-41F6-AC52-B3A52A1F1339}" name="Column2925"/>
    <tableColumn id="2940" xr3:uid="{07C6E3D1-9870-47F4-A529-37B250158804}" name="Column2926"/>
    <tableColumn id="2941" xr3:uid="{2C8FD7D9-230E-49D5-82B2-FBB589B82675}" name="Column2927"/>
    <tableColumn id="2942" xr3:uid="{56AEDE7D-367F-410B-8A72-7D7CE3BE90F6}" name="Column2928"/>
    <tableColumn id="2943" xr3:uid="{D9DCB2B2-75C0-4199-A7B0-FD4302A9F78C}" name="Column2929"/>
    <tableColumn id="2944" xr3:uid="{95F98415-E17B-433C-B77C-E68D8B366CC1}" name="Column2930"/>
    <tableColumn id="2945" xr3:uid="{653F2902-0BA2-4F04-95CF-EF4C9CAFD654}" name="Column2931"/>
    <tableColumn id="2946" xr3:uid="{3A0AE9A7-0AA1-4DCF-966D-435CC2DA5D47}" name="Column2932"/>
    <tableColumn id="2947" xr3:uid="{662EEC20-A835-4034-A766-832DDD46CAEA}" name="Column2933"/>
    <tableColumn id="2948" xr3:uid="{507166FB-DEA6-4239-A7C9-D4CA16013D96}" name="Column2934"/>
    <tableColumn id="2949" xr3:uid="{D099801D-C07E-46F5-8EA7-72A88C9B2CEE}" name="Column2935"/>
    <tableColumn id="2950" xr3:uid="{C9CEA4AA-2E54-4132-A002-D955D97B1A75}" name="Column2936"/>
    <tableColumn id="2951" xr3:uid="{1C77CE9C-8B9F-4437-8688-6A5001185A81}" name="Column2937"/>
    <tableColumn id="2952" xr3:uid="{AD6B43E2-2CB8-4089-9A92-88BD07FFEE38}" name="Column2938"/>
    <tableColumn id="2953" xr3:uid="{6F7B2F5B-D34C-4942-A17D-D9BDC88163E0}" name="Column2939"/>
    <tableColumn id="2954" xr3:uid="{2BEADBC9-75DF-45D8-85F9-1B8001A290CD}" name="Column2940"/>
    <tableColumn id="2955" xr3:uid="{DB41977C-8DDE-44F9-8DF8-17DFB87295A1}" name="Column2941"/>
    <tableColumn id="2956" xr3:uid="{DB09C1ED-5140-4D42-AA0C-FC7E75652B7E}" name="Column2942"/>
    <tableColumn id="2957" xr3:uid="{53248979-A645-4AAD-AE1D-B7E07189922A}" name="Column2943"/>
    <tableColumn id="2958" xr3:uid="{C6881C59-A04F-48E1-BF35-60D6AE1B04F6}" name="Column2944"/>
    <tableColumn id="2959" xr3:uid="{92052361-295A-4000-832C-8E9D168C2352}" name="Column2945"/>
    <tableColumn id="2960" xr3:uid="{63ABF36B-AC0F-4736-8D03-BBB42F6E799D}" name="Column2946"/>
    <tableColumn id="2961" xr3:uid="{F6FA9817-FC67-4431-94A8-DDA776EBF1C4}" name="Column2947"/>
    <tableColumn id="2962" xr3:uid="{44BA49B8-CE1D-4D24-BE85-2000FF689F12}" name="Column2948"/>
    <tableColumn id="2963" xr3:uid="{752C8FE1-C4DC-41AE-AA0B-9CDD4DB5D2C8}" name="Column2949"/>
    <tableColumn id="2964" xr3:uid="{90245DEE-2635-486B-863C-540D5ADBFBB5}" name="Column2950"/>
    <tableColumn id="2965" xr3:uid="{70DD7B41-1A46-48D0-91DC-F37325DA349A}" name="Column2951"/>
    <tableColumn id="2966" xr3:uid="{69F77C0C-C0D5-4DB7-BDA3-0D58EA3FF3BB}" name="Column2952"/>
    <tableColumn id="2967" xr3:uid="{F50710ED-882B-4370-A0E2-40D70CF09A84}" name="Column2953"/>
    <tableColumn id="2968" xr3:uid="{178E9E29-7D29-4695-AA6E-9619BEA54460}" name="Column2954"/>
    <tableColumn id="2969" xr3:uid="{77D97E71-AAF3-43C7-8E80-F1A5D9736692}" name="Column2955"/>
    <tableColumn id="2970" xr3:uid="{D0568E93-5A9E-493E-AE8D-F81DD4FE20E6}" name="Column2956"/>
    <tableColumn id="2971" xr3:uid="{C1C8C7F6-4DAB-4F7E-9B4E-4732485025CC}" name="Column2957"/>
    <tableColumn id="2972" xr3:uid="{0C0B329D-570B-498F-934D-4EBD6D153C3F}" name="Column2958"/>
    <tableColumn id="2973" xr3:uid="{86D935B2-A0B8-4DFD-84AD-F692E57BEFC0}" name="Column2959"/>
    <tableColumn id="2974" xr3:uid="{47E454E5-E698-4B20-B4B5-8978403AC865}" name="Column2960"/>
    <tableColumn id="2975" xr3:uid="{55905456-DE5A-4B26-A98F-FA137D3D9ACA}" name="Column2961"/>
    <tableColumn id="2976" xr3:uid="{A3D1C416-578F-4141-896A-88C964E1A2D8}" name="Column2962"/>
    <tableColumn id="2977" xr3:uid="{BCF5A73D-07C8-400B-9D2E-A91BF4DD089E}" name="Column2963"/>
    <tableColumn id="2978" xr3:uid="{54BE1E63-2849-4020-9817-8CE740990389}" name="Column2964"/>
    <tableColumn id="2979" xr3:uid="{5B6BC982-484B-47F7-889D-1630FF6A10D7}" name="Column2965"/>
    <tableColumn id="2980" xr3:uid="{F63C713B-8D60-4355-BF67-EF99E5651B8E}" name="Column2966"/>
    <tableColumn id="2981" xr3:uid="{89B5CFEC-7EE0-44A7-BBD6-720BD652F821}" name="Column2967"/>
    <tableColumn id="2982" xr3:uid="{785D3FD4-7A22-4943-B4AE-2D437F5BE36D}" name="Column2968"/>
    <tableColumn id="2983" xr3:uid="{0B874C8D-AF60-4EFB-B92A-C9C17E79DD14}" name="Column2969"/>
    <tableColumn id="2984" xr3:uid="{0735EA99-841B-4267-8539-C26FACB48A09}" name="Column2970"/>
    <tableColumn id="2985" xr3:uid="{5FDE7FEC-3398-44C4-9F75-58CC2A861CCA}" name="Column2971"/>
    <tableColumn id="2986" xr3:uid="{8247701E-ABB6-426E-B81C-D4414B7A07D3}" name="Column2972"/>
    <tableColumn id="2987" xr3:uid="{B2E9AE48-B415-4BB2-9A50-E8B02768BDFB}" name="Column2973"/>
    <tableColumn id="2988" xr3:uid="{39354B94-8BA7-465A-A5C4-F08F83424E02}" name="Column2974"/>
    <tableColumn id="2989" xr3:uid="{6D715A82-3988-4BA0-854E-7F030AA694D5}" name="Column2975"/>
    <tableColumn id="2990" xr3:uid="{D8C262FE-ADEA-4BD9-97A1-9037160D22F7}" name="Column2976"/>
    <tableColumn id="2991" xr3:uid="{30114734-30AF-4E8F-994D-AC29CBE24DDE}" name="Column2977"/>
    <tableColumn id="2992" xr3:uid="{EC8E946E-F857-4342-9035-3920E73A6E3C}" name="Column2978"/>
    <tableColumn id="2993" xr3:uid="{DB55606C-E0D4-456D-916F-58E30469D352}" name="Column2979"/>
    <tableColumn id="2994" xr3:uid="{016A2FFD-1A76-4B12-A2C9-F7C4557F168B}" name="Column2980"/>
    <tableColumn id="2995" xr3:uid="{75AE59A2-F0F3-44C2-90B9-96A812153C80}" name="Column2981"/>
    <tableColumn id="2996" xr3:uid="{7413B456-B6C7-4EB2-88A4-D2568C8C570E}" name="Column2982"/>
    <tableColumn id="2997" xr3:uid="{347AD3CD-9FF4-4805-BD98-2FD006188C5A}" name="Column2983"/>
    <tableColumn id="2998" xr3:uid="{8610571D-9551-4BA4-9650-41FAB7BE2615}" name="Column2984"/>
    <tableColumn id="2999" xr3:uid="{FD61F02F-5311-4EDA-B91F-7EEE89570549}" name="Column2985"/>
    <tableColumn id="3000" xr3:uid="{5C4F6B3F-F3AA-4D87-8332-4465B65D5650}" name="Column2986"/>
    <tableColumn id="3001" xr3:uid="{AA9F4199-21A0-42D0-86B5-29BBF4E5B055}" name="Column2987"/>
    <tableColumn id="3002" xr3:uid="{AD09904F-3CCD-497E-9677-0CE6D4A19B54}" name="Column2988"/>
    <tableColumn id="3003" xr3:uid="{CF5E7F0C-EA35-40AB-93FC-0B86F50FA932}" name="Column2989"/>
    <tableColumn id="3004" xr3:uid="{6215A75E-1CE9-4706-920F-8AAE15EE7349}" name="Column2990"/>
    <tableColumn id="3005" xr3:uid="{02D6ED78-0E88-4865-BEA0-A5CB17E2A59E}" name="Column2991"/>
    <tableColumn id="3006" xr3:uid="{8B278A4D-24DE-406E-9C87-3CA158431B88}" name="Column2992"/>
    <tableColumn id="3007" xr3:uid="{518DAA30-D0B8-465F-B728-5E93D8A260DE}" name="Column2993"/>
    <tableColumn id="3008" xr3:uid="{24AA4D79-11D4-4B00-84E1-E98E888EDBAB}" name="Column2994"/>
    <tableColumn id="3009" xr3:uid="{34BB4FC7-6B5F-46BF-A3C6-F5C95536B7BE}" name="Column2995"/>
    <tableColumn id="3010" xr3:uid="{00EF15AC-57F7-40B0-939A-458CFF3B027E}" name="Column2996"/>
    <tableColumn id="3011" xr3:uid="{371A5CBD-BBA7-49B9-A6C9-1F057630726E}" name="Column2997"/>
    <tableColumn id="3012" xr3:uid="{A2E7DE94-7A04-49DC-A24C-7BEBCAC84D5C}" name="Column2998"/>
    <tableColumn id="3013" xr3:uid="{7CDE6F6B-BFF3-451D-AD88-A23EA36E4960}" name="Column2999"/>
    <tableColumn id="3014" xr3:uid="{A9AA88AC-F406-4705-A490-9C3F0D168E01}" name="Column3000"/>
    <tableColumn id="3015" xr3:uid="{798960B9-BF21-4386-9EC2-EE7D5BB0DCF1}" name="Column3001"/>
    <tableColumn id="3016" xr3:uid="{3F6511CD-FF49-4959-9FE6-55648B2FC2CD}" name="Column3002"/>
    <tableColumn id="3017" xr3:uid="{8DC679A1-C864-448E-935A-9402064BE7C3}" name="Column3003"/>
    <tableColumn id="3018" xr3:uid="{9783924E-4467-4614-B483-8A42763922C4}" name="Column3004"/>
    <tableColumn id="3019" xr3:uid="{52F7BDF9-B15F-46B8-804E-A9929FAEDB6B}" name="Column3005"/>
    <tableColumn id="3020" xr3:uid="{58DF6354-F402-475C-AC2B-C5E2EAAC5AEC}" name="Column3006"/>
    <tableColumn id="3021" xr3:uid="{2A28C195-D6D7-4F66-9FF6-EB329113BCDA}" name="Column3007"/>
    <tableColumn id="3022" xr3:uid="{DD0BE0D8-DF99-46A0-B059-3AC6D13B27DA}" name="Column3008"/>
    <tableColumn id="3023" xr3:uid="{01B6F87C-AEF2-485E-906D-F2547D4D69C9}" name="Column3009"/>
    <tableColumn id="3024" xr3:uid="{CBED056D-762D-4387-8B22-9FA2FFD7C51E}" name="Column3010"/>
    <tableColumn id="3025" xr3:uid="{956065AD-7A3F-48DE-B52B-29E2E2033571}" name="Column3011"/>
    <tableColumn id="3026" xr3:uid="{A2E521F7-488D-4FAF-9EB2-2A27F000FCD1}" name="Column3012"/>
    <tableColumn id="3027" xr3:uid="{111BC1AF-541C-41CF-9802-D2D8409D6B72}" name="Column3013"/>
    <tableColumn id="3028" xr3:uid="{5CFA8F50-09B6-4F98-B0EF-2E6C9CBC8130}" name="Column3014"/>
    <tableColumn id="3029" xr3:uid="{6656D446-92E0-45D6-91D1-5FA4AA39EB6C}" name="Column3015"/>
    <tableColumn id="3030" xr3:uid="{D6B427DA-4377-45E5-94CA-A0E9F6F2D187}" name="Column3016"/>
    <tableColumn id="3031" xr3:uid="{80E8D3C8-17D1-4C28-A1DE-5CFE926D7974}" name="Column3017"/>
    <tableColumn id="3032" xr3:uid="{FC65D65A-58DE-4B80-9B32-1AB7BCBA7D11}" name="Column3018"/>
    <tableColumn id="3033" xr3:uid="{6B5568C0-9E61-459E-A7E3-BF3909FCB392}" name="Column3019"/>
    <tableColumn id="3034" xr3:uid="{9BC8ED43-986C-4152-AD26-0A486E82E6DA}" name="Column3020"/>
    <tableColumn id="3035" xr3:uid="{50E36DD0-5EC4-4E8C-94A3-1F95C1ACFA50}" name="Column3021"/>
    <tableColumn id="3036" xr3:uid="{A125EF1A-712C-4EEF-A6C6-DAAC193E0514}" name="Column3022"/>
    <tableColumn id="3037" xr3:uid="{F7C5B4EC-3092-47C1-B50F-C8BF88E0A887}" name="Column3023"/>
    <tableColumn id="3038" xr3:uid="{4C8FAF64-A43B-49F9-90F6-B000E8B162E4}" name="Column3024"/>
    <tableColumn id="3039" xr3:uid="{87EA07D2-1666-4626-A798-534952EF1456}" name="Column3025"/>
    <tableColumn id="3040" xr3:uid="{9D28E45F-07D8-486B-9B3D-62AA06F702D7}" name="Column3026"/>
    <tableColumn id="3041" xr3:uid="{8511C3C1-7B67-4EE3-BE76-FC5F29AFF59C}" name="Column3027"/>
    <tableColumn id="3042" xr3:uid="{C633A68A-DC93-416D-AE70-519AA5EA3275}" name="Column3028"/>
    <tableColumn id="3043" xr3:uid="{B417AD02-F0F1-48C0-BB87-19B9BF717CC1}" name="Column3029"/>
    <tableColumn id="3044" xr3:uid="{81EE518F-BFA7-4694-B7DE-E7CE0A03073F}" name="Column3030"/>
    <tableColumn id="3045" xr3:uid="{19455BC1-1C19-4071-9A02-426D3769B909}" name="Column3031"/>
    <tableColumn id="3046" xr3:uid="{514965F5-0B8B-4E2C-AA19-9D0B5BCF75A8}" name="Column3032"/>
    <tableColumn id="3047" xr3:uid="{AD4AD377-7AE8-4079-9638-544CC9641465}" name="Column3033"/>
    <tableColumn id="3048" xr3:uid="{2ACB477F-5A96-43C8-B37C-1487D064BB57}" name="Column3034"/>
    <tableColumn id="3049" xr3:uid="{BA3D5B0F-D033-46F8-85AE-5C8216D225B4}" name="Column3035"/>
    <tableColumn id="3050" xr3:uid="{499ABB77-76F2-4805-A4D3-E11B462CFA46}" name="Column3036"/>
    <tableColumn id="3051" xr3:uid="{DA44846A-2BF4-4E96-89B3-59DF9392FF96}" name="Column3037"/>
    <tableColumn id="3052" xr3:uid="{E8A4A620-58EE-4DC7-B8C1-9E0F4B9B3467}" name="Column3038"/>
    <tableColumn id="3053" xr3:uid="{E47E6705-21CC-4526-A2A1-F8B4638E40AB}" name="Column3039"/>
    <tableColumn id="3054" xr3:uid="{EAD4E8FE-3DFE-49A5-9567-9B654E2AF81E}" name="Column3040"/>
    <tableColumn id="3055" xr3:uid="{9A05E19E-1843-4B00-874D-BB7E29240123}" name="Column3041"/>
    <tableColumn id="3056" xr3:uid="{B9380837-74C3-401B-B308-33AEC235E303}" name="Column3042"/>
    <tableColumn id="3057" xr3:uid="{66A93E2B-5E5F-48B5-97C0-3DAD0AAE1633}" name="Column3043"/>
    <tableColumn id="3058" xr3:uid="{3DD13447-FE9E-47DC-A367-12A0E31C8FB1}" name="Column3044"/>
    <tableColumn id="3059" xr3:uid="{74882495-8961-4F2E-BF9B-3B0CD699E8FC}" name="Column3045"/>
    <tableColumn id="3060" xr3:uid="{6DB0E684-F537-4383-8820-58784AFDD5E8}" name="Column3046"/>
    <tableColumn id="3061" xr3:uid="{B6E11FE3-ADCB-4F1B-B534-75D59540042F}" name="Column3047"/>
    <tableColumn id="3062" xr3:uid="{483CE1E4-E301-4EE3-B8E4-AAFB18C33983}" name="Column3048"/>
    <tableColumn id="3063" xr3:uid="{D52FD01C-6544-47F9-9B00-58A68FABAD3C}" name="Column3049"/>
    <tableColumn id="3064" xr3:uid="{CCFEF86D-5B88-4827-8780-5912DA0CCCB4}" name="Column3050"/>
    <tableColumn id="3065" xr3:uid="{3DAF7F0A-9BE4-42D0-A364-5134CE0F1ADD}" name="Column3051"/>
    <tableColumn id="3066" xr3:uid="{C14B4D3A-D49D-4472-9973-6E856B0444AB}" name="Column3052"/>
    <tableColumn id="3067" xr3:uid="{20EFEBC4-A802-4124-AA5C-F4D85520E893}" name="Column3053"/>
    <tableColumn id="3068" xr3:uid="{461978FD-C2C5-450D-8904-27DF42F7EB35}" name="Column3054"/>
    <tableColumn id="3069" xr3:uid="{1029F509-68AC-4993-871F-7F067A247463}" name="Column3055"/>
    <tableColumn id="3070" xr3:uid="{10DFDF53-A468-45CC-93BC-7A81B7AFE2A2}" name="Column3056"/>
    <tableColumn id="3071" xr3:uid="{608DCD6D-2EAD-4A1B-857C-CCB713CC5AD0}" name="Column3057"/>
    <tableColumn id="3072" xr3:uid="{0D03FB8D-C182-4D37-B2F7-9C171335C99A}" name="Column3058"/>
    <tableColumn id="3073" xr3:uid="{ABC96822-4B4D-4175-A84A-F38171750B38}" name="Column3059"/>
    <tableColumn id="3074" xr3:uid="{438FAA16-A8F4-49B3-893B-6917AE126F15}" name="Column3060"/>
    <tableColumn id="3075" xr3:uid="{4A2426A7-42E9-4D96-80DA-9E4A152B8DA7}" name="Column3061"/>
    <tableColumn id="3076" xr3:uid="{F8DAE293-B22F-48FE-8F7D-C0485986B959}" name="Column3062"/>
    <tableColumn id="3077" xr3:uid="{6309E319-A669-41D5-8E1B-BFE9B0D7FFF7}" name="Column3063"/>
    <tableColumn id="3078" xr3:uid="{30D2B372-F310-4AA2-9057-1E5F27D9653F}" name="Column3064"/>
    <tableColumn id="3079" xr3:uid="{F8662274-987E-4BBE-B59D-DD9A167A687D}" name="Column3065"/>
    <tableColumn id="3080" xr3:uid="{3E9CF961-D18E-4E8C-8085-04E27444D8F8}" name="Column3066"/>
    <tableColumn id="3081" xr3:uid="{00885475-5552-4D38-B5D2-99DFF5D5D20D}" name="Column3067"/>
    <tableColumn id="3082" xr3:uid="{B3144D57-A8BA-4233-96E0-8A3FECE6ADEC}" name="Column3068"/>
    <tableColumn id="3083" xr3:uid="{11C77222-6263-459D-8968-C93890FACD70}" name="Column3069"/>
    <tableColumn id="3084" xr3:uid="{217C93A9-0CBD-4409-8FF9-F90399F7C32F}" name="Column3070"/>
    <tableColumn id="3085" xr3:uid="{32950011-95A6-423A-9171-EB59433A1D23}" name="Column3071"/>
    <tableColumn id="3086" xr3:uid="{39C0956A-2B0A-4DB2-8169-55EAFC72F3BC}" name="Column3072"/>
    <tableColumn id="3087" xr3:uid="{49DCC0DB-6268-4211-99E0-B82EA2A3AF56}" name="Column3073"/>
    <tableColumn id="3088" xr3:uid="{74AEE61A-77A9-4F0F-93DD-A4E56B2D089E}" name="Column3074"/>
    <tableColumn id="3089" xr3:uid="{37879E42-EA49-4082-8533-632E8C2E43F8}" name="Column3075"/>
    <tableColumn id="3090" xr3:uid="{0CFC2A48-A2C3-457E-86A6-6E6892B5FDCD}" name="Column3076"/>
    <tableColumn id="3091" xr3:uid="{19627FD7-166F-4E3B-839F-FD1EE839DBCF}" name="Column3077"/>
    <tableColumn id="3092" xr3:uid="{B38354A3-A607-433A-843F-9E6AB52B9654}" name="Column3078"/>
    <tableColumn id="3093" xr3:uid="{2ED78D9F-5332-4A2B-9D1F-833F1218FDB7}" name="Column3079"/>
    <tableColumn id="3094" xr3:uid="{1E8BAC98-46C1-4A09-BEF6-A0A557084808}" name="Column3080"/>
    <tableColumn id="3095" xr3:uid="{6E6F198D-ACF7-4A41-8369-5B263515EAA5}" name="Column3081"/>
    <tableColumn id="3096" xr3:uid="{9E08A914-41A1-4152-9B2E-A6CAC25EC88B}" name="Column3082"/>
    <tableColumn id="3097" xr3:uid="{A6138428-041A-49E3-AE22-8F44DBA98E93}" name="Column3083"/>
    <tableColumn id="3098" xr3:uid="{2E5B07B6-4FB3-4FFC-88E9-954DCE243DB5}" name="Column3084"/>
    <tableColumn id="3099" xr3:uid="{4F0F551A-39F4-4437-84CF-E9AF9542FE2C}" name="Column3085"/>
    <tableColumn id="3100" xr3:uid="{54A7E3B3-C60D-495C-A571-36397E2C92C1}" name="Column3086"/>
    <tableColumn id="3101" xr3:uid="{D0206465-3938-4D6D-B14D-A2F94B5A66DA}" name="Column3087"/>
    <tableColumn id="3102" xr3:uid="{8DF3A791-D938-49ED-9708-5E0E976938E0}" name="Column3088"/>
    <tableColumn id="3103" xr3:uid="{8B9EAE9D-8CB0-40A0-8CB8-404DDE832FCE}" name="Column3089"/>
    <tableColumn id="3104" xr3:uid="{DAF1D193-B17B-40B9-B834-D3AAFE5BAB74}" name="Column3090"/>
    <tableColumn id="3105" xr3:uid="{2350556D-8532-413B-9649-75E652AEB484}" name="Column3091"/>
    <tableColumn id="3106" xr3:uid="{9AC03548-8EF9-43EC-B3B9-7FC3BF7BE289}" name="Column3092"/>
    <tableColumn id="3107" xr3:uid="{70D8E00B-5054-4FFC-8830-BC9DC21551BE}" name="Column3093"/>
    <tableColumn id="3108" xr3:uid="{35AFEDA6-7550-46E0-AEB1-B2D01302A87A}" name="Column3094"/>
    <tableColumn id="3109" xr3:uid="{3DECF68F-B3C5-4330-AE30-2C4936620F1A}" name="Column3095"/>
    <tableColumn id="3110" xr3:uid="{30FEA3B2-AFFB-4F35-9A37-39EC9B02B1B3}" name="Column3096"/>
    <tableColumn id="3111" xr3:uid="{D53B7F17-EEC6-4053-A4FF-531B064C71EC}" name="Column3097"/>
    <tableColumn id="3112" xr3:uid="{D137A4BD-2FDD-4A4B-8F5F-EC4B8A04810D}" name="Column3098"/>
    <tableColumn id="3113" xr3:uid="{0F055804-5313-4932-8A58-364B115CCEE1}" name="Column3099"/>
    <tableColumn id="3114" xr3:uid="{C9512EBE-19AA-42EE-9124-E8904AE5541F}" name="Column3100"/>
    <tableColumn id="3115" xr3:uid="{F6740DF0-8DB2-42A8-A362-B56D2549AB29}" name="Column3101"/>
    <tableColumn id="3116" xr3:uid="{1F85DDEE-72C6-4DD3-AD49-174FFD4D9C95}" name="Column3102"/>
    <tableColumn id="3117" xr3:uid="{A2D27EF5-030B-4B15-B05C-FE16530C39DC}" name="Column3103"/>
    <tableColumn id="3118" xr3:uid="{CC814684-B6F9-4A29-B574-D808DED4F395}" name="Column3104"/>
    <tableColumn id="3119" xr3:uid="{2BAD0AB3-3202-4B01-B0EB-B78B86BE627B}" name="Column3105"/>
    <tableColumn id="3120" xr3:uid="{A5C4A5E4-E470-4544-A974-68763E3647A9}" name="Column3106"/>
    <tableColumn id="3121" xr3:uid="{3D0194E4-8A97-45A6-806D-6D593908ED1F}" name="Column3107"/>
    <tableColumn id="3122" xr3:uid="{15BF8FF4-C0A2-4898-B35C-BDADCE5BFE06}" name="Column3108"/>
    <tableColumn id="3123" xr3:uid="{E90E5380-4926-4417-9F68-76FCFEFC9CD8}" name="Column3109"/>
    <tableColumn id="3124" xr3:uid="{62C9220D-D0C3-4DC7-BDB3-25FF345A8D00}" name="Column3110"/>
    <tableColumn id="3125" xr3:uid="{1D59EC06-F4D0-496D-BFD0-3203F207D029}" name="Column3111"/>
    <tableColumn id="3126" xr3:uid="{E62BCE0C-C8F2-423F-90EC-3DFECB0282E1}" name="Column3112"/>
    <tableColumn id="3127" xr3:uid="{544BCAC5-BC54-46CB-9BD3-8E3E1F2836CF}" name="Column3113"/>
    <tableColumn id="3128" xr3:uid="{7F021418-2BE4-46EA-A2D5-7A3E26BF68C8}" name="Column3114"/>
    <tableColumn id="3129" xr3:uid="{0182F67F-4F92-4B41-8D86-2F7F841063F1}" name="Column3115"/>
    <tableColumn id="3130" xr3:uid="{19FD92F3-5721-456A-96A3-CFACDB73177D}" name="Column3116"/>
    <tableColumn id="3131" xr3:uid="{83A9B142-092F-4AD5-97FA-5640091A2B2B}" name="Column3117"/>
    <tableColumn id="3132" xr3:uid="{4828F3D8-CBC7-4121-83FC-690E5BA70775}" name="Column3118"/>
    <tableColumn id="3133" xr3:uid="{0FB41E50-FEFF-43D4-810C-ECA3B5F87A82}" name="Column3119"/>
    <tableColumn id="3134" xr3:uid="{6C3C3D9D-BE08-442A-92C0-B8C1727540F5}" name="Column3120"/>
    <tableColumn id="3135" xr3:uid="{7ED2A41A-2653-4585-A017-9C8332CE17F6}" name="Column3121"/>
    <tableColumn id="3136" xr3:uid="{AFA48A5C-8B41-43C0-8ADD-CB5A9BC0C2C1}" name="Column3122"/>
    <tableColumn id="3137" xr3:uid="{9CFABBCE-F445-4A9B-88A1-2EFD4F03E5B0}" name="Column3123"/>
    <tableColumn id="3138" xr3:uid="{660E65F8-2096-40C0-8679-63F116C0FF06}" name="Column3124"/>
    <tableColumn id="3139" xr3:uid="{1132AB77-7912-45F8-A14B-ECAEA6337531}" name="Column3125"/>
    <tableColumn id="3140" xr3:uid="{00157AED-B48C-4C28-995D-5EC375F53B69}" name="Column3126"/>
    <tableColumn id="3141" xr3:uid="{17B771B8-4C1D-4EA9-97A6-58C0C575B39A}" name="Column3127"/>
    <tableColumn id="3142" xr3:uid="{48E52C3E-DE71-4E7D-B4FC-C0E5227A1A1B}" name="Column3128"/>
    <tableColumn id="3143" xr3:uid="{9AEC9F60-3504-4B91-BD71-D44C3B29F765}" name="Column3129"/>
    <tableColumn id="3144" xr3:uid="{4BC00F47-9D51-4EB9-8105-005BBC9F7035}" name="Column3130"/>
    <tableColumn id="3145" xr3:uid="{5881C02D-72AC-4127-9B30-2B20BDA8FB93}" name="Column3131"/>
    <tableColumn id="3146" xr3:uid="{27CB7E36-844C-4AC1-9690-DC4A17E63BC5}" name="Column3132"/>
    <tableColumn id="3147" xr3:uid="{140C3658-2513-4A72-8BB1-A62C527A6615}" name="Column3133"/>
    <tableColumn id="3148" xr3:uid="{02DABE57-000E-441E-B3C0-C0115E4F3BCE}" name="Column3134"/>
    <tableColumn id="3149" xr3:uid="{70B127D9-BB77-457A-BC15-6583A84DB066}" name="Column3135"/>
    <tableColumn id="3150" xr3:uid="{DFBD4AE4-CF79-4B3A-8C42-60237D80835D}" name="Column3136"/>
    <tableColumn id="3151" xr3:uid="{5740BB79-47CC-4E4E-94BC-131C5B0A02B9}" name="Column3137"/>
    <tableColumn id="3152" xr3:uid="{66673A4C-4AA3-4C21-81EA-9BC051DC7298}" name="Column3138"/>
    <tableColumn id="3153" xr3:uid="{67940A9E-A1DE-47F1-96A4-BE4B86E54E93}" name="Column3139"/>
    <tableColumn id="3154" xr3:uid="{CB9EC692-6952-4B93-98F8-AB19FA8E6B29}" name="Column3140"/>
    <tableColumn id="3155" xr3:uid="{FAC96F17-EE12-47FC-AE02-8BC4C164AD61}" name="Column3141"/>
    <tableColumn id="3156" xr3:uid="{6EB85F58-23A8-4E3D-874C-23E5F3785886}" name="Column3142"/>
    <tableColumn id="3157" xr3:uid="{5A93613F-BD89-43D6-B548-D2390348347D}" name="Column3143"/>
    <tableColumn id="3158" xr3:uid="{79F566DE-2D08-44A2-8D35-10622EDE15E1}" name="Column3144"/>
    <tableColumn id="3159" xr3:uid="{BDE2202B-2392-4A7E-824C-0CD10B40D6BE}" name="Column3145"/>
    <tableColumn id="3160" xr3:uid="{92D267A9-664C-419F-8C21-7E3996570EF0}" name="Column3146"/>
    <tableColumn id="3161" xr3:uid="{F218CD21-D76E-4272-A329-9D06F4EE8BE8}" name="Column3147"/>
    <tableColumn id="3162" xr3:uid="{96C2D16D-2D26-446C-9D09-3AA31C404849}" name="Column3148"/>
    <tableColumn id="3163" xr3:uid="{4A4182FB-9C77-420F-AA11-9F937E94694B}" name="Column3149"/>
    <tableColumn id="3164" xr3:uid="{4D4CED52-FBE3-45EF-A743-A1D38816F734}" name="Column3150"/>
    <tableColumn id="3165" xr3:uid="{69F6499E-6437-407E-8D7F-730CEEBB2A96}" name="Column3151"/>
    <tableColumn id="3166" xr3:uid="{A3FFF39A-F039-474E-B4A1-24EAD816C7BF}" name="Column3152"/>
    <tableColumn id="3167" xr3:uid="{1F340A33-0E97-4EE5-8F93-F7556B38E820}" name="Column3153"/>
    <tableColumn id="3168" xr3:uid="{5476FCDE-B1BC-47C2-B1AB-2556077EDB01}" name="Column3154"/>
    <tableColumn id="3169" xr3:uid="{547B3C22-6549-4506-9152-53C9D43F9BD9}" name="Column3155"/>
    <tableColumn id="3170" xr3:uid="{89C3EE68-BF53-49C8-A64C-FD4C8059FB3D}" name="Column3156"/>
    <tableColumn id="3171" xr3:uid="{B3EC0143-E000-43A3-AC0D-7E80437CD090}" name="Column3157"/>
    <tableColumn id="3172" xr3:uid="{CD34FBBA-40C6-4615-AC20-108AC1DB0107}" name="Column3158"/>
    <tableColumn id="3173" xr3:uid="{DF194B5B-6E0B-4C3A-9762-ABA5275BC766}" name="Column3159"/>
    <tableColumn id="3174" xr3:uid="{2C86EF59-D4AE-4F7C-BBA0-EAB45B3678D9}" name="Column3160"/>
    <tableColumn id="3175" xr3:uid="{24694EE2-C986-4379-A39E-C7A1FA12E76E}" name="Column3161"/>
    <tableColumn id="3176" xr3:uid="{B36C645D-38A0-49E9-96D4-080A072F1FC7}" name="Column3162"/>
    <tableColumn id="3177" xr3:uid="{3E037E40-23F9-4DF9-9F49-4B1C60A06538}" name="Column3163"/>
    <tableColumn id="3178" xr3:uid="{F7E32BA8-A1CC-4C9F-93B9-75352123DC0D}" name="Column3164"/>
    <tableColumn id="3179" xr3:uid="{8C897E77-684A-4CEE-8A30-8D201D2DA373}" name="Column3165"/>
    <tableColumn id="3180" xr3:uid="{1F46FC62-83A9-4C09-9DCF-6A56B9E67A82}" name="Column3166"/>
    <tableColumn id="3181" xr3:uid="{B90F9243-731A-4A8E-BDA3-080BACCFA34E}" name="Column3167"/>
    <tableColumn id="3182" xr3:uid="{5A675791-DCFF-489F-AD86-7C2C8274D294}" name="Column3168"/>
    <tableColumn id="3183" xr3:uid="{3B98A5DF-9BB5-4B3B-AEAA-AA7DA831ECD2}" name="Column3169"/>
    <tableColumn id="3184" xr3:uid="{99DDD9CA-15F9-436E-9E32-374CA085008C}" name="Column3170"/>
    <tableColumn id="3185" xr3:uid="{36600713-90C1-495A-B2C1-19637AB3EDBE}" name="Column3171"/>
    <tableColumn id="3186" xr3:uid="{33F09F54-06AA-40C0-A992-780E6BDFAB2C}" name="Column3172"/>
    <tableColumn id="3187" xr3:uid="{5C53EF2F-237A-4AF5-9BF0-52912BAA6221}" name="Column3173"/>
    <tableColumn id="3188" xr3:uid="{A48FD99E-326C-4483-8CCA-3D0C60F4C485}" name="Column3174"/>
    <tableColumn id="3189" xr3:uid="{9718BC45-D9D3-490B-A9EC-2321E2435C56}" name="Column3175"/>
    <tableColumn id="3190" xr3:uid="{F5240F5A-8A29-4B3D-A8AE-52A7702BE944}" name="Column3176"/>
    <tableColumn id="3191" xr3:uid="{B0C7EF24-20DC-4163-8968-512C822E5FB0}" name="Column3177"/>
    <tableColumn id="3192" xr3:uid="{AC529620-74AE-44C7-8541-FB45A1215ABF}" name="Column3178"/>
    <tableColumn id="3193" xr3:uid="{7E437F18-6C91-4B3C-8148-F46098D065E6}" name="Column3179"/>
    <tableColumn id="3194" xr3:uid="{C229E158-0D5B-439D-9B2F-ED2130863363}" name="Column3180"/>
    <tableColumn id="3195" xr3:uid="{A2571531-9637-4544-A084-14930E0DA26A}" name="Column3181"/>
    <tableColumn id="3196" xr3:uid="{1487A3B8-D573-461B-82F7-7C6B784D12A4}" name="Column3182"/>
    <tableColumn id="3197" xr3:uid="{7A38F8E1-7445-4A7F-8881-3F3E84D4D067}" name="Column3183"/>
    <tableColumn id="3198" xr3:uid="{165E7930-3F4C-411C-8D80-6B7D4F30B198}" name="Column3184"/>
    <tableColumn id="3199" xr3:uid="{329E067A-1EFC-4592-8989-74261CB53153}" name="Column3185"/>
    <tableColumn id="3200" xr3:uid="{23C0EE08-6CFF-45F9-BA9D-51AE5746D926}" name="Column3186"/>
    <tableColumn id="3201" xr3:uid="{079C4151-5B94-4393-9C09-658E6B1A15C1}" name="Column3187"/>
    <tableColumn id="3202" xr3:uid="{2D213CE5-DCAA-4E1D-9D56-B6082EA3DAD4}" name="Column3188"/>
    <tableColumn id="3203" xr3:uid="{89800854-E9EC-4428-B0BC-A295428CC49B}" name="Column3189"/>
    <tableColumn id="3204" xr3:uid="{0A4E3889-A23E-4421-B706-032A25E29900}" name="Column3190"/>
    <tableColumn id="3205" xr3:uid="{7A6C2DE0-E6E2-48DE-881D-CEDC84A94638}" name="Column3191"/>
    <tableColumn id="3206" xr3:uid="{2EAE4A0A-5200-40FA-82E0-0AC527526850}" name="Column3192"/>
    <tableColumn id="3207" xr3:uid="{3CFC7124-134F-4F94-8ADF-3E4F6CD4DEE0}" name="Column3193"/>
    <tableColumn id="3208" xr3:uid="{76E7C6FA-6702-4FCC-9079-4713163B081C}" name="Column3194"/>
    <tableColumn id="3209" xr3:uid="{095904A5-EF4D-4A51-883A-43A100A0B85F}" name="Column3195"/>
    <tableColumn id="3210" xr3:uid="{08CAA238-24C5-4D2F-94FB-B133D5F9D68B}" name="Column3196"/>
    <tableColumn id="3211" xr3:uid="{BDEF3AF3-E59F-4D0D-ABE8-40A5DC2365E6}" name="Column3197"/>
    <tableColumn id="3212" xr3:uid="{64294D12-C93A-493F-AA7E-E7EF32279D81}" name="Column3198"/>
    <tableColumn id="3213" xr3:uid="{79D806EB-7B07-45BF-905E-1835AD067CF5}" name="Column3199"/>
    <tableColumn id="3214" xr3:uid="{F77354F6-6044-4976-904C-46201312AB9A}" name="Column3200"/>
    <tableColumn id="3215" xr3:uid="{644842C8-68F5-4D87-AE03-08492D4DDEC5}" name="Column3201"/>
    <tableColumn id="3216" xr3:uid="{6E912CAC-909A-49E9-ADA6-E69EB9373303}" name="Column3202"/>
    <tableColumn id="3217" xr3:uid="{62648804-433C-45F8-AF2A-A09ABE656992}" name="Column3203"/>
    <tableColumn id="3218" xr3:uid="{C7F4A841-B5DD-4B42-966A-E215D3712097}" name="Column3204"/>
    <tableColumn id="3219" xr3:uid="{2F4A0D6E-96DA-405B-ABF4-4371E47A7DD1}" name="Column3205"/>
    <tableColumn id="3220" xr3:uid="{E0E2A4C2-ABCB-4B30-96FA-256097D4271D}" name="Column3206"/>
    <tableColumn id="3221" xr3:uid="{49BAAB16-89AF-4912-BD44-E7AED30463FD}" name="Column3207"/>
    <tableColumn id="3222" xr3:uid="{0230E327-514D-460F-834F-88494613CE03}" name="Column3208"/>
    <tableColumn id="3223" xr3:uid="{2FC5850C-DCC4-4B85-AEC9-663497DBB4E0}" name="Column3209"/>
    <tableColumn id="3224" xr3:uid="{F69A9C28-90DE-4A9E-80E8-6143F7913962}" name="Column3210"/>
    <tableColumn id="3225" xr3:uid="{E758665A-B60D-4E65-B33D-0BFA249FFD36}" name="Column3211"/>
    <tableColumn id="3226" xr3:uid="{B8F585C1-601D-44E2-87B9-A50FA3AC928E}" name="Column3212"/>
    <tableColumn id="3227" xr3:uid="{A454C598-9CAC-4150-A79E-C02D700CC467}" name="Column3213"/>
    <tableColumn id="3228" xr3:uid="{0A1825A1-0541-4B8C-87B1-8DD8E38A2268}" name="Column3214"/>
    <tableColumn id="3229" xr3:uid="{C453E0D3-DBC0-4F94-9246-0F56FA9F486A}" name="Column3215"/>
    <tableColumn id="3230" xr3:uid="{1C900DD0-EA07-4B91-B62F-537D40485C5B}" name="Column3216"/>
    <tableColumn id="3231" xr3:uid="{EC7421FF-730E-4A62-99DC-4A5457AA74EF}" name="Column3217"/>
    <tableColumn id="3232" xr3:uid="{961571F9-5055-4A01-AEB8-4704625DA8D6}" name="Column3218"/>
    <tableColumn id="3233" xr3:uid="{B1E217EE-E861-4B9B-A4D5-327CCB9D8A54}" name="Column3219"/>
    <tableColumn id="3234" xr3:uid="{3EDCC509-1C2E-4634-A9C1-355279F3C8BD}" name="Column3220"/>
    <tableColumn id="3235" xr3:uid="{2CF4020D-E87F-4C77-85DA-5ECE936C1E40}" name="Column3221"/>
    <tableColumn id="3236" xr3:uid="{E936A895-7B78-4705-93ED-77DF5FBB41C9}" name="Column3222"/>
    <tableColumn id="3237" xr3:uid="{FEDD26C9-D0DF-4B89-A4CB-80AC6016B94C}" name="Column3223"/>
    <tableColumn id="3238" xr3:uid="{7C95C811-9294-42C7-9019-D21E42E4C2BE}" name="Column3224"/>
    <tableColumn id="3239" xr3:uid="{1B5695EF-5C63-43C1-8D67-BC78ED5AF50C}" name="Column3225"/>
    <tableColumn id="3240" xr3:uid="{EBFD8BA6-8D8C-4C64-BB01-3ABC0CBB7786}" name="Column3226"/>
    <tableColumn id="3241" xr3:uid="{F20267F6-B625-4A32-957D-54A2E3A14559}" name="Column3227"/>
    <tableColumn id="3242" xr3:uid="{2DB693D4-9EA7-4B43-A4C2-CFA1B568D53F}" name="Column3228"/>
    <tableColumn id="3243" xr3:uid="{423A3B3B-74F4-496D-8434-501E0399EF37}" name="Column3229"/>
    <tableColumn id="3244" xr3:uid="{3A83861A-E5D1-41F2-B6F7-08CDD32B5AEA}" name="Column3230"/>
    <tableColumn id="3245" xr3:uid="{1A0879C1-9187-4211-BD18-04D648D0622C}" name="Column3231"/>
    <tableColumn id="3246" xr3:uid="{E6440A33-5E67-41C5-AFB5-8D11B75F88B2}" name="Column3232"/>
    <tableColumn id="3247" xr3:uid="{C84FAF5C-6D4B-4D1A-B017-682047C0FD41}" name="Column3233"/>
    <tableColumn id="3248" xr3:uid="{EC2F2B6A-3C54-4035-B917-D991F42873BD}" name="Column3234"/>
    <tableColumn id="3249" xr3:uid="{22111AB1-EF7E-4892-9064-8439B87EF214}" name="Column3235"/>
    <tableColumn id="3250" xr3:uid="{2896811D-CA08-41FF-8632-4E531C75E828}" name="Column3236"/>
    <tableColumn id="3251" xr3:uid="{C8D6AEDD-92B4-4CAB-8794-F6FBF379079F}" name="Column3237"/>
    <tableColumn id="3252" xr3:uid="{4C8ADB0E-7596-47C6-8255-A14005D40356}" name="Column3238"/>
    <tableColumn id="3253" xr3:uid="{ED24B63F-DB72-476E-B128-120C06D77161}" name="Column3239"/>
    <tableColumn id="3254" xr3:uid="{CE892C4C-9895-4225-8528-DE4211532ABA}" name="Column3240"/>
    <tableColumn id="3255" xr3:uid="{E7C24E56-9D7F-4563-89AA-DA72DEEB9AB5}" name="Column3241"/>
    <tableColumn id="3256" xr3:uid="{03478BF0-BDB5-4CFA-8357-E7453BB66583}" name="Column3242"/>
    <tableColumn id="3257" xr3:uid="{C456BB0E-0EA1-4A35-A969-4EE7A842844D}" name="Column3243"/>
    <tableColumn id="3258" xr3:uid="{65324B7C-DFB2-4ABE-B448-D120488EECE7}" name="Column3244"/>
    <tableColumn id="3259" xr3:uid="{CD11C31E-F556-4486-9B88-73802C7E7485}" name="Column3245"/>
    <tableColumn id="3260" xr3:uid="{62918A6F-1B89-40BF-8796-60C177CC96AB}" name="Column3246"/>
    <tableColumn id="3261" xr3:uid="{B55E740E-8D17-4020-B61A-F306936E6B32}" name="Column3247"/>
    <tableColumn id="3262" xr3:uid="{8A591001-8F87-44CE-89D0-BCB4897A1270}" name="Column3248"/>
    <tableColumn id="3263" xr3:uid="{784AE72F-6C14-463E-B667-6C28277BB536}" name="Column3249"/>
    <tableColumn id="3264" xr3:uid="{48FCA6C5-940A-4F15-BB65-7886F0DAF982}" name="Column3250"/>
    <tableColumn id="3265" xr3:uid="{F16D48E0-A40B-4286-8504-415956CD273B}" name="Column3251"/>
    <tableColumn id="3266" xr3:uid="{8D01748D-3C80-42B2-B785-D7C327FE7635}" name="Column3252"/>
    <tableColumn id="3267" xr3:uid="{033B51E0-3A49-4190-A10F-BE46CB0C9FD0}" name="Column3253"/>
    <tableColumn id="3268" xr3:uid="{27F0C72A-A51C-4AF7-8C98-CDD4843D96A9}" name="Column3254"/>
    <tableColumn id="3269" xr3:uid="{FDD86F84-51CF-4F8B-80BA-1583BBE583E0}" name="Column3255"/>
    <tableColumn id="3270" xr3:uid="{D5172C03-DA07-4E77-BE91-08F71546EF0F}" name="Column3256"/>
    <tableColumn id="3271" xr3:uid="{0755861C-21AC-4EFE-854A-EF103424B98C}" name="Column3257"/>
    <tableColumn id="3272" xr3:uid="{6710CD93-C5C9-48EF-A768-42FA60DD07CF}" name="Column3258"/>
    <tableColumn id="3273" xr3:uid="{24B880B6-7076-4FE6-AD0F-7A296672E9EE}" name="Column3259"/>
    <tableColumn id="3274" xr3:uid="{4086FBA2-127A-40AE-B00C-91F6942CE666}" name="Column3260"/>
    <tableColumn id="3275" xr3:uid="{E4953477-D720-46ED-893F-0E341615B1EF}" name="Column3261"/>
    <tableColumn id="3276" xr3:uid="{F083B518-A976-4636-B2F4-9E3EB0A386BF}" name="Column3262"/>
    <tableColumn id="3277" xr3:uid="{4DEC1D7D-BDDA-4BCC-9B64-1AD5C11C9AF9}" name="Column3263"/>
    <tableColumn id="3278" xr3:uid="{DF1ADD9B-34BB-458D-8E85-3E00BF0EB961}" name="Column3264"/>
    <tableColumn id="3279" xr3:uid="{48BFBD2E-3A97-4279-A3BC-1C266CF8BDAE}" name="Column3265"/>
    <tableColumn id="3280" xr3:uid="{E04525A5-FC5B-4421-865D-06B96BCE096F}" name="Column3266"/>
    <tableColumn id="3281" xr3:uid="{54E100D4-AB58-4C26-8A07-2BF72D5EDCE6}" name="Column3267"/>
    <tableColumn id="3282" xr3:uid="{2F7B1E8D-E112-4D83-AB46-4F740BC60B89}" name="Column3268"/>
    <tableColumn id="3283" xr3:uid="{704ED738-38E7-4882-B0C6-D15E357C8330}" name="Column3269"/>
    <tableColumn id="3284" xr3:uid="{5948F3C1-C062-49A1-B334-5A2442EECF22}" name="Column3270"/>
    <tableColumn id="3285" xr3:uid="{162E46BA-95FF-48BE-9AE6-53B629C2D7E1}" name="Column3271"/>
    <tableColumn id="3286" xr3:uid="{12091247-3AD9-47B1-937A-2FC8E0E6CE38}" name="Column3272"/>
    <tableColumn id="3287" xr3:uid="{F2D33A02-6C7D-4DC4-AEFC-C86241F9F3C8}" name="Column3273"/>
    <tableColumn id="3288" xr3:uid="{A255D282-0315-449B-9715-A99F890A0F88}" name="Column3274"/>
    <tableColumn id="3289" xr3:uid="{ECF40390-D6D1-4036-9FE6-22E3343D9438}" name="Column3275"/>
    <tableColumn id="3290" xr3:uid="{0CF200F5-C146-4DA8-9F30-E2DCA6A8AA46}" name="Column3276"/>
    <tableColumn id="3291" xr3:uid="{6AE4A653-635C-4C5B-9E33-77DAE0C10660}" name="Column3277"/>
    <tableColumn id="3292" xr3:uid="{6BBAA188-3E2E-495D-AD24-EDAFE0AE22D0}" name="Column3278"/>
    <tableColumn id="3293" xr3:uid="{7331E6CF-0366-4AB6-B9DD-2D626027C641}" name="Column3279"/>
    <tableColumn id="3294" xr3:uid="{FE15E904-3F48-4C23-B7E0-310C05F67BAB}" name="Column3280"/>
    <tableColumn id="3295" xr3:uid="{322684A4-5777-49EA-B6B6-99CCC4D28FFB}" name="Column3281"/>
    <tableColumn id="3296" xr3:uid="{5B4D8503-50FB-4C9B-96F3-D29F64796DAC}" name="Column3282"/>
    <tableColumn id="3297" xr3:uid="{52CB4023-818D-4BD9-85F9-C0345270448C}" name="Column3283"/>
    <tableColumn id="3298" xr3:uid="{6CA10EE4-CAF0-46E7-82BF-DA4097B4E738}" name="Column3284"/>
    <tableColumn id="3299" xr3:uid="{0BC6DD84-C537-49A2-9B6C-460F456A3A8A}" name="Column3285"/>
    <tableColumn id="3300" xr3:uid="{D2DAADC1-EF40-420B-8B0F-60D3BFF08374}" name="Column3286"/>
    <tableColumn id="3301" xr3:uid="{3A7FFBE4-ADA2-41EF-8AF0-141A131504E5}" name="Column3287"/>
    <tableColumn id="3302" xr3:uid="{5CB63095-2393-4EA7-98C7-EC54938BE611}" name="Column3288"/>
    <tableColumn id="3303" xr3:uid="{230158DD-EE6A-4D40-B212-7D787357384A}" name="Column3289"/>
    <tableColumn id="3304" xr3:uid="{FBA22D0D-9360-4819-9267-F08C61ADEDDF}" name="Column3290"/>
    <tableColumn id="3305" xr3:uid="{D01E0E5B-39FE-4088-91B9-64C79E294233}" name="Column3291"/>
    <tableColumn id="3306" xr3:uid="{81AEF95B-655B-408D-A1CF-074C45BD54A1}" name="Column3292"/>
    <tableColumn id="3307" xr3:uid="{2AFC7598-94B9-43F4-8EF0-453A01CB31C3}" name="Column3293"/>
    <tableColumn id="3308" xr3:uid="{904BC30A-2627-4DB9-9B47-B7A789CCC12A}" name="Column3294"/>
    <tableColumn id="3309" xr3:uid="{84A0D1CA-E7CB-4222-9F5B-A8679F3B73C4}" name="Column3295"/>
    <tableColumn id="3310" xr3:uid="{555F3B8D-DB36-4175-A95F-00F2D198FFFB}" name="Column3296"/>
    <tableColumn id="3311" xr3:uid="{3D2BBDF7-5E6F-4E4F-BDAE-540C1941DA56}" name="Column3297"/>
    <tableColumn id="3312" xr3:uid="{40FB9BE1-8955-4F03-A2F8-68CA18059809}" name="Column3298"/>
    <tableColumn id="3313" xr3:uid="{F1AABF63-9EDD-47A3-960C-D965EC9F698D}" name="Column3299"/>
    <tableColumn id="3314" xr3:uid="{EC1B7B06-7246-4146-AF25-AD1D6909E926}" name="Column3300"/>
    <tableColumn id="3315" xr3:uid="{F7BE9B6C-0F86-4EEF-A830-D879EC7F02D0}" name="Column3301"/>
    <tableColumn id="3316" xr3:uid="{455153E7-ADC4-437F-83FC-213FE9081C30}" name="Column3302"/>
    <tableColumn id="3317" xr3:uid="{3BDDA947-5EF3-4AAF-9102-8DA91EDB6D02}" name="Column3303"/>
    <tableColumn id="3318" xr3:uid="{BB1E69F1-0E5D-425C-A29B-6FFE67A47833}" name="Column3304"/>
    <tableColumn id="3319" xr3:uid="{83C774A6-E9B9-402A-A1B6-ED350B53FBFD}" name="Column3305"/>
    <tableColumn id="3320" xr3:uid="{A2267A81-3B59-4248-9B7C-F22A941FE2BF}" name="Column3306"/>
    <tableColumn id="3321" xr3:uid="{DB1DEABE-C82C-4AA6-A72E-0004051347E2}" name="Column3307"/>
    <tableColumn id="3322" xr3:uid="{CD5573F0-D5CF-4E8E-B179-A5264BF27768}" name="Column3308"/>
    <tableColumn id="3323" xr3:uid="{FFFAA47C-596C-4246-A937-4431F05CD8E9}" name="Column3309"/>
    <tableColumn id="3324" xr3:uid="{622F97CD-32CE-455A-B844-7A387A9BF73A}" name="Column3310"/>
    <tableColumn id="3325" xr3:uid="{0A540C3F-BAC3-43B7-A664-7C2434D3DFFB}" name="Column3311"/>
    <tableColumn id="3326" xr3:uid="{EA308952-CB59-4D59-A02A-80968635A41E}" name="Column3312"/>
    <tableColumn id="3327" xr3:uid="{14F34EC6-3F4F-4A51-9475-6667B41E5689}" name="Column3313"/>
    <tableColumn id="3328" xr3:uid="{15E9B4A8-3768-4217-978B-837FA82197F9}" name="Column3314"/>
    <tableColumn id="3329" xr3:uid="{8748EE30-6241-40B3-AC23-64459F77FC4F}" name="Column3315"/>
    <tableColumn id="3330" xr3:uid="{3316F63A-43F0-47FE-9BC0-44FCC5C33EF0}" name="Column3316"/>
    <tableColumn id="3331" xr3:uid="{85A3847C-F9E1-4F78-B5E4-E7FD2D258E4C}" name="Column3317"/>
    <tableColumn id="3332" xr3:uid="{9C38A809-90C1-469F-BA96-70600E33D4C3}" name="Column3318"/>
    <tableColumn id="3333" xr3:uid="{A57FE4C2-3D22-4473-BB8D-729723B2FA0A}" name="Column3319"/>
    <tableColumn id="3334" xr3:uid="{63F8F23E-9319-41BC-B348-22B58E1ECAF6}" name="Column3320"/>
    <tableColumn id="3335" xr3:uid="{CE280928-8C8B-42BA-B766-41313C552C8E}" name="Column3321"/>
    <tableColumn id="3336" xr3:uid="{64D2DEC4-20FF-423D-9B95-6A4FB390340A}" name="Column3322"/>
    <tableColumn id="3337" xr3:uid="{66BC75A6-5029-4E3A-ACC4-52F0DA51EC35}" name="Column3323"/>
    <tableColumn id="3338" xr3:uid="{4BCAD071-D224-467C-9481-D7B1FBEA50B5}" name="Column3324"/>
    <tableColumn id="3339" xr3:uid="{345D2BC0-0B96-4438-BFA5-854A7D7111BC}" name="Column3325"/>
    <tableColumn id="3340" xr3:uid="{A564BD3F-BC87-4098-8028-DC78E7DC4D89}" name="Column3326"/>
    <tableColumn id="3341" xr3:uid="{B8CB0A51-B58B-4E52-816B-61966D61C779}" name="Column3327"/>
    <tableColumn id="3342" xr3:uid="{E0A1CCB4-FFD4-41D6-82E9-D97F9460464A}" name="Column3328"/>
    <tableColumn id="3343" xr3:uid="{88DDE6C8-16EB-42D7-BECA-8D572B940427}" name="Column3329"/>
    <tableColumn id="3344" xr3:uid="{BB363145-ABC5-4D45-8C9B-CD6F537ADCD5}" name="Column3330"/>
    <tableColumn id="3345" xr3:uid="{A00191BF-1583-458B-81B0-C55C5ACF3174}" name="Column3331"/>
    <tableColumn id="3346" xr3:uid="{70B342E0-E7BF-4A0D-B3DA-54B0583788F1}" name="Column3332"/>
    <tableColumn id="3347" xr3:uid="{449358CC-85D3-4BEA-8F40-4E414567F5EB}" name="Column3333"/>
    <tableColumn id="3348" xr3:uid="{B527B8E2-E37C-4271-B336-031AB2674700}" name="Column3334"/>
    <tableColumn id="3349" xr3:uid="{BFCFD146-B84C-432F-B78A-977EF9BA5E88}" name="Column3335"/>
    <tableColumn id="3350" xr3:uid="{7E8ABA48-7D6A-4B79-BB52-314F97AE3231}" name="Column3336"/>
    <tableColumn id="3351" xr3:uid="{945B9C59-334B-4828-BEE5-25B832F90315}" name="Column3337"/>
    <tableColumn id="3352" xr3:uid="{B96E4467-563E-4B16-A311-F10E5262F4FA}" name="Column3338"/>
    <tableColumn id="3353" xr3:uid="{F01E2EDE-32D2-4F93-B27F-7379AA35AAB6}" name="Column3339"/>
    <tableColumn id="3354" xr3:uid="{2D1D13FA-6E66-4B2C-94F8-0191E37F8EE2}" name="Column3340"/>
    <tableColumn id="3355" xr3:uid="{EE50D0B2-DBBE-413F-8CB2-279371922C0E}" name="Column3341"/>
    <tableColumn id="3356" xr3:uid="{1419A6F1-ED97-413A-BEA1-4E75592D378D}" name="Column3342"/>
    <tableColumn id="3357" xr3:uid="{0E8D606F-CA16-4A91-A662-830BBF6DC957}" name="Column3343"/>
    <tableColumn id="3358" xr3:uid="{D9AA2832-EE11-483E-A19E-48A500498F26}" name="Column3344"/>
    <tableColumn id="3359" xr3:uid="{F17E7070-4163-45D2-96F3-31E6FCEF8518}" name="Column3345"/>
    <tableColumn id="3360" xr3:uid="{AA270967-5575-4EFD-BB1E-774F19991A59}" name="Column3346"/>
    <tableColumn id="3361" xr3:uid="{A4D90480-FD0B-4F69-9FE2-6FECC1EBDDFA}" name="Column3347"/>
    <tableColumn id="3362" xr3:uid="{F4C9F1AD-BA88-49B9-BE7D-10B116972DF2}" name="Column3348"/>
    <tableColumn id="3363" xr3:uid="{5B66957C-D265-441B-A6B0-06A36F1DADFB}" name="Column3349"/>
    <tableColumn id="3364" xr3:uid="{8FAD596E-E2EF-4754-A2CF-E5CF1DEC25E0}" name="Column3350"/>
    <tableColumn id="3365" xr3:uid="{D7C879AA-976A-49AC-B9DA-D9145C52B4C3}" name="Column3351"/>
    <tableColumn id="3366" xr3:uid="{5D374873-DA17-496C-9F3B-01E730B28FFE}" name="Column3352"/>
    <tableColumn id="3367" xr3:uid="{EF4488EB-153A-4598-9F31-DCB079B45309}" name="Column3353"/>
    <tableColumn id="3368" xr3:uid="{FE884133-59AC-40F5-B873-24C9D360FB1E}" name="Column3354"/>
    <tableColumn id="3369" xr3:uid="{5A2AB09C-CA72-482C-AAA7-170412696F7E}" name="Column3355"/>
    <tableColumn id="3370" xr3:uid="{23219667-6C5D-4C62-8299-84838DF9E031}" name="Column3356"/>
    <tableColumn id="3371" xr3:uid="{50E94095-D9E0-4116-8E15-FA1E2EF07DEA}" name="Column3357"/>
    <tableColumn id="3372" xr3:uid="{C3155922-2004-4DBD-98F2-16B524D2EF87}" name="Column3358"/>
    <tableColumn id="3373" xr3:uid="{5147E328-102E-45C2-9EFC-C4819F62B8F8}" name="Column3359"/>
    <tableColumn id="3374" xr3:uid="{BE1ED50C-4936-4987-B8FE-E2162899F9B4}" name="Column3360"/>
    <tableColumn id="3375" xr3:uid="{901C291F-72A0-484A-BB65-F9561101964F}" name="Column3361"/>
    <tableColumn id="3376" xr3:uid="{801EA211-04F7-4351-9B3F-36865C76F6B1}" name="Column3362"/>
    <tableColumn id="3377" xr3:uid="{201CF97E-E44F-4BE7-BD23-C3CA2F974488}" name="Column3363"/>
    <tableColumn id="3378" xr3:uid="{93D01269-B1B4-49DA-9556-B6D4C7E394FD}" name="Column3364"/>
    <tableColumn id="3379" xr3:uid="{278EA815-4BEB-4C22-B24D-0F6A564E5806}" name="Column3365"/>
    <tableColumn id="3380" xr3:uid="{DEDBFB19-57FA-4301-9BCE-CA9A899A1940}" name="Column3366"/>
    <tableColumn id="3381" xr3:uid="{8CF35538-D6C6-4A0A-A2A1-4DBA51B89CE2}" name="Column3367"/>
    <tableColumn id="3382" xr3:uid="{238EDD51-092C-42F3-A3EC-9B80079B54A6}" name="Column3368"/>
    <tableColumn id="3383" xr3:uid="{73029D47-0E37-4A9B-B9A9-5FEE09F6721B}" name="Column3369"/>
    <tableColumn id="3384" xr3:uid="{199ED528-BD07-4540-BFD8-CFE140C5E122}" name="Column3370"/>
    <tableColumn id="3385" xr3:uid="{C808256E-2E80-44B9-8EDD-CBB69582292B}" name="Column3371"/>
    <tableColumn id="3386" xr3:uid="{B1B4FBE8-1F0C-47DD-A64F-DBC5D0686856}" name="Column3372"/>
    <tableColumn id="3387" xr3:uid="{AD9E528F-7497-4EEB-80C0-5CD697C980C7}" name="Column3373"/>
    <tableColumn id="3388" xr3:uid="{A1A4A2B3-E8F2-4D8C-A367-2480FD2811F9}" name="Column3374"/>
    <tableColumn id="3389" xr3:uid="{B034485A-ADAD-408E-A17E-48E431D7E8DD}" name="Column3375"/>
    <tableColumn id="3390" xr3:uid="{B3D4361F-809D-4D40-B2C3-D50E1FD6E869}" name="Column3376"/>
    <tableColumn id="3391" xr3:uid="{D4E40E4E-0AE8-43D2-97BC-561D579507ED}" name="Column3377"/>
    <tableColumn id="3392" xr3:uid="{18FC5748-1468-454A-967F-1709DBF663A9}" name="Column3378"/>
    <tableColumn id="3393" xr3:uid="{2183FAE8-A390-4CD7-88B9-5CCDC0456873}" name="Column3379"/>
    <tableColumn id="3394" xr3:uid="{8A47C183-1F01-4946-88CF-B19ECA05AE9E}" name="Column3380"/>
    <tableColumn id="3395" xr3:uid="{91A0160A-9259-4362-B573-EF023AB8B199}" name="Column3381"/>
    <tableColumn id="3396" xr3:uid="{6D9E6EFD-CA45-4376-8293-E65C9B591DB4}" name="Column3382"/>
    <tableColumn id="3397" xr3:uid="{E7DA8949-2C12-4CED-9271-9D71C28A6ED5}" name="Column3383"/>
    <tableColumn id="3398" xr3:uid="{15B21BB6-44C0-468A-8E3D-975E39A9CFB2}" name="Column3384"/>
    <tableColumn id="3399" xr3:uid="{0705DCFA-9A7D-4F5A-9E5C-D23BE724D4BB}" name="Column3385"/>
    <tableColumn id="3400" xr3:uid="{178C9949-3A79-40F7-8F3C-51DA742D4333}" name="Column3386"/>
    <tableColumn id="3401" xr3:uid="{A5D95BD0-EF92-4755-B6AE-808B13B18C0C}" name="Column3387"/>
    <tableColumn id="3402" xr3:uid="{157855AC-050D-4E54-9882-2CE763B8050C}" name="Column3388"/>
    <tableColumn id="3403" xr3:uid="{CBD8B100-6B9B-459A-A575-6120F2BC6CA1}" name="Column3389"/>
    <tableColumn id="3404" xr3:uid="{F10D2520-1933-4942-ADC3-1A441E5BE6B0}" name="Column3390"/>
    <tableColumn id="3405" xr3:uid="{B1842DAB-60F2-43A5-81F3-E23DE4CDD307}" name="Column3391"/>
    <tableColumn id="3406" xr3:uid="{7206C0F6-A315-49B3-AFCC-96AAE16B5ECE}" name="Column3392"/>
    <tableColumn id="3407" xr3:uid="{1002DB0D-313C-4DB7-97F3-F1770BA87D17}" name="Column3393"/>
    <tableColumn id="3408" xr3:uid="{13D70C80-A715-401F-BF11-15BCA402DE11}" name="Column3394"/>
    <tableColumn id="3409" xr3:uid="{DD7F6EF1-3422-4C89-8307-048FE0648F7A}" name="Column3395"/>
    <tableColumn id="3410" xr3:uid="{BE8D0E78-21FD-46CF-8F08-24E182879A8E}" name="Column3396"/>
    <tableColumn id="3411" xr3:uid="{735BA10F-4C66-458C-B76E-05BAE5984BA0}" name="Column3397"/>
    <tableColumn id="3412" xr3:uid="{A6657D73-44D1-49E0-BC55-DCADA24D0BE8}" name="Column3398"/>
    <tableColumn id="3413" xr3:uid="{606E1EFD-F742-4392-B177-502AAA1E7B12}" name="Column3399"/>
    <tableColumn id="3414" xr3:uid="{A54A044D-9FA6-4258-AA1B-3FF8D1FC7398}" name="Column3400"/>
    <tableColumn id="3415" xr3:uid="{62716481-0953-44F3-93BF-F90652A42A6C}" name="Column3401"/>
    <tableColumn id="3416" xr3:uid="{E89C2F71-838F-4C66-B4ED-F608A5CF6530}" name="Column3402"/>
    <tableColumn id="3417" xr3:uid="{DE7141F6-5154-41AE-99F8-2BC84ABDFDD0}" name="Column3403"/>
    <tableColumn id="3418" xr3:uid="{F8C0491E-919A-40C9-B6BC-EF8DFC3E0F95}" name="Column3404"/>
    <tableColumn id="3419" xr3:uid="{D465E558-564C-4A14-9E29-A2AE1C3C59C1}" name="Column3405"/>
    <tableColumn id="3420" xr3:uid="{087E98A2-3084-469D-8FCD-721E44533CA9}" name="Column3406"/>
    <tableColumn id="3421" xr3:uid="{326FA175-6292-4C8C-A563-9A046FF6C32A}" name="Column3407"/>
    <tableColumn id="3422" xr3:uid="{A0B6B863-92A3-427E-BD51-7785F8C1C839}" name="Column3408"/>
    <tableColumn id="3423" xr3:uid="{321328BC-C52C-4326-9E3D-F7A6D6400BD7}" name="Column3409"/>
    <tableColumn id="3424" xr3:uid="{2A4738A1-6828-4758-A76D-CD08EBB43E83}" name="Column3410"/>
    <tableColumn id="3425" xr3:uid="{5F2CD23E-954A-42E1-9DD6-C6484768434B}" name="Column3411"/>
    <tableColumn id="3426" xr3:uid="{34D35CC5-2A45-4F17-888D-B163FD6A319E}" name="Column3412"/>
    <tableColumn id="3427" xr3:uid="{98925E9F-2E7B-4CC4-BBDB-796CFA3BB48F}" name="Column3413"/>
    <tableColumn id="3428" xr3:uid="{61F3A065-3AA7-4024-8F97-8B302C636C1B}" name="Column3414"/>
    <tableColumn id="3429" xr3:uid="{1BF9E562-2B4C-4A67-8AFF-7BE3FF968C0E}" name="Column3415"/>
    <tableColumn id="3430" xr3:uid="{7CDB5A17-5E90-44A2-B6F9-9C21EBFAE3CB}" name="Column3416"/>
    <tableColumn id="3431" xr3:uid="{21B6DD1B-EE97-4BF9-A076-7394A144042E}" name="Column3417"/>
    <tableColumn id="3432" xr3:uid="{83DDB222-20C4-47CB-BD3D-244D3D5F02E7}" name="Column3418"/>
    <tableColumn id="3433" xr3:uid="{E2681836-3C0D-4156-8293-074706694EA4}" name="Column3419"/>
    <tableColumn id="3434" xr3:uid="{F217E67A-CF15-4808-8FC2-91D9E3101807}" name="Column3420"/>
    <tableColumn id="3435" xr3:uid="{08AF24F3-FF3F-47D2-A0FA-A6B3DA724DC5}" name="Column3421"/>
    <tableColumn id="3436" xr3:uid="{DB0A7AB2-C4F6-4747-AA59-F11147CFC8DB}" name="Column3422"/>
    <tableColumn id="3437" xr3:uid="{24DBD1C2-2BE0-46FD-9F7B-338F44B0D97E}" name="Column3423"/>
    <tableColumn id="3438" xr3:uid="{04A15D61-B0DD-459E-92DE-20C1B3B598B8}" name="Column3424"/>
    <tableColumn id="3439" xr3:uid="{293784BB-6C98-44E9-AD73-CD931C84EEDB}" name="Column3425"/>
    <tableColumn id="3440" xr3:uid="{88F19D05-2F86-4198-8E79-382F05D75335}" name="Column3426"/>
    <tableColumn id="3441" xr3:uid="{F1D2284B-71ED-4439-9060-52988B2BBFA8}" name="Column3427"/>
    <tableColumn id="3442" xr3:uid="{F767CEDD-5A52-4A56-A0E0-891978B84197}" name="Column3428"/>
    <tableColumn id="3443" xr3:uid="{FAC6753C-AD38-464F-9C21-88BAF2CD5490}" name="Column3429"/>
    <tableColumn id="3444" xr3:uid="{471ECA94-D2BF-4E65-AB0F-BE4B91548F19}" name="Column3430"/>
    <tableColumn id="3445" xr3:uid="{9104C4AB-1773-4DFE-BF41-1AF4A2DE5D80}" name="Column3431"/>
    <tableColumn id="3446" xr3:uid="{C82A30BF-4BAF-42F9-9D98-EF91ED8FAAE8}" name="Column3432"/>
    <tableColumn id="3447" xr3:uid="{414E31FB-8CE7-40AF-A87C-0E31BCBE197C}" name="Column3433"/>
    <tableColumn id="3448" xr3:uid="{68B86A62-137D-4484-BAE9-2879C38912AB}" name="Column3434"/>
    <tableColumn id="3449" xr3:uid="{34BB5749-8006-41FC-B238-5564DF31A035}" name="Column3435"/>
    <tableColumn id="3450" xr3:uid="{791A124F-D365-4CAE-ABD3-7EEB5C16662C}" name="Column3436"/>
    <tableColumn id="3451" xr3:uid="{9B7BA9E6-AAF5-47FE-AB3A-2026617193AB}" name="Column3437"/>
    <tableColumn id="3452" xr3:uid="{3F4768F4-7A61-4316-AFFD-AAFB0AFA52C6}" name="Column3438"/>
    <tableColumn id="3453" xr3:uid="{83E61011-C185-4A69-BFD0-0F3D863BD62F}" name="Column3439"/>
    <tableColumn id="3454" xr3:uid="{2C68DE73-8B78-4431-B2EB-3528585782F4}" name="Column3440"/>
    <tableColumn id="3455" xr3:uid="{A6B17E3F-2B30-43AC-A97F-D411BC9903E4}" name="Column3441"/>
    <tableColumn id="3456" xr3:uid="{BEBDBEC8-E794-401A-9BFB-6CC41A208A36}" name="Column3442"/>
    <tableColumn id="3457" xr3:uid="{46E46806-339D-4EC7-8A98-56C2EC8856B3}" name="Column3443"/>
    <tableColumn id="3458" xr3:uid="{1F483AF1-7211-4162-ACE0-4A9F2C4067A7}" name="Column3444"/>
    <tableColumn id="3459" xr3:uid="{619A8848-29A1-480A-99D4-4D09DADDA1C5}" name="Column3445"/>
    <tableColumn id="3460" xr3:uid="{E9869FBC-52F5-41CC-A747-12ED6D107FCB}" name="Column3446"/>
    <tableColumn id="3461" xr3:uid="{A6B89E9A-142F-4072-9D0A-9B2FE74C5A3C}" name="Column3447"/>
    <tableColumn id="3462" xr3:uid="{C65B3332-D1F7-4BF1-839A-FC3F4C9EF958}" name="Column3448"/>
    <tableColumn id="3463" xr3:uid="{8C46666B-3A91-4BF7-9CD0-D84804E088B2}" name="Column3449"/>
    <tableColumn id="3464" xr3:uid="{41A15107-421F-49AB-832C-BFCBF044E809}" name="Column3450"/>
    <tableColumn id="3465" xr3:uid="{7F72E1DB-FF06-4497-94EF-B4FE9BF02490}" name="Column3451"/>
    <tableColumn id="3466" xr3:uid="{ADD687B8-D277-499E-B8A8-12BEC6FBE85A}" name="Column3452"/>
    <tableColumn id="3467" xr3:uid="{33206AA5-A471-45EF-B528-6DC71266C68D}" name="Column3453"/>
    <tableColumn id="3468" xr3:uid="{0CE39CC3-BFBF-41BD-B20F-471470C0128D}" name="Column3454"/>
    <tableColumn id="3469" xr3:uid="{DF573DBB-B3FE-4B92-93C5-7077E260AC14}" name="Column3455"/>
    <tableColumn id="3470" xr3:uid="{9EC4F4A1-BE94-4957-B807-51C5896908F3}" name="Column3456"/>
    <tableColumn id="3471" xr3:uid="{18DD0BA4-1F00-41B7-80BE-267D5A7EA365}" name="Column3457"/>
    <tableColumn id="3472" xr3:uid="{86705FDB-A17D-4A98-ADAA-531FDE60BB69}" name="Column3458"/>
    <tableColumn id="3473" xr3:uid="{1B34500C-CEB6-49F3-9E5B-AA18C950785C}" name="Column3459"/>
    <tableColumn id="3474" xr3:uid="{C80B0945-7111-4C7C-8DDF-822097B4E03F}" name="Column3460"/>
    <tableColumn id="3475" xr3:uid="{75344DB6-CEF4-451A-B8E3-E6390F043367}" name="Column3461"/>
    <tableColumn id="3476" xr3:uid="{707B50E0-07C6-441B-8ACF-32E5CCA6970F}" name="Column3462"/>
    <tableColumn id="3477" xr3:uid="{7EB5601B-45E3-4ACA-A7A3-01EF77B4521D}" name="Column3463"/>
    <tableColumn id="3478" xr3:uid="{39E09541-D505-4650-A1D1-E52C465B5B18}" name="Column3464"/>
    <tableColumn id="3479" xr3:uid="{6DF27A66-A52A-4176-AFB7-17E80C8ED1F2}" name="Column3465"/>
    <tableColumn id="3480" xr3:uid="{D4062536-2805-4E9B-8C8A-64B56F5AE915}" name="Column3466"/>
    <tableColumn id="3481" xr3:uid="{4269B0B2-62BD-4363-9123-631128E3D90F}" name="Column3467"/>
    <tableColumn id="3482" xr3:uid="{C6441ADF-66D1-4C19-828B-35645DC666CA}" name="Column3468"/>
    <tableColumn id="3483" xr3:uid="{802FDF48-31FB-4D58-AA3C-A6455B7C2626}" name="Column3469"/>
    <tableColumn id="3484" xr3:uid="{7D964AFF-9E7C-4D97-989F-2CE93AC732D4}" name="Column3470"/>
    <tableColumn id="3485" xr3:uid="{9D66762D-D75B-4C7C-8D25-12DB7B8F777C}" name="Column3471"/>
    <tableColumn id="3486" xr3:uid="{BAE62C50-3978-4B1E-B44C-FF2AF07D7225}" name="Column3472"/>
    <tableColumn id="3487" xr3:uid="{801B8EAC-902A-4274-ADC6-EDD4F8615E8C}" name="Column3473"/>
    <tableColumn id="3488" xr3:uid="{E5C190BE-9899-41F7-88F5-D56996C573F4}" name="Column3474"/>
    <tableColumn id="3489" xr3:uid="{8CC99BFE-1BA9-41CE-9946-4DEDA3FDE134}" name="Column3475"/>
    <tableColumn id="3490" xr3:uid="{CC097F72-CEB2-4C1E-9E6B-92EDBC657689}" name="Column3476"/>
    <tableColumn id="3491" xr3:uid="{9756DD08-872E-4230-A017-158AA85390D8}" name="Column3477"/>
    <tableColumn id="3492" xr3:uid="{F2B72D83-C592-4B87-B7A2-5E83762B690A}" name="Column3478"/>
    <tableColumn id="3493" xr3:uid="{0EE78169-FD32-41E1-9698-FCDC42E53C7A}" name="Column3479"/>
    <tableColumn id="3494" xr3:uid="{A81014A6-72DE-447A-A9F6-798D4F58FE05}" name="Column3480"/>
    <tableColumn id="3495" xr3:uid="{928CC4D8-CCB8-4D4D-9C22-C587AD95784F}" name="Column3481"/>
    <tableColumn id="3496" xr3:uid="{DC6DAA35-9E27-4612-ACA2-D90C6A69994A}" name="Column3482"/>
    <tableColumn id="3497" xr3:uid="{3B932C10-DB93-4862-B206-996CACE2CDE5}" name="Column3483"/>
    <tableColumn id="3498" xr3:uid="{DA90739E-594B-407A-90BD-966A2C598FBC}" name="Column3484"/>
    <tableColumn id="3499" xr3:uid="{A680E94C-5518-4ED2-9657-7D31A0B710AF}" name="Column3485"/>
    <tableColumn id="3500" xr3:uid="{AC63A8CD-47CC-400E-9918-D619524E1C58}" name="Column3486"/>
    <tableColumn id="3501" xr3:uid="{AB1D1EC0-EE82-4755-8D0C-F36E9D79FAE5}" name="Column3487"/>
    <tableColumn id="3502" xr3:uid="{C4A5CA14-9C22-4A2F-A931-BD084E75BEE9}" name="Column3488"/>
    <tableColumn id="3503" xr3:uid="{0B396EC3-BAEE-449C-8360-60BFDDA483D4}" name="Column3489"/>
    <tableColumn id="3504" xr3:uid="{56F2CB67-B2E4-40D8-B03A-035636A60A2E}" name="Column3490"/>
    <tableColumn id="3505" xr3:uid="{99E40A7D-37F4-4E30-94EB-86055707A70F}" name="Column3491"/>
    <tableColumn id="3506" xr3:uid="{911332F7-8105-4583-A8BA-D5545C66BC96}" name="Column3492"/>
    <tableColumn id="3507" xr3:uid="{08B435E0-41F1-471C-AC1A-C34952AAA2B6}" name="Column3493"/>
    <tableColumn id="3508" xr3:uid="{02464F80-4BE4-494B-9E68-3E7F2953077C}" name="Column3494"/>
    <tableColumn id="3509" xr3:uid="{E9965942-118C-4512-847B-FD42977BC5B2}" name="Column3495"/>
    <tableColumn id="3510" xr3:uid="{5E5B4457-E3A9-4669-84A5-9A898984947F}" name="Column3496"/>
    <tableColumn id="3511" xr3:uid="{4B9D93E1-08D5-47E2-A81A-F83D5A30C5CB}" name="Column3497"/>
    <tableColumn id="3512" xr3:uid="{76762AD9-FE77-456E-AC9D-3BE81DFEFB75}" name="Column3498"/>
    <tableColumn id="3513" xr3:uid="{1B69B181-A789-4F26-AB49-541D5AE62EE6}" name="Column3499"/>
    <tableColumn id="3514" xr3:uid="{29393177-594C-4D64-88D9-05F7327259D2}" name="Column3500"/>
    <tableColumn id="3515" xr3:uid="{DD21E73D-1BB2-4F8C-ACDD-42B66C8138A9}" name="Column3501"/>
    <tableColumn id="3516" xr3:uid="{4FDB9B9A-EF7F-4399-8995-19E251971A3C}" name="Column3502"/>
    <tableColumn id="3517" xr3:uid="{3DF0BD02-8909-43F6-961E-6122D88F35F2}" name="Column3503"/>
    <tableColumn id="3518" xr3:uid="{403C85DE-61E4-4AF8-B58C-9C2B8B16BD8F}" name="Column3504"/>
    <tableColumn id="3519" xr3:uid="{58CB17F1-27B1-4F2F-BDA8-931EB65CD26B}" name="Column3505"/>
    <tableColumn id="3520" xr3:uid="{D58DA56C-B136-4F2A-8E72-676751531A2F}" name="Column3506"/>
    <tableColumn id="3521" xr3:uid="{6CBF5F65-F945-4706-B8F8-1142A6185BCE}" name="Column3507"/>
    <tableColumn id="3522" xr3:uid="{DACF7D01-C220-42F8-B06F-D834938A17A3}" name="Column3508"/>
    <tableColumn id="3523" xr3:uid="{DC186E86-6662-4073-A56B-D06EBB172B41}" name="Column3509"/>
    <tableColumn id="3524" xr3:uid="{7A758A1C-4072-4BA3-B5F4-50AB79F793C1}" name="Column3510"/>
    <tableColumn id="3525" xr3:uid="{03E76B14-CB60-45CE-B1C9-AC79641D713B}" name="Column3511"/>
    <tableColumn id="3526" xr3:uid="{BA9050DC-471A-4863-8369-03B26BE4AC89}" name="Column3512"/>
    <tableColumn id="3527" xr3:uid="{E6A95450-66FE-4A3B-B504-8E574C92F6E5}" name="Column3513"/>
    <tableColumn id="3528" xr3:uid="{A9D7B1A5-C595-477C-8F94-165D9D59864A}" name="Column3514"/>
    <tableColumn id="3529" xr3:uid="{B6E50601-6714-4A72-86FE-3CE5AAA62E5F}" name="Column3515"/>
    <tableColumn id="3530" xr3:uid="{19776896-8B71-4F62-904C-93F4AB79790D}" name="Column3516"/>
    <tableColumn id="3531" xr3:uid="{7E03EFB2-6F03-48FA-8B38-2BE5AA9927A3}" name="Column3517"/>
    <tableColumn id="3532" xr3:uid="{68DBC849-88B3-4BF9-ADEB-1C415AB3647D}" name="Column3518"/>
    <tableColumn id="3533" xr3:uid="{C21FBC82-A432-4ECF-83ED-11FBEDCF8107}" name="Column3519"/>
    <tableColumn id="3534" xr3:uid="{1D1C2269-75D7-4320-8ADA-A469CC75DA40}" name="Column3520"/>
    <tableColumn id="3535" xr3:uid="{A6AD048B-4B7B-477E-AA93-A2BE3FA74A1A}" name="Column3521"/>
    <tableColumn id="3536" xr3:uid="{F5D90FA4-938A-4853-91EE-4CEBCB9D7675}" name="Column3522"/>
    <tableColumn id="3537" xr3:uid="{0C78F879-26A4-42D8-BAD1-BC9AE36D0A01}" name="Column3523"/>
    <tableColumn id="3538" xr3:uid="{FA072429-992A-4C3A-AC05-F526BF7AEA50}" name="Column3524"/>
    <tableColumn id="3539" xr3:uid="{DDA39D66-0B39-4D7F-B898-352847EDAD70}" name="Column3525"/>
    <tableColumn id="3540" xr3:uid="{BE03A26D-FC89-4722-B128-83F7886794B8}" name="Column3526"/>
    <tableColumn id="3541" xr3:uid="{4DE2223C-8131-4F88-8251-E708E8AD8828}" name="Column3527"/>
    <tableColumn id="3542" xr3:uid="{733AAA78-6728-4E8A-B4A7-742D4C49B1EB}" name="Column3528"/>
    <tableColumn id="3543" xr3:uid="{64097313-C24A-45A0-8AAC-00A8F954DC71}" name="Column3529"/>
    <tableColumn id="3544" xr3:uid="{8A9F19A0-2356-4256-8BA8-D5D68DF980DC}" name="Column3530"/>
    <tableColumn id="3545" xr3:uid="{B2497C15-E809-40AB-BFF1-EF6E296E5779}" name="Column3531"/>
    <tableColumn id="3546" xr3:uid="{B6C9F132-EC9E-4067-922A-1DAD04F805C0}" name="Column3532"/>
    <tableColumn id="3547" xr3:uid="{FDD53EF9-1BCA-453A-A6C0-EBF10236DC56}" name="Column3533"/>
    <tableColumn id="3548" xr3:uid="{92081C11-9551-4F9B-8EBF-A8DBA3469B10}" name="Column3534"/>
    <tableColumn id="3549" xr3:uid="{D92F1CD0-692B-4689-96C3-8DAB66822EE2}" name="Column3535"/>
    <tableColumn id="3550" xr3:uid="{5862F3D0-1601-442D-AF41-774A7300BC80}" name="Column3536"/>
    <tableColumn id="3551" xr3:uid="{5553E0D6-95B0-4BAD-A1A6-D3549FD50A50}" name="Column3537"/>
    <tableColumn id="3552" xr3:uid="{4FCDC074-60D0-4AB0-9D9B-91A70007345B}" name="Column3538"/>
    <tableColumn id="3553" xr3:uid="{A6E7BC19-3BDE-4F49-9A79-8F8CD679CB0C}" name="Column3539"/>
    <tableColumn id="3554" xr3:uid="{80BCD4C8-D72D-4625-A611-E7FAB55F924D}" name="Column3540"/>
    <tableColumn id="3555" xr3:uid="{EBE3F2C8-A77F-4976-AA4B-4DF1BF5547B5}" name="Column3541"/>
    <tableColumn id="3556" xr3:uid="{FA60AABD-1404-41EC-9311-A9CA2E38D933}" name="Column3542"/>
    <tableColumn id="3557" xr3:uid="{2738D819-2DFE-4495-BA4E-7B0FCD15BF75}" name="Column3543"/>
    <tableColumn id="3558" xr3:uid="{BE87650A-2B28-412E-A0D1-B8DF1FCE43E5}" name="Column3544"/>
    <tableColumn id="3559" xr3:uid="{7D9A8FF5-EDD0-43F8-AD47-F4E0E881A3F8}" name="Column3545"/>
    <tableColumn id="3560" xr3:uid="{B20FF215-FBDA-4682-840F-8FB8D6CC2AC7}" name="Column3546"/>
    <tableColumn id="3561" xr3:uid="{DB397A17-B063-4506-87D7-B3F228AEBA66}" name="Column3547"/>
    <tableColumn id="3562" xr3:uid="{139D5D7C-7837-41FE-A59B-51896E4B7B95}" name="Column3548"/>
    <tableColumn id="3563" xr3:uid="{5ABAB0C8-410C-497F-ABF4-637B863483B0}" name="Column3549"/>
    <tableColumn id="3564" xr3:uid="{0BC4B628-BF8C-4799-B8DF-99667C0D6E61}" name="Column3550"/>
    <tableColumn id="3565" xr3:uid="{986F3533-FE56-4F89-8A29-473C8DDA6941}" name="Column3551"/>
    <tableColumn id="3566" xr3:uid="{D845753F-AE92-4849-B2D1-8239A4B4A9E2}" name="Column3552"/>
    <tableColumn id="3567" xr3:uid="{9A5EED60-D6F9-4614-BBB6-E35732A7BB5F}" name="Column3553"/>
    <tableColumn id="3568" xr3:uid="{FE22CB78-6F00-449D-A2AD-EEA1087F3D7F}" name="Column3554"/>
    <tableColumn id="3569" xr3:uid="{4BD7E6C8-F64D-4652-918A-5564E52EBEED}" name="Column3555"/>
    <tableColumn id="3570" xr3:uid="{23B4D528-0592-41CD-8CF0-51904A9B4793}" name="Column3556"/>
    <tableColumn id="3571" xr3:uid="{4589A923-ADAD-4451-BDF1-A51AB371313F}" name="Column3557"/>
    <tableColumn id="3572" xr3:uid="{A6D690BD-A892-4873-873B-5D208EC73396}" name="Column3558"/>
    <tableColumn id="3573" xr3:uid="{DD003211-BBB3-46C3-9610-D2A573763407}" name="Column3559"/>
    <tableColumn id="3574" xr3:uid="{266E123C-905E-438B-A7F0-8DA13CCC5483}" name="Column3560"/>
    <tableColumn id="3575" xr3:uid="{53DBBE75-9797-4B9E-A413-138A0D339025}" name="Column3561"/>
    <tableColumn id="3576" xr3:uid="{3901D79A-7621-4B96-8E26-127EDECA51C5}" name="Column3562"/>
    <tableColumn id="3577" xr3:uid="{6B260E9A-B0C5-4A25-AB2B-7B3133E040DC}" name="Column3563"/>
    <tableColumn id="3578" xr3:uid="{52FEC768-4539-4589-82EB-7148E5424868}" name="Column3564"/>
    <tableColumn id="3579" xr3:uid="{9494D46B-EBC9-4385-817A-99E09ECDBFA3}" name="Column3565"/>
    <tableColumn id="3580" xr3:uid="{BC74903E-37DC-4822-8D73-4A89DE054B1E}" name="Column3566"/>
    <tableColumn id="3581" xr3:uid="{5AD375CA-8295-4C29-8F1C-9D25CD921483}" name="Column3567"/>
    <tableColumn id="3582" xr3:uid="{7FD65AEE-78AF-4C48-A74D-C055F50DB6C9}" name="Column3568"/>
    <tableColumn id="3583" xr3:uid="{2A9F7799-8AD3-47CF-8DAC-B8F3CBA0A3D2}" name="Column3569"/>
    <tableColumn id="3584" xr3:uid="{FC6644F2-DB39-4DBC-A4B1-DEE2C47904E7}" name="Column3570"/>
    <tableColumn id="3585" xr3:uid="{07FAE4AF-3908-4D96-A206-A586C25F0F38}" name="Column3571"/>
    <tableColumn id="3586" xr3:uid="{334CAC5B-B60C-44F0-A756-27CFBE528089}" name="Column3572"/>
    <tableColumn id="3587" xr3:uid="{8FB11B4B-987C-499C-973F-09A7D3EACB74}" name="Column3573"/>
    <tableColumn id="3588" xr3:uid="{CCAC8687-C75E-4C68-B85D-8A08E92028CB}" name="Column3574"/>
    <tableColumn id="3589" xr3:uid="{25431C57-12F8-4D85-9819-0AC7176724DF}" name="Column3575"/>
    <tableColumn id="3590" xr3:uid="{98280655-DD29-44A9-85EF-F3493C0ABA3F}" name="Column3576"/>
    <tableColumn id="3591" xr3:uid="{599A5B6A-E9FF-42E3-BB98-89DDE05487B0}" name="Column3577"/>
    <tableColumn id="3592" xr3:uid="{2968E7E9-44F5-4266-9D8D-D259FFD3B43E}" name="Column3578"/>
    <tableColumn id="3593" xr3:uid="{76124DAF-729D-433E-9B32-661F2A3AF135}" name="Column3579"/>
    <tableColumn id="3594" xr3:uid="{46DCA5D7-88C4-467B-8058-A0D9A6332F90}" name="Column3580"/>
    <tableColumn id="3595" xr3:uid="{D8E4B478-F55F-427F-A555-CD11F90DB1DA}" name="Column3581"/>
    <tableColumn id="3596" xr3:uid="{1FD17D26-0F61-4B08-84A7-2B88DB49143F}" name="Column3582"/>
    <tableColumn id="3597" xr3:uid="{CFD93E18-33F7-4215-B2E3-3072C3494F46}" name="Column3583"/>
    <tableColumn id="3598" xr3:uid="{A7E9013A-9AA2-4A8C-97E1-853020ED87B3}" name="Column3584"/>
    <tableColumn id="3599" xr3:uid="{A70614D7-6FBB-476F-AAFF-EAF190747B48}" name="Column3585"/>
    <tableColumn id="3600" xr3:uid="{EE44F3DB-B441-4B7E-922E-D87A92C3E0DD}" name="Column3586"/>
    <tableColumn id="3601" xr3:uid="{B4B883F2-7124-4D98-A8E6-30DE66A7E3C0}" name="Column3587"/>
    <tableColumn id="3602" xr3:uid="{7DA5F95A-53A3-4C2A-9D16-6562149DD514}" name="Column3588"/>
    <tableColumn id="3603" xr3:uid="{7D06C619-65A8-4A2E-87BA-84780F65D7DC}" name="Column3589"/>
    <tableColumn id="3604" xr3:uid="{30D4190C-BAA2-46DC-A9E3-1B2DB5595BE8}" name="Column3590"/>
    <tableColumn id="3605" xr3:uid="{39A22E02-2E5C-4914-A2FB-9335ACFDDAC3}" name="Column3591"/>
    <tableColumn id="3606" xr3:uid="{70451CD9-8AC6-463A-9EE7-D72397D559B1}" name="Column3592"/>
    <tableColumn id="3607" xr3:uid="{C77F2BB2-9F9B-4426-8ADA-FA5993BA0268}" name="Column3593"/>
    <tableColumn id="3608" xr3:uid="{81ECBA9F-DC97-445F-B896-2D67DFAB2C75}" name="Column3594"/>
    <tableColumn id="3609" xr3:uid="{05B66D9D-FF39-41BC-AA9F-0CCE7534EC80}" name="Column3595"/>
    <tableColumn id="3610" xr3:uid="{07B43EA4-92BC-42FE-AA4E-36908D15958E}" name="Column3596"/>
    <tableColumn id="3611" xr3:uid="{801F9F05-19D3-45CF-BC67-7A7B1A2362B1}" name="Column3597"/>
    <tableColumn id="3612" xr3:uid="{ED90ED67-9726-4923-BBC9-AD5823B37534}" name="Column3598"/>
    <tableColumn id="3613" xr3:uid="{0F7EDC75-E343-4D41-BF33-186062B7BFFD}" name="Column3599"/>
    <tableColumn id="3614" xr3:uid="{0C5BA242-F2B1-4686-B56F-1DF4FC0890D3}" name="Column3600"/>
    <tableColumn id="3615" xr3:uid="{9F7D8C0A-DB08-479F-9D44-9B810B32D31B}" name="Column3601"/>
    <tableColumn id="3616" xr3:uid="{0633F58D-E561-4BEB-ADC6-13F144E30AFE}" name="Column3602"/>
    <tableColumn id="3617" xr3:uid="{0489DC7C-7921-4143-9FF6-98CE156CFDB9}" name="Column3603"/>
    <tableColumn id="3618" xr3:uid="{2095AE0C-693E-4EB6-A37A-CD9D27284AD4}" name="Column3604"/>
    <tableColumn id="3619" xr3:uid="{DE526A48-CBEF-4418-9771-8BE6992963F1}" name="Column3605"/>
    <tableColumn id="3620" xr3:uid="{4200CAAF-4E36-4D0F-96E7-6F91EA7C66F5}" name="Column3606"/>
    <tableColumn id="3621" xr3:uid="{AB638315-CF1D-443C-9979-F9B8CA147BC4}" name="Column3607"/>
    <tableColumn id="3622" xr3:uid="{CA702F76-BC54-422F-914D-BA77385DD52D}" name="Column3608"/>
    <tableColumn id="3623" xr3:uid="{FBEC4AC7-B85B-434C-BFDD-F05FFD5F33D9}" name="Column3609"/>
    <tableColumn id="3624" xr3:uid="{27730FC3-3E38-4AC3-8994-05E1E77C8AB3}" name="Column3610"/>
    <tableColumn id="3625" xr3:uid="{C3A0BA2B-06F6-47A2-B5CF-0ABED40836B1}" name="Column3611"/>
    <tableColumn id="3626" xr3:uid="{88152D3A-407B-4AAD-9C1D-5B8432FAC407}" name="Column3612"/>
    <tableColumn id="3627" xr3:uid="{9C40835E-F0D7-4B73-8A6A-329D70E4CF6C}" name="Column3613"/>
    <tableColumn id="3628" xr3:uid="{1EA1C5BA-E4F6-4540-B524-A524585FBC94}" name="Column3614"/>
    <tableColumn id="3629" xr3:uid="{8B3171E3-AD15-4F8B-8232-31CDD515EA6A}" name="Column3615"/>
    <tableColumn id="3630" xr3:uid="{EEEBCD63-FD10-41E8-9C5D-03E37B84040A}" name="Column3616"/>
    <tableColumn id="3631" xr3:uid="{092AEEA9-82EA-4A1A-83B9-60CEDBD49396}" name="Column3617"/>
    <tableColumn id="3632" xr3:uid="{9F516C54-F2C3-4EEA-85D5-165713849C4D}" name="Column3618"/>
    <tableColumn id="3633" xr3:uid="{C919CDDD-50FB-49C1-8A29-F86D08D5AF3F}" name="Column3619"/>
    <tableColumn id="3634" xr3:uid="{6F5B63CF-ECEC-416B-ABC9-F74716E481F9}" name="Column3620"/>
    <tableColumn id="3635" xr3:uid="{838260A0-56F7-4675-B277-4983CAC21AF7}" name="Column3621"/>
    <tableColumn id="3636" xr3:uid="{D3E3F70C-CBAD-4355-A3E1-53F2FB77BCA9}" name="Column3622"/>
    <tableColumn id="3637" xr3:uid="{F4B1042B-8B58-4337-8325-F71934738B6F}" name="Column3623"/>
    <tableColumn id="3638" xr3:uid="{7D36023C-5087-4DE5-B5E7-6A63D8F7A47B}" name="Column3624"/>
    <tableColumn id="3639" xr3:uid="{5A908E26-C7EE-42D5-85C5-69FDF7EBB7E7}" name="Column3625"/>
    <tableColumn id="3640" xr3:uid="{8626C436-EAF4-48F1-9B1D-F7B5C7245E55}" name="Column3626"/>
    <tableColumn id="3641" xr3:uid="{0FD18E60-C2F9-472A-9DA1-57A78A7C5E99}" name="Column3627"/>
    <tableColumn id="3642" xr3:uid="{2F790797-989C-4F95-9453-C24C175D9A80}" name="Column3628"/>
    <tableColumn id="3643" xr3:uid="{4D9E1B26-BC97-4656-98DC-4FCDFB218015}" name="Column3629"/>
    <tableColumn id="3644" xr3:uid="{6739C15F-87C6-4633-8367-A3F63AB60A1C}" name="Column3630"/>
    <tableColumn id="3645" xr3:uid="{FD77D763-6089-435B-A330-B96C4D93B797}" name="Column3631"/>
    <tableColumn id="3646" xr3:uid="{A34FCBBC-A57A-404D-B7CD-943BACE79FEF}" name="Column3632"/>
    <tableColumn id="3647" xr3:uid="{5FE4BC7B-19ED-420C-BD0F-162C3900A21E}" name="Column3633"/>
    <tableColumn id="3648" xr3:uid="{781C9F65-20EE-4960-AE24-9BD958E77719}" name="Column3634"/>
    <tableColumn id="3649" xr3:uid="{34B64C49-3EE2-425D-AB3F-3E3C62E858C2}" name="Column3635"/>
    <tableColumn id="3650" xr3:uid="{51806B6C-A003-44A2-AE64-835AFCB9A6AF}" name="Column3636"/>
    <tableColumn id="3651" xr3:uid="{2516B144-EEE2-4A7B-B2C6-E00FDE74E0FE}" name="Column3637"/>
    <tableColumn id="3652" xr3:uid="{8578E762-1F24-46F6-8AFC-0270E12DADBF}" name="Column3638"/>
    <tableColumn id="3653" xr3:uid="{85AD22D8-8CCF-44B1-8378-F5F544D655F0}" name="Column3639"/>
    <tableColumn id="3654" xr3:uid="{BBBC4F7D-8845-4371-99C8-07C514283FC8}" name="Column3640"/>
    <tableColumn id="3655" xr3:uid="{9E02198E-D483-4780-8D32-2793AA84AC55}" name="Column3641"/>
    <tableColumn id="3656" xr3:uid="{574A9ACB-BD85-468A-8452-171E8366246F}" name="Column3642"/>
    <tableColumn id="3657" xr3:uid="{D11506D2-C0E1-49EB-AAED-0BB4499967BE}" name="Column3643"/>
    <tableColumn id="3658" xr3:uid="{9A160988-13DD-42EA-8FBB-FCBBA295D9BA}" name="Column3644"/>
    <tableColumn id="3659" xr3:uid="{7A89FBCB-08B8-4E50-B748-5914BC301CEC}" name="Column3645"/>
    <tableColumn id="3660" xr3:uid="{1A34A9AF-5E41-434C-A679-93149AE256D9}" name="Column3646"/>
    <tableColumn id="3661" xr3:uid="{F42ACE1F-474A-4983-91E0-22914BB99471}" name="Column3647"/>
    <tableColumn id="3662" xr3:uid="{11F9AB82-2B12-47B0-99ED-BCE10AA42089}" name="Column3648"/>
    <tableColumn id="3663" xr3:uid="{213B648C-6241-4596-91CF-E94E5D9D6FAF}" name="Column3649"/>
    <tableColumn id="3664" xr3:uid="{E66B85F2-5953-4E21-AB7C-81FAA8F3DCCF}" name="Column3650"/>
    <tableColumn id="3665" xr3:uid="{3A633E05-F973-4372-AE91-E20D8C304D3F}" name="Column3651"/>
    <tableColumn id="3666" xr3:uid="{7671F2B6-E5E7-4F19-8192-D5C3385FA82E}" name="Column3652"/>
    <tableColumn id="3667" xr3:uid="{2A900CC8-9C7D-49F5-9CC5-5CADA23CF7B6}" name="Column3653"/>
    <tableColumn id="3668" xr3:uid="{8516C2A6-B149-4CCA-AC4A-BAC08F1907D8}" name="Column3654"/>
    <tableColumn id="3669" xr3:uid="{5AA28E9A-394C-4C45-B5C8-7602C87685B3}" name="Column3655"/>
    <tableColumn id="3670" xr3:uid="{159A9E1B-4D1C-40B0-A6D2-81787C23088C}" name="Column3656"/>
    <tableColumn id="3671" xr3:uid="{15A44A24-2D95-48FB-BB7F-ADDFE4783387}" name="Column3657"/>
    <tableColumn id="3672" xr3:uid="{24586128-8F64-45A5-BB93-D6F6BFA98880}" name="Column3658"/>
    <tableColumn id="3673" xr3:uid="{41FF5ECE-760F-4E58-93C4-5FF76A720001}" name="Column3659"/>
    <tableColumn id="3674" xr3:uid="{ECEB83F2-0B2F-4068-8A58-DB3A753E9824}" name="Column3660"/>
    <tableColumn id="3675" xr3:uid="{EA846CC9-8F71-4B15-9548-07AEE1D380A2}" name="Column3661"/>
    <tableColumn id="3676" xr3:uid="{9C305CED-FA5E-4B15-95F0-2BEE174FE814}" name="Column3662"/>
    <tableColumn id="3677" xr3:uid="{6FACB9DB-C07E-4789-83EB-13EE1760692D}" name="Column3663"/>
    <tableColumn id="3678" xr3:uid="{529E5984-3B71-434F-ADA8-3EFAE9FE9EDE}" name="Column3664"/>
    <tableColumn id="3679" xr3:uid="{85B29F5F-AB3C-437B-89A1-6677642D35A1}" name="Column3665"/>
    <tableColumn id="3680" xr3:uid="{722096C6-53EC-4248-BE45-5589FD1E71F9}" name="Column3666"/>
    <tableColumn id="3681" xr3:uid="{42012338-40B6-48AA-AE00-BB6ACFEB9B46}" name="Column3667"/>
    <tableColumn id="3682" xr3:uid="{6390986B-7D2E-4EC0-8F46-8422A9F5FFB8}" name="Column3668"/>
    <tableColumn id="3683" xr3:uid="{97526C3F-B11F-47F9-959E-E136E7341363}" name="Column3669"/>
    <tableColumn id="3684" xr3:uid="{517FD9EE-F720-47FE-B3FF-89B26A8A04BF}" name="Column3670"/>
    <tableColumn id="3685" xr3:uid="{A4A2EE20-D614-4942-974F-121D4989924A}" name="Column3671"/>
    <tableColumn id="3686" xr3:uid="{52DC7DA0-6A8A-4C00-AA43-3CAF1DFB5F2A}" name="Column3672"/>
    <tableColumn id="3687" xr3:uid="{D0408CBC-89D7-42C5-8E46-B6D8A692B143}" name="Column3673"/>
    <tableColumn id="3688" xr3:uid="{27E4517A-467F-43DE-ABCC-AB3FA33D1FCF}" name="Column3674"/>
    <tableColumn id="3689" xr3:uid="{3BB73A49-ED59-4E69-BDCC-08D807DF6DD2}" name="Column3675"/>
    <tableColumn id="3690" xr3:uid="{090FD8B9-5CF6-4315-A8BE-BB66CACFF097}" name="Column3676"/>
    <tableColumn id="3691" xr3:uid="{1AB3A5FD-6B8A-4343-8C5E-3ED5430BB319}" name="Column3677"/>
    <tableColumn id="3692" xr3:uid="{28B6F266-FEF5-46D3-8F81-E63ECA07A8A1}" name="Column3678"/>
    <tableColumn id="3693" xr3:uid="{EFBF93BA-C084-47EE-BEF7-ABA1DCB93A50}" name="Column3679"/>
    <tableColumn id="3694" xr3:uid="{F3C73824-2A74-456D-BB8E-9DD8D3209423}" name="Column3680"/>
    <tableColumn id="3695" xr3:uid="{E07DE093-68E2-4D5D-877B-83379FA3D845}" name="Column3681"/>
    <tableColumn id="3696" xr3:uid="{CE39BBDC-A952-4078-9A8C-D99375B653B2}" name="Column3682"/>
    <tableColumn id="3697" xr3:uid="{F393CDCB-C308-4C3F-AB16-BC9509D209C4}" name="Column3683"/>
    <tableColumn id="3698" xr3:uid="{388A5CEC-8E2C-44C5-8B49-8773735DB33B}" name="Column3684"/>
    <tableColumn id="3699" xr3:uid="{93F94268-6FBA-46B2-A0CD-B9A3FF6BAD89}" name="Column3685"/>
    <tableColumn id="3700" xr3:uid="{37D670A7-526A-47B8-943C-DC2AE5736766}" name="Column3686"/>
    <tableColumn id="3701" xr3:uid="{EE5956B8-64DA-431F-9B37-F9DB1386F639}" name="Column3687"/>
    <tableColumn id="3702" xr3:uid="{0046D58E-AFBF-4971-B4CC-37774CCC2B4A}" name="Column3688"/>
    <tableColumn id="3703" xr3:uid="{905C9BD9-E2FE-496C-AD36-05852C4D43DF}" name="Column3689"/>
    <tableColumn id="3704" xr3:uid="{462A2A70-9951-4309-BA81-716743E418FA}" name="Column3690"/>
    <tableColumn id="3705" xr3:uid="{46D4F1DC-BDB5-4D94-A361-9F037CAFF574}" name="Column3691"/>
    <tableColumn id="3706" xr3:uid="{F553068E-DB5E-488B-8056-BDC148803EC9}" name="Column3692"/>
    <tableColumn id="3707" xr3:uid="{19F83FD2-7D45-42D3-A01F-0E599C865E46}" name="Column3693"/>
    <tableColumn id="3708" xr3:uid="{0ABC3464-905E-4A69-AC91-F8E3B00DA534}" name="Column3694"/>
    <tableColumn id="3709" xr3:uid="{E3D64EA0-B791-40B7-8C9F-C2725B1A5304}" name="Column3695"/>
    <tableColumn id="3710" xr3:uid="{D3B3ED93-038F-4FC8-B75A-A52EF0E99650}" name="Column3696"/>
    <tableColumn id="3711" xr3:uid="{3EC782BA-8942-41EE-A4CC-0777ECFC78F1}" name="Column3697"/>
    <tableColumn id="3712" xr3:uid="{CF842CD5-F9AF-4394-BB78-D56D80900DA4}" name="Column3698"/>
    <tableColumn id="3713" xr3:uid="{B18073D6-E5D8-4704-A9FF-D38751C11E1A}" name="Column3699"/>
    <tableColumn id="3714" xr3:uid="{2EA81B6E-8149-4180-BC68-59DFFB700116}" name="Column3700"/>
    <tableColumn id="3715" xr3:uid="{1AF7DCDA-F606-4A92-99C4-A88A859227D7}" name="Column3701"/>
    <tableColumn id="3716" xr3:uid="{42C7CD7A-5C9F-430C-B385-08098BBEC442}" name="Column3702"/>
    <tableColumn id="3717" xr3:uid="{AA58E453-9A9A-4411-BB61-802F21380DEF}" name="Column3703"/>
    <tableColumn id="3718" xr3:uid="{CA7F4149-1629-4904-A3A1-E47F6A22E0CE}" name="Column3704"/>
    <tableColumn id="3719" xr3:uid="{B0F46857-C66C-4921-9B6A-12FFC3390375}" name="Column3705"/>
    <tableColumn id="3720" xr3:uid="{946D1303-3CE8-4681-860D-BFC55ADF8025}" name="Column3706"/>
    <tableColumn id="3721" xr3:uid="{25EE648D-0A44-42C8-88FB-C59955540829}" name="Column3707"/>
    <tableColumn id="3722" xr3:uid="{7895C29E-7794-4005-BD95-516099ECF87D}" name="Column3708"/>
    <tableColumn id="3723" xr3:uid="{F8252B6D-7BB8-4E5A-AC34-00C035DC6186}" name="Column3709"/>
    <tableColumn id="3724" xr3:uid="{2C8DB815-F63D-471A-AC65-0941E1848EF2}" name="Column3710"/>
    <tableColumn id="3725" xr3:uid="{2CE771C8-CB1A-4387-8123-E55DD940097A}" name="Column3711"/>
    <tableColumn id="3726" xr3:uid="{42C53E40-6143-420A-8E60-F86EED738997}" name="Column3712"/>
    <tableColumn id="3727" xr3:uid="{123E865D-C96C-473A-96D9-63CE861DE3DE}" name="Column3713"/>
    <tableColumn id="3728" xr3:uid="{0E1E09AC-6A00-435B-9824-30821D5F68A2}" name="Column3714"/>
    <tableColumn id="3729" xr3:uid="{F65EA106-FEDE-4E34-9B83-432A4F8E6AD6}" name="Column3715"/>
    <tableColumn id="3730" xr3:uid="{E5C406BE-3BD8-4204-AAFA-E2EF2695AB03}" name="Column3716"/>
    <tableColumn id="3731" xr3:uid="{F69A80C6-15D1-4EF3-AA83-63F3410B4767}" name="Column3717"/>
    <tableColumn id="3732" xr3:uid="{3CE8EEF9-9A9C-4E24-9EDA-2DD6E36994AD}" name="Column3718"/>
    <tableColumn id="3733" xr3:uid="{FC5D7A6F-59EC-4417-AEE8-F42FFAED5086}" name="Column3719"/>
    <tableColumn id="3734" xr3:uid="{8199E696-955B-4E9E-A887-6650E3E88EF8}" name="Column3720"/>
    <tableColumn id="3735" xr3:uid="{A9217B1C-DC0F-4102-9F48-3C4D2ACB1DF1}" name="Column3721"/>
    <tableColumn id="3736" xr3:uid="{580F084E-E843-4190-84D3-4FEA8B290218}" name="Column3722"/>
    <tableColumn id="3737" xr3:uid="{8C5D55AD-CF98-4FB5-BE3F-EC96176A6009}" name="Column3723"/>
    <tableColumn id="3738" xr3:uid="{44FB70CE-6026-48FB-B6DC-1C2838740CA0}" name="Column3724"/>
    <tableColumn id="3739" xr3:uid="{914730EE-F6B8-4D6D-8E93-6D96ABF448CF}" name="Column3725"/>
    <tableColumn id="3740" xr3:uid="{608570E2-8E11-4354-AB5B-EF115DF461BC}" name="Column3726"/>
    <tableColumn id="3741" xr3:uid="{B8912066-CB44-497E-B66B-4E479A1FE848}" name="Column3727"/>
    <tableColumn id="3742" xr3:uid="{D0FCCCA5-D2F1-45F1-ADD2-48B9F41D3655}" name="Column3728"/>
    <tableColumn id="3743" xr3:uid="{7B887628-B128-4692-9547-2F1B53704632}" name="Column3729"/>
    <tableColumn id="3744" xr3:uid="{D261E18F-F602-4B18-AB74-934704F0FD28}" name="Column3730"/>
    <tableColumn id="3745" xr3:uid="{1962EF66-336F-45F8-A8A3-74915293753B}" name="Column3731"/>
    <tableColumn id="3746" xr3:uid="{7DE03B8D-3B93-41CA-A0F9-8D6CE2AFABA5}" name="Column3732"/>
    <tableColumn id="3747" xr3:uid="{4AB68601-D0DC-4439-B6CE-4C458DACE6E6}" name="Column3733"/>
    <tableColumn id="3748" xr3:uid="{221A8A46-923E-4055-87F6-01DD936A9F89}" name="Column3734"/>
    <tableColumn id="3749" xr3:uid="{79608005-AB39-449E-8577-8175131F86E5}" name="Column3735"/>
    <tableColumn id="3750" xr3:uid="{F499E098-5653-4061-ABAA-AF5C18957063}" name="Column3736"/>
    <tableColumn id="3751" xr3:uid="{DF21D0D1-1C2F-47CC-A032-E32665A8CB56}" name="Column3737"/>
    <tableColumn id="3752" xr3:uid="{EF9E0A55-7184-4C4F-B72D-9DCF0D608EFD}" name="Column3738"/>
    <tableColumn id="3753" xr3:uid="{92104FA8-9999-4F51-9BF1-163D36EBCB8D}" name="Column3739"/>
    <tableColumn id="3754" xr3:uid="{FE503BC2-877A-429E-B397-27E16FCDD0FD}" name="Column3740"/>
    <tableColumn id="3755" xr3:uid="{0203E5FE-CFA0-402D-B0FD-0C213BF449CD}" name="Column3741"/>
    <tableColumn id="3756" xr3:uid="{5D57AD13-69FC-4099-AA04-414F2EFB45FF}" name="Column3742"/>
    <tableColumn id="3757" xr3:uid="{3F500B5A-4DAA-434A-858C-59D2F4A6D7C8}" name="Column3743"/>
    <tableColumn id="3758" xr3:uid="{E7E52898-8562-4A1F-8EDE-E470F4D211EA}" name="Column3744"/>
    <tableColumn id="3759" xr3:uid="{558C4024-1E1D-4B77-A0DB-9F33728F0238}" name="Column3745"/>
    <tableColumn id="3760" xr3:uid="{F2A9C683-3B2A-4030-BC64-E3EDB1DCA249}" name="Column3746"/>
    <tableColumn id="3761" xr3:uid="{2824F2BB-63B4-44A9-8A62-F709801805AD}" name="Column3747"/>
    <tableColumn id="3762" xr3:uid="{3B00FD6C-C62B-4D1B-8870-E65A824DBDD3}" name="Column3748"/>
    <tableColumn id="3763" xr3:uid="{65CFEA47-32D8-4A54-9E1F-A05A9271524D}" name="Column3749"/>
    <tableColumn id="3764" xr3:uid="{17C08BF3-6521-4E4B-ACC8-D3F1BC70143B}" name="Column3750"/>
    <tableColumn id="3765" xr3:uid="{253E7778-B9A1-47DD-91F7-357F4C98B0A2}" name="Column3751"/>
    <tableColumn id="3766" xr3:uid="{58F7FB59-3B90-4153-90A4-CE651BD6B891}" name="Column3752"/>
    <tableColumn id="3767" xr3:uid="{5033D982-159D-468C-80D6-327F7E366C9B}" name="Column3753"/>
    <tableColumn id="3768" xr3:uid="{EEDF3DA5-261E-4698-9D14-25871407D6D9}" name="Column3754"/>
    <tableColumn id="3769" xr3:uid="{2BFFB76C-BAB7-43CE-AD12-C70A7CAE664A}" name="Column3755"/>
    <tableColumn id="3770" xr3:uid="{BA546F8C-0871-44A0-99D3-11DC6384B4CE}" name="Column3756"/>
    <tableColumn id="3771" xr3:uid="{0878D547-5A6F-4C08-BEE6-9E0B07A7D0EA}" name="Column3757"/>
    <tableColumn id="3772" xr3:uid="{D37D2E28-2EC1-4C95-92E3-FA3C9CB83E1C}" name="Column3758"/>
    <tableColumn id="3773" xr3:uid="{2D9F23B0-5278-4181-A564-61C101FC87BF}" name="Column3759"/>
    <tableColumn id="3774" xr3:uid="{CFC4A2B0-292C-44B5-A589-EF5634C9E5AF}" name="Column3760"/>
    <tableColumn id="3775" xr3:uid="{AA3B91B4-9502-4D18-A58A-E83B70B9F01A}" name="Column3761"/>
    <tableColumn id="3776" xr3:uid="{96AEA46A-8DAD-4BA6-BEEA-D28C0842EB8C}" name="Column3762"/>
    <tableColumn id="3777" xr3:uid="{95C458B6-F1DD-43A2-B7AC-3343AC54CCF4}" name="Column3763"/>
    <tableColumn id="3778" xr3:uid="{9E919F5C-609F-4631-8964-8B8CE69AC2BE}" name="Column3764"/>
    <tableColumn id="3779" xr3:uid="{48210F87-E64D-44B0-BF59-385880DDB78D}" name="Column3765"/>
    <tableColumn id="3780" xr3:uid="{2B243EAD-0111-4692-90C6-320D239B98DE}" name="Column3766"/>
    <tableColumn id="3781" xr3:uid="{E0F41F99-4B68-474E-A37C-7A081C04DBCA}" name="Column3767"/>
    <tableColumn id="3782" xr3:uid="{C1794196-B995-46C3-99AB-3EB9305B9B66}" name="Column3768"/>
    <tableColumn id="3783" xr3:uid="{052A2883-BE6D-42DC-AA60-EB630F5CA4A0}" name="Column3769"/>
    <tableColumn id="3784" xr3:uid="{D100DA17-9E12-4FCC-82D6-D0B99C77AE26}" name="Column3770"/>
    <tableColumn id="3785" xr3:uid="{B3F9DC52-E111-4501-B8BF-0BC5D7323B8B}" name="Column3771"/>
    <tableColumn id="3786" xr3:uid="{E8DE2DF1-B3D1-4818-A1A0-5BA60575C254}" name="Column3772"/>
    <tableColumn id="3787" xr3:uid="{77B6C226-BC31-4E4C-8D74-BD424AB79108}" name="Column3773"/>
    <tableColumn id="3788" xr3:uid="{07D313B3-13D4-436C-A9DF-04404615C0D2}" name="Column3774"/>
    <tableColumn id="3789" xr3:uid="{7062684E-A25B-4C34-BABF-47022472DAC0}" name="Column3775"/>
    <tableColumn id="3790" xr3:uid="{507285CC-29CE-4230-8592-6F3E28AE2EAE}" name="Column3776"/>
    <tableColumn id="3791" xr3:uid="{692D8E84-1BFC-4653-89B6-21B823EB1B95}" name="Column3777"/>
    <tableColumn id="3792" xr3:uid="{3FF6042A-4B03-4B62-AF2C-CF56C5B49313}" name="Column3778"/>
    <tableColumn id="3793" xr3:uid="{A5275CD3-DCB7-489B-997D-BB039FEA8884}" name="Column3779"/>
    <tableColumn id="3794" xr3:uid="{9E6E9BD9-3D27-4B79-B18F-E1211B7ED201}" name="Column3780"/>
    <tableColumn id="3795" xr3:uid="{8ABE8E06-3C94-40B3-A745-95F9F1DDD7D9}" name="Column3781"/>
    <tableColumn id="3796" xr3:uid="{FAAD699A-F383-434E-965F-FAEC926CCBFF}" name="Column3782"/>
    <tableColumn id="3797" xr3:uid="{1927176B-B264-4403-9860-A3F7B93FD9B3}" name="Column3783"/>
    <tableColumn id="3798" xr3:uid="{022B5780-5EBD-4E73-AC74-C97B9A295FAA}" name="Column3784"/>
    <tableColumn id="3799" xr3:uid="{1B577A7E-CF9A-4C83-96AD-F95170758387}" name="Column3785"/>
    <tableColumn id="3800" xr3:uid="{B7E3C3DB-4F3F-4338-B409-4D039E5B95B5}" name="Column3786"/>
    <tableColumn id="3801" xr3:uid="{9A552757-1351-40CB-9100-A27E874FDE60}" name="Column3787"/>
    <tableColumn id="3802" xr3:uid="{63A7A3CC-8985-4494-A2B0-4FEAEC1A2E00}" name="Column3788"/>
    <tableColumn id="3803" xr3:uid="{3A05AF48-CDB5-4415-876E-54F53AC245D1}" name="Column3789"/>
    <tableColumn id="3804" xr3:uid="{2740F41E-93BC-4C9B-B73B-042EA7AC435F}" name="Column3790"/>
    <tableColumn id="3805" xr3:uid="{4C151B3E-EE37-4499-9168-4DED32550668}" name="Column3791"/>
    <tableColumn id="3806" xr3:uid="{41439D73-27EC-4EA9-B927-9426E7C5609C}" name="Column3792"/>
    <tableColumn id="3807" xr3:uid="{CECB5D57-22C5-42AF-B82F-4C5D82168D3F}" name="Column3793"/>
    <tableColumn id="3808" xr3:uid="{CA3DF237-4E69-4DF9-ABF1-11F340CD2EEC}" name="Column3794"/>
    <tableColumn id="3809" xr3:uid="{7C7D7825-DC4C-4C5D-A2C5-D0C522216189}" name="Column3795"/>
    <tableColumn id="3810" xr3:uid="{59FF6CFD-50C4-44E0-B5C8-F1C952913B6C}" name="Column3796"/>
    <tableColumn id="3811" xr3:uid="{FE69F4C8-D327-4012-A24D-72B58FEACECF}" name="Column3797"/>
    <tableColumn id="3812" xr3:uid="{01722D8F-2C9D-46D9-98BD-FF44AF83BFB2}" name="Column3798"/>
    <tableColumn id="3813" xr3:uid="{DCFBE430-4115-4F11-8EC6-94004468CE73}" name="Column3799"/>
    <tableColumn id="3814" xr3:uid="{1C4A2599-F69A-4F78-A02F-0A1D9F6E99E7}" name="Column3800"/>
    <tableColumn id="3815" xr3:uid="{EF8E3CD6-C9BB-4A73-843B-44D63698A8B9}" name="Column3801"/>
    <tableColumn id="3816" xr3:uid="{ED762A97-3E55-42C7-B692-664B83B8C513}" name="Column3802"/>
    <tableColumn id="3817" xr3:uid="{C9B1C758-A406-4D15-B864-39F18CC36526}" name="Column3803"/>
    <tableColumn id="3818" xr3:uid="{4C8A984E-C54B-424A-9BD2-56B756275653}" name="Column3804"/>
    <tableColumn id="3819" xr3:uid="{68F84E41-C95E-4633-BF65-29CFFA5B83C9}" name="Column3805"/>
    <tableColumn id="3820" xr3:uid="{6E955FD9-0E38-454C-A954-976080698CD8}" name="Column3806"/>
    <tableColumn id="3821" xr3:uid="{5877EE4A-CDB0-47E6-82FE-37C18B9D3366}" name="Column3807"/>
    <tableColumn id="3822" xr3:uid="{0D0D52FB-2C77-4445-AF55-46E6CB7C0362}" name="Column3808"/>
    <tableColumn id="3823" xr3:uid="{B31D81BB-ECEA-4DF3-AD3B-9E18255FCBF8}" name="Column3809"/>
    <tableColumn id="3824" xr3:uid="{2DC223FD-942E-490C-8EFC-3ED994948AB0}" name="Column3810"/>
    <tableColumn id="3825" xr3:uid="{B132A7ED-FD96-4C85-B102-C445F36B555F}" name="Column3811"/>
    <tableColumn id="3826" xr3:uid="{CDAA2C8F-E7B3-4777-8510-86CB556F36EB}" name="Column3812"/>
    <tableColumn id="3827" xr3:uid="{46FEBE8D-8A09-4914-839A-002A8D8CA885}" name="Column3813"/>
    <tableColumn id="3828" xr3:uid="{94009E18-8524-40C2-A97E-839F7DDC00BB}" name="Column3814"/>
    <tableColumn id="3829" xr3:uid="{590555D3-1836-4B85-AEFE-74895A40D57D}" name="Column3815"/>
    <tableColumn id="3830" xr3:uid="{F83C3C47-E74D-49F4-9B05-DDE0179657BB}" name="Column3816"/>
    <tableColumn id="3831" xr3:uid="{A2DCAC81-1C17-458C-B1B9-B2D6969DE80D}" name="Column3817"/>
    <tableColumn id="3832" xr3:uid="{EF4E7E2E-DCAA-4CA7-8158-63C7D1014706}" name="Column3818"/>
    <tableColumn id="3833" xr3:uid="{788F2387-EBDF-4692-A4EC-22690746E395}" name="Column3819"/>
    <tableColumn id="3834" xr3:uid="{1C072900-A51C-493E-90F0-78E32ECCDA45}" name="Column3820"/>
    <tableColumn id="3835" xr3:uid="{8897FF00-5A92-4158-BCC5-F90B962F5B99}" name="Column3821"/>
    <tableColumn id="3836" xr3:uid="{F22BDED3-31D0-40F1-B792-87182D43FECB}" name="Column3822"/>
    <tableColumn id="3837" xr3:uid="{1AC028FF-1C89-43B6-9762-6ECB0666FA95}" name="Column3823"/>
    <tableColumn id="3838" xr3:uid="{32B313F4-E789-41A5-BF9B-CFFA82825726}" name="Column3824"/>
    <tableColumn id="3839" xr3:uid="{E710C692-FF51-4D32-9F0A-95C4FDA74FD0}" name="Column3825"/>
    <tableColumn id="3840" xr3:uid="{0460C25A-C69F-4477-B2B1-33A6217B00E0}" name="Column3826"/>
    <tableColumn id="3841" xr3:uid="{39A3275F-010D-4186-BB3E-964F9D97FD6D}" name="Column3827"/>
    <tableColumn id="3842" xr3:uid="{8AAEF781-CF46-48B4-BFE8-3BAB7BDB7EDD}" name="Column3828"/>
    <tableColumn id="3843" xr3:uid="{B34E34B2-56DC-40A7-9A75-02D16C665B52}" name="Column3829"/>
    <tableColumn id="3844" xr3:uid="{ADBE39A5-B709-4DAD-8E9B-6709D462B95B}" name="Column3830"/>
    <tableColumn id="3845" xr3:uid="{7B806607-3F95-4F98-A0B8-7B7D276796FB}" name="Column3831"/>
    <tableColumn id="3846" xr3:uid="{23684D7F-8667-47E1-863E-8E02BE8D6CBE}" name="Column3832"/>
    <tableColumn id="3847" xr3:uid="{14BCA9BB-54EC-4423-AED9-532EB10BE3C8}" name="Column3833"/>
    <tableColumn id="3848" xr3:uid="{5693C077-5988-4C05-9DB7-E39E924A9A8A}" name="Column3834"/>
    <tableColumn id="3849" xr3:uid="{9286AF09-C454-4621-A295-60D8D5A41DD3}" name="Column3835"/>
    <tableColumn id="3850" xr3:uid="{2B62EB1B-55F1-449E-B24A-C4D893F25CC0}" name="Column3836"/>
    <tableColumn id="3851" xr3:uid="{8ECA034B-B96C-44D9-B536-82539F366185}" name="Column3837"/>
    <tableColumn id="3852" xr3:uid="{5A043E99-856B-45AC-890E-8D52E5A0CCC9}" name="Column3838"/>
    <tableColumn id="3853" xr3:uid="{A014EB32-F48B-4C02-895E-AE8485C7249F}" name="Column3839"/>
    <tableColumn id="3854" xr3:uid="{2C1885D2-572C-4C4C-82C5-95E7453A0685}" name="Column3840"/>
    <tableColumn id="3855" xr3:uid="{77CEE6F2-585E-4120-BD61-2A51CEC99796}" name="Column3841"/>
    <tableColumn id="3856" xr3:uid="{68E39C40-9BD9-4A91-B935-E5FF856803FC}" name="Column3842"/>
    <tableColumn id="3857" xr3:uid="{75074C7E-8E02-4658-9E97-EB23C2ED9DE5}" name="Column3843"/>
    <tableColumn id="3858" xr3:uid="{0D56F4D7-A0A7-4C32-B035-674A0BCC77C1}" name="Column3844"/>
    <tableColumn id="3859" xr3:uid="{66AF0752-15E4-4AD9-BA0E-F521EEA0989E}" name="Column3845"/>
    <tableColumn id="3860" xr3:uid="{47DFE075-FB39-4493-84FD-61828F575B19}" name="Column3846"/>
    <tableColumn id="3861" xr3:uid="{1BBF50C6-A6A4-4B5E-86DB-979F15039F60}" name="Column3847"/>
    <tableColumn id="3862" xr3:uid="{49F9F543-4394-4F93-80C2-D7D7EE3B039E}" name="Column3848"/>
    <tableColumn id="3863" xr3:uid="{CCEF7A67-EA93-440D-9E58-95E5EE237508}" name="Column3849"/>
    <tableColumn id="3864" xr3:uid="{85D105B7-6FC6-412E-ACA5-14463F7C3BA0}" name="Column3850"/>
    <tableColumn id="3865" xr3:uid="{6F97D4CC-A097-42EA-AE17-6DFFA05B4F42}" name="Column3851"/>
    <tableColumn id="3866" xr3:uid="{E1EA94DB-18D0-42E3-A3C9-7B2A8A1A325D}" name="Column3852"/>
    <tableColumn id="3867" xr3:uid="{BF218257-F533-4906-81A0-94BB5715DD38}" name="Column3853"/>
    <tableColumn id="3868" xr3:uid="{11DE6FC1-89E6-49FB-9B5B-FEE9A99C65F6}" name="Column3854"/>
    <tableColumn id="3869" xr3:uid="{84553176-B912-4668-9CB5-BA9E43BA609A}" name="Column3855"/>
    <tableColumn id="3870" xr3:uid="{7D04D377-39CE-4A2D-8331-C2642D2DE524}" name="Column3856"/>
    <tableColumn id="3871" xr3:uid="{A29D3C7F-51DC-4DE2-AC49-D608B064FA63}" name="Column3857"/>
    <tableColumn id="3872" xr3:uid="{6E82BC00-F602-4112-9F38-F6AB19B97476}" name="Column3858"/>
    <tableColumn id="3873" xr3:uid="{E0A2C3DE-29DE-43E7-A339-7CC41DB81548}" name="Column3859"/>
    <tableColumn id="3874" xr3:uid="{291180E9-A1AB-4BF3-83A6-8EAA1AE8C73C}" name="Column3860"/>
    <tableColumn id="3875" xr3:uid="{33677238-D5BD-4497-94E3-C45E759EB96F}" name="Column3861"/>
    <tableColumn id="3876" xr3:uid="{0B235172-4B03-4F21-AAAF-84A2B7019F2C}" name="Column3862"/>
    <tableColumn id="3877" xr3:uid="{661F94E0-B3D3-4736-8DAD-766C897B0157}" name="Column3863"/>
    <tableColumn id="3878" xr3:uid="{20C69E46-39A0-492A-AE29-4F868BE15B91}" name="Column3864"/>
    <tableColumn id="3879" xr3:uid="{2EAA6CA1-8F2D-4AE3-A23E-FE3BD14DC02C}" name="Column3865"/>
    <tableColumn id="3880" xr3:uid="{72CB2640-0ECD-41FE-9F51-50B10B5DA8D5}" name="Column3866"/>
    <tableColumn id="3881" xr3:uid="{6840720E-4F1B-49A6-B3E3-22932D28265C}" name="Column3867"/>
    <tableColumn id="3882" xr3:uid="{E626A747-08AC-40BD-A934-F5EEB08ED783}" name="Column3868"/>
    <tableColumn id="3883" xr3:uid="{88E010A2-B3E0-40E8-871D-CEB42816ECDC}" name="Column3869"/>
    <tableColumn id="3884" xr3:uid="{179A6FBA-A621-4612-9239-FA2D30FD4DE5}" name="Column3870"/>
    <tableColumn id="3885" xr3:uid="{25E12417-C3F4-478A-AC5B-46F966DD4E6B}" name="Column3871"/>
    <tableColumn id="3886" xr3:uid="{9ED69B82-26F5-4B01-BEE3-F7FB70D152AD}" name="Column3872"/>
    <tableColumn id="3887" xr3:uid="{DBC58A3C-9E70-460E-B501-A6CF28EC8D29}" name="Column3873"/>
    <tableColumn id="3888" xr3:uid="{047925F2-910A-4E27-AFAD-7011C989A7A1}" name="Column3874"/>
    <tableColumn id="3889" xr3:uid="{4E2B0325-D4F6-46B3-B0C0-3AA4242C6ACA}" name="Column3875"/>
    <tableColumn id="3890" xr3:uid="{D7F40C39-C0AC-4C67-9114-1B394C529CBF}" name="Column3876"/>
    <tableColumn id="3891" xr3:uid="{A6ED038D-6A39-4926-9B32-39E905C94AA7}" name="Column3877"/>
    <tableColumn id="3892" xr3:uid="{891AE9C1-2FE9-4408-A58C-C8DD903160F0}" name="Column3878"/>
    <tableColumn id="3893" xr3:uid="{B7548E6D-7A5F-449C-B90D-0865CAAB8D66}" name="Column3879"/>
    <tableColumn id="3894" xr3:uid="{7DB96ED8-2512-4839-A1B0-61663070D950}" name="Column3880"/>
    <tableColumn id="3895" xr3:uid="{E7345189-CFB6-4C11-A587-B9E63790AFA6}" name="Column3881"/>
    <tableColumn id="3896" xr3:uid="{A59682B9-50D8-42EB-AA50-FE6B02047505}" name="Column3882"/>
    <tableColumn id="3897" xr3:uid="{16EE9BD4-51B3-4EB2-955E-930F7E03499C}" name="Column3883"/>
    <tableColumn id="3898" xr3:uid="{ACB20107-A616-4C30-BCDC-D95B303EE215}" name="Column3884"/>
    <tableColumn id="3899" xr3:uid="{935BD885-A1B4-488B-8B25-D0E1F1685DCB}" name="Column3885"/>
    <tableColumn id="3900" xr3:uid="{E55359E7-7278-4823-8BA5-4BDB4D0F4650}" name="Column3886"/>
    <tableColumn id="3901" xr3:uid="{B155A77A-4717-4F9C-8AE5-51C171E6A4E6}" name="Column3887"/>
    <tableColumn id="3902" xr3:uid="{67271F96-2008-4929-9D9C-8351CBA869D3}" name="Column3888"/>
    <tableColumn id="3903" xr3:uid="{9FADE1B0-AD2B-4132-845A-642D9F5A2EA7}" name="Column3889"/>
    <tableColumn id="3904" xr3:uid="{44C53BFC-8577-46D5-AB60-7439CB05B7D7}" name="Column3890"/>
    <tableColumn id="3905" xr3:uid="{6D22F311-C03A-411D-A5D9-631BBA6CEFB7}" name="Column3891"/>
    <tableColumn id="3906" xr3:uid="{5D9F51B1-1FCE-44A7-9971-4F5FC270A078}" name="Column3892"/>
    <tableColumn id="3907" xr3:uid="{AF6E502E-1162-408F-956B-C0FAC60F0683}" name="Column3893"/>
    <tableColumn id="3908" xr3:uid="{99CBF594-DA12-4154-8E43-5C264986BA16}" name="Column3894"/>
    <tableColumn id="3909" xr3:uid="{551147AD-4660-43E6-92FA-C65EAAB31E74}" name="Column3895"/>
    <tableColumn id="3910" xr3:uid="{3B936C42-22DB-4A0F-82E5-0D792906B481}" name="Column3896"/>
    <tableColumn id="3911" xr3:uid="{7FF986C8-4AFF-4D92-AC4D-AE679201041F}" name="Column3897"/>
    <tableColumn id="3912" xr3:uid="{AA218C84-52A7-4FE4-89E8-31AE48AFDA64}" name="Column3898"/>
    <tableColumn id="3913" xr3:uid="{1AFE50C5-4777-456D-BBB8-7414EA79DE27}" name="Column3899"/>
    <tableColumn id="3914" xr3:uid="{8F70E771-2273-48F5-914D-817D766891B5}" name="Column3900"/>
    <tableColumn id="3915" xr3:uid="{E0E767C4-CAE1-4AEE-9F2E-CE3B77B509FF}" name="Column3901"/>
    <tableColumn id="3916" xr3:uid="{03DB24D1-197B-44BB-905F-933F3A34CDDB}" name="Column3902"/>
    <tableColumn id="3917" xr3:uid="{E108F9DF-75E0-406E-AAA4-A4CCC7BE2418}" name="Column3903"/>
    <tableColumn id="3918" xr3:uid="{F8F498D7-2C4D-4BA7-9F1B-DB02CC2C690B}" name="Column3904"/>
    <tableColumn id="3919" xr3:uid="{D301233F-742A-4E9C-A481-69A6E0479908}" name="Column3905"/>
    <tableColumn id="3920" xr3:uid="{9AC17A93-D9C4-4CF3-B400-68F1E756C6B2}" name="Column3906"/>
    <tableColumn id="3921" xr3:uid="{7F20C146-A2E6-4D90-9FDF-DC691CDC747B}" name="Column3907"/>
    <tableColumn id="3922" xr3:uid="{B08551F6-E924-4140-B675-5287F6B1BBA9}" name="Column3908"/>
    <tableColumn id="3923" xr3:uid="{65A6DFC5-2659-4C52-9969-F4A723F3065B}" name="Column3909"/>
    <tableColumn id="3924" xr3:uid="{29B8E88E-7D98-4450-B222-C3D78BD3CAD5}" name="Column3910"/>
    <tableColumn id="3925" xr3:uid="{483E8BF2-0D27-459D-A7A9-979E5947F63E}" name="Column3911"/>
    <tableColumn id="3926" xr3:uid="{C3E232E7-252B-4B2B-AD24-8CC120910745}" name="Column3912"/>
    <tableColumn id="3927" xr3:uid="{3A50D84C-06D2-4DF5-85D0-EF938D13F99D}" name="Column3913"/>
    <tableColumn id="3928" xr3:uid="{A863ADFE-F112-4AF2-82FD-58354A2E9714}" name="Column3914"/>
    <tableColumn id="3929" xr3:uid="{23A3C11D-64C1-4DB7-9ED4-CBAB241B333C}" name="Column3915"/>
    <tableColumn id="3930" xr3:uid="{A0B61CEC-AE58-4283-889C-06D8970E1278}" name="Column3916"/>
    <tableColumn id="3931" xr3:uid="{04C7BDB6-393D-4C86-B953-26680BF6BAF5}" name="Column3917"/>
    <tableColumn id="3932" xr3:uid="{A3B934BA-F695-4DFC-BF3C-DD43AD8698AD}" name="Column3918"/>
    <tableColumn id="3933" xr3:uid="{26AD3873-BCC3-4607-91E3-A0E6B96BA9D7}" name="Column3919"/>
    <tableColumn id="3934" xr3:uid="{FEC349BC-C49E-4C62-B3AA-96F6EF97029E}" name="Column3920"/>
    <tableColumn id="3935" xr3:uid="{A0CCD681-4A30-4812-829D-0C541836F2D8}" name="Column3921"/>
    <tableColumn id="3936" xr3:uid="{3ACBA723-1ADF-46A1-93AC-5388A3397A1B}" name="Column3922"/>
    <tableColumn id="3937" xr3:uid="{61B1F88B-B962-4510-8DBC-05EAED1C55A8}" name="Column3923"/>
    <tableColumn id="3938" xr3:uid="{5A32D51C-312B-4C27-8360-0215C393EAF4}" name="Column3924"/>
    <tableColumn id="3939" xr3:uid="{FED8FA16-32FE-4FB0-B5C1-628A9D4F0107}" name="Column3925"/>
    <tableColumn id="3940" xr3:uid="{093CB74A-8880-4524-B294-B92AA03058D7}" name="Column3926"/>
    <tableColumn id="3941" xr3:uid="{1FFAE911-C699-4698-9029-DB9A220BB223}" name="Column3927"/>
    <tableColumn id="3942" xr3:uid="{5AD0BBE5-611A-4301-861B-B577ABE6A408}" name="Column3928"/>
    <tableColumn id="3943" xr3:uid="{72DFC1B7-448D-43B3-9648-D623012EBC77}" name="Column3929"/>
    <tableColumn id="3944" xr3:uid="{36FB4495-B448-44E3-8D4B-FEE1712DA41A}" name="Column3930"/>
    <tableColumn id="3945" xr3:uid="{4D1BD0DF-7EE8-4FD2-9D77-59501160406E}" name="Column3931"/>
    <tableColumn id="3946" xr3:uid="{1ADD8D83-E7A3-46CB-BA41-D37DD1A07635}" name="Column3932"/>
    <tableColumn id="3947" xr3:uid="{8039DE98-AA98-4BCA-AD4A-FF36C792FD15}" name="Column3933"/>
    <tableColumn id="3948" xr3:uid="{10632E0F-5DBD-49F3-8790-17BF47A81F46}" name="Column3934"/>
    <tableColumn id="3949" xr3:uid="{E9E6B147-F167-4920-9194-790C12EE18EB}" name="Column3935"/>
    <tableColumn id="3950" xr3:uid="{1F6F8E72-3E74-4D75-A3D3-63918BA9E94F}" name="Column3936"/>
    <tableColumn id="3951" xr3:uid="{457C2158-F155-432C-8CD9-BC48C4358F2A}" name="Column3937"/>
    <tableColumn id="3952" xr3:uid="{7D389FAD-272A-4060-997E-AE3B891BC548}" name="Column3938"/>
    <tableColumn id="3953" xr3:uid="{88035D6A-05B1-4235-BE23-B0180DB5C719}" name="Column3939"/>
    <tableColumn id="3954" xr3:uid="{F57FE65E-2260-48F9-96D3-BE830FAE0C02}" name="Column3940"/>
    <tableColumn id="3955" xr3:uid="{92801497-1BED-4226-A267-14E728AB56A4}" name="Column3941"/>
    <tableColumn id="3956" xr3:uid="{FD9B7E27-8007-42FC-AF1E-15813C198759}" name="Column3942"/>
    <tableColumn id="3957" xr3:uid="{B1D76951-9D7A-4631-AD0E-4440D0AEB1C8}" name="Column3943"/>
    <tableColumn id="3958" xr3:uid="{50C0313A-1C13-453A-B4DC-2C6F45519D45}" name="Column3944"/>
    <tableColumn id="3959" xr3:uid="{F547C927-EF0B-4F97-9031-6B3F124AD1CD}" name="Column3945"/>
    <tableColumn id="3960" xr3:uid="{44EC4FB3-2122-46B3-BAD3-06DD0B88384B}" name="Column3946"/>
    <tableColumn id="3961" xr3:uid="{BC8720FF-23CD-46E0-B948-2DEA462481B1}" name="Column3947"/>
    <tableColumn id="3962" xr3:uid="{41925548-11E2-4034-B29C-22021BE290C2}" name="Column3948"/>
    <tableColumn id="3963" xr3:uid="{145A2BF2-9B9F-450D-AD53-F0396EFB9112}" name="Column3949"/>
    <tableColumn id="3964" xr3:uid="{68014436-7C07-4E21-859F-BF578E5FC71A}" name="Column3950"/>
    <tableColumn id="3965" xr3:uid="{D048536F-9CBA-4260-A122-6A21B8D6506B}" name="Column3951"/>
    <tableColumn id="3966" xr3:uid="{2AB86988-2D20-44AF-A4FA-AC7F663C1CF9}" name="Column3952"/>
    <tableColumn id="3967" xr3:uid="{3E6F3C99-0EAD-4B1A-933E-2180F595F647}" name="Column3953"/>
    <tableColumn id="3968" xr3:uid="{189D0A0E-B6B7-4719-A929-5F4F1E0A9D86}" name="Column3954"/>
    <tableColumn id="3969" xr3:uid="{6D356345-56B0-43D5-82F3-58EFDDBCC143}" name="Column3955"/>
    <tableColumn id="3970" xr3:uid="{52578A9E-E046-46D4-97F0-CB73BBBAC392}" name="Column3956"/>
    <tableColumn id="3971" xr3:uid="{33B2D77D-D9E1-4861-879D-1AAB06FB102B}" name="Column3957"/>
    <tableColumn id="3972" xr3:uid="{A2E3481B-9855-47EB-A75F-F7E936EE7083}" name="Column3958"/>
    <tableColumn id="3973" xr3:uid="{2D7A1641-115F-471A-950F-019B3B47B7E9}" name="Column3959"/>
    <tableColumn id="3974" xr3:uid="{74C9373C-6715-4210-B3BB-F25D4DA49EF5}" name="Column3960"/>
    <tableColumn id="3975" xr3:uid="{3B4C5E53-F344-4AC8-AC5D-B020A4BD7C0B}" name="Column3961"/>
    <tableColumn id="3976" xr3:uid="{6FCA9E4B-B271-46B9-A833-7F434E11822C}" name="Column3962"/>
    <tableColumn id="3977" xr3:uid="{1E7DEE00-3F91-463E-90E0-F695AE7D4FFD}" name="Column3963"/>
    <tableColumn id="3978" xr3:uid="{E2F3EA03-61C9-4580-AFFC-FEFE0C51DB47}" name="Column3964"/>
    <tableColumn id="3979" xr3:uid="{E999F599-1779-4DDB-B76F-A77A6F0092A0}" name="Column3965"/>
    <tableColumn id="3980" xr3:uid="{B54B7B71-23E2-4367-98EA-0193FC44809A}" name="Column3966"/>
    <tableColumn id="3981" xr3:uid="{044152BD-8EC0-47BC-AC63-B7B660EB317A}" name="Column3967"/>
    <tableColumn id="3982" xr3:uid="{6F322733-CCA2-4D3E-B730-D403AD57EFC6}" name="Column3968"/>
    <tableColumn id="3983" xr3:uid="{724AC7A6-B148-4197-907B-9840E76DE092}" name="Column3969"/>
    <tableColumn id="3984" xr3:uid="{9C5F4ED5-C60C-4334-A7E3-5FAA59FF062D}" name="Column3970"/>
    <tableColumn id="3985" xr3:uid="{DABB052F-C704-4169-981B-0567585EA9D1}" name="Column3971"/>
    <tableColumn id="3986" xr3:uid="{E9F2C46C-D70B-47A3-A54A-7D7DE995ED30}" name="Column3972"/>
    <tableColumn id="3987" xr3:uid="{A8E1CA5B-CE66-4BC5-A810-446BD15A4BED}" name="Column3973"/>
    <tableColumn id="3988" xr3:uid="{77EB65EE-6427-447E-A720-8FFCB754D7BB}" name="Column3974"/>
    <tableColumn id="3989" xr3:uid="{06621611-DEE3-49BD-9632-CD875FFCD820}" name="Column3975"/>
    <tableColumn id="3990" xr3:uid="{33178871-3E79-42AB-BEB1-7BEB9E8DCE15}" name="Column3976"/>
    <tableColumn id="3991" xr3:uid="{C97569CD-B90C-4AC6-9D34-051C3B91357A}" name="Column3977"/>
    <tableColumn id="3992" xr3:uid="{B0404FD6-4503-40FC-82E8-7FE4257552E1}" name="Column3978"/>
    <tableColumn id="3993" xr3:uid="{85E2FB7E-2A68-465D-92C3-70D3FB87D0C4}" name="Column3979"/>
    <tableColumn id="3994" xr3:uid="{7ABD17C9-7E74-4B16-A036-D6D8B272F828}" name="Column3980"/>
    <tableColumn id="3995" xr3:uid="{BE5ABCA8-1F09-46ED-8594-29A4F3B39D32}" name="Column3981"/>
    <tableColumn id="3996" xr3:uid="{A38678E5-67F3-48F0-8EE4-51208D9D28F4}" name="Column3982"/>
    <tableColumn id="3997" xr3:uid="{691195E7-5D0E-45A9-B074-295938335FDB}" name="Column3983"/>
    <tableColumn id="3998" xr3:uid="{966ED0E5-022D-41C2-B7B7-962549CAA880}" name="Column3984"/>
    <tableColumn id="3999" xr3:uid="{F6466C42-C19A-40DE-9545-737B2BB30AFC}" name="Column3985"/>
    <tableColumn id="4000" xr3:uid="{91968A8A-6A3B-4026-B73A-98EFA6B3449C}" name="Column3986"/>
    <tableColumn id="4001" xr3:uid="{D99DCD18-AB4E-4789-B736-D44756F396D5}" name="Column3987"/>
    <tableColumn id="4002" xr3:uid="{E59624AE-90EA-410B-B65E-5F41092B77D3}" name="Column3988"/>
    <tableColumn id="4003" xr3:uid="{055438E9-7B51-4DCE-A21E-F52531D26B27}" name="Column3989"/>
    <tableColumn id="4004" xr3:uid="{1EB830E3-DF45-4724-BBD4-452DF566E6FB}" name="Column3990"/>
    <tableColumn id="4005" xr3:uid="{7CD64837-26EC-4D7B-8582-BCE25F3E1A8C}" name="Column3991"/>
    <tableColumn id="4006" xr3:uid="{31C95C04-647F-436D-BDE3-13B499F9D68E}" name="Column3992"/>
    <tableColumn id="4007" xr3:uid="{BF108309-8FAB-423C-BF8E-2EBFDA3CFDAE}" name="Column3993"/>
    <tableColumn id="4008" xr3:uid="{B22012F7-ED70-4F50-8305-5C09C5130647}" name="Column3994"/>
    <tableColumn id="4009" xr3:uid="{D7EA206D-8FCE-4906-BB10-E022FEBE5DD1}" name="Column3995"/>
    <tableColumn id="4010" xr3:uid="{37A44E03-885B-4618-8502-1B5B77D8A496}" name="Column3996"/>
    <tableColumn id="4011" xr3:uid="{0DF393AF-BB07-448A-958C-D255712E6FF4}" name="Column3997"/>
    <tableColumn id="4012" xr3:uid="{29E9BDF2-6909-4A23-8EFF-DFB483B1FB24}" name="Column3998"/>
    <tableColumn id="4013" xr3:uid="{FC58FC7B-C1E8-4DB2-9B25-53351FA5E761}" name="Column3999"/>
    <tableColumn id="4014" xr3:uid="{ACE2EEA8-19FF-4F8C-8C96-C81DB2C09B66}" name="Column4000"/>
    <tableColumn id="4015" xr3:uid="{5D4E295C-9153-496F-AF02-648F7A81633C}" name="Column4001"/>
    <tableColumn id="4016" xr3:uid="{5F06AF6E-5110-4780-8CBD-FBC365C4E013}" name="Column4002"/>
    <tableColumn id="4017" xr3:uid="{4FE8A29F-DA32-4770-992B-C0FD2EBCD97C}" name="Column4003"/>
    <tableColumn id="4018" xr3:uid="{15FA8DFC-5DFB-49D1-990B-79037EFA1BCD}" name="Column4004"/>
    <tableColumn id="4019" xr3:uid="{41B9C086-71C5-49A0-8E42-0AA82C608848}" name="Column4005"/>
    <tableColumn id="4020" xr3:uid="{B7BD8CDA-D776-42B0-979A-2ABCE3420C86}" name="Column4006"/>
    <tableColumn id="4021" xr3:uid="{EA86CC59-E8B7-4A0E-B935-50DF9C521655}" name="Column4007"/>
    <tableColumn id="4022" xr3:uid="{A9404ABE-8598-4BFB-94B0-79B5005D0136}" name="Column4008"/>
    <tableColumn id="4023" xr3:uid="{05D2659D-D5FA-42C5-829F-E856D8EB9DAC}" name="Column4009"/>
    <tableColumn id="4024" xr3:uid="{4834B1BA-0209-4E33-AD67-8299C1CA7D1E}" name="Column4010"/>
    <tableColumn id="4025" xr3:uid="{FF628B3C-5879-4928-AE81-B600CC2DF8E2}" name="Column4011"/>
    <tableColumn id="4026" xr3:uid="{3E33304A-6DB9-44CA-BA50-358AC0FEFD7D}" name="Column4012"/>
    <tableColumn id="4027" xr3:uid="{0B773EE2-F114-4395-8FEB-20EE8365692E}" name="Column4013"/>
    <tableColumn id="4028" xr3:uid="{6505FCBD-6B81-4347-ADBF-16A84EFCD468}" name="Column4014"/>
    <tableColumn id="4029" xr3:uid="{194B2F18-8081-4C14-B2B9-5787ED290104}" name="Column4015"/>
    <tableColumn id="4030" xr3:uid="{742DBFDF-442F-43E0-98F8-7736DAB15927}" name="Column4016"/>
    <tableColumn id="4031" xr3:uid="{C4C92D8D-6CAC-4444-9663-FE19DFDFF9CE}" name="Column4017"/>
    <tableColumn id="4032" xr3:uid="{A2B64E1E-2285-477F-839C-A20DC8A82EEA}" name="Column4018"/>
    <tableColumn id="4033" xr3:uid="{A61DABEF-9C18-470E-A4B9-CB6FF9A24FEC}" name="Column4019"/>
    <tableColumn id="4034" xr3:uid="{DCB0078C-9612-49E3-88E3-24CB8D1BE82E}" name="Column4020"/>
    <tableColumn id="4035" xr3:uid="{3265069E-25F5-41C8-AA51-22941377D7D0}" name="Column4021"/>
    <tableColumn id="4036" xr3:uid="{A09CD734-4793-479F-A2BE-01FCC5D82C25}" name="Column4022"/>
    <tableColumn id="4037" xr3:uid="{90F413DF-7E72-4CA0-9AA1-B106F4377D23}" name="Column4023"/>
    <tableColumn id="4038" xr3:uid="{46F11BD3-A2FF-4BFC-9C44-5AE926E51C8B}" name="Column4024"/>
    <tableColumn id="4039" xr3:uid="{2E4277EB-067F-41EE-B8A1-15925C7DA9C3}" name="Column4025"/>
    <tableColumn id="4040" xr3:uid="{89AEF33A-2761-4FAF-BD47-FDCD30934E7E}" name="Column4026"/>
    <tableColumn id="4041" xr3:uid="{0D1D8BD1-5268-49BA-99EF-F6D8283C6C28}" name="Column4027"/>
    <tableColumn id="4042" xr3:uid="{9CB01773-082D-4E67-9BC3-A31809BD291E}" name="Column4028"/>
    <tableColumn id="4043" xr3:uid="{C6487E0F-811E-4374-958D-77D0FC9B0C6F}" name="Column4029"/>
    <tableColumn id="4044" xr3:uid="{FB638D4F-84E3-4D6A-9553-84B3CE44CC0E}" name="Column4030"/>
    <tableColumn id="4045" xr3:uid="{3C7600F1-22C6-456D-863A-2407B2270B5D}" name="Column4031"/>
    <tableColumn id="4046" xr3:uid="{93F09C80-58DF-4E34-9C2C-B3907BBBA707}" name="Column4032"/>
    <tableColumn id="4047" xr3:uid="{DE63ECB7-6649-4048-AD71-6708698574D1}" name="Column4033"/>
    <tableColumn id="4048" xr3:uid="{5B27D9BF-3FC6-4E2F-8BB6-F6020C2DAA35}" name="Column4034"/>
    <tableColumn id="4049" xr3:uid="{151362D6-03D8-48FF-AEDF-B97DF99CCB61}" name="Column4035"/>
    <tableColumn id="4050" xr3:uid="{AF1D7BF9-FD84-4C42-BD84-E9C3831AE254}" name="Column4036"/>
    <tableColumn id="4051" xr3:uid="{F7F18E51-08A8-4C32-9D9A-D24D5E245F32}" name="Column4037"/>
    <tableColumn id="4052" xr3:uid="{BA3BC35E-2B49-481A-A77C-C0553ABC695F}" name="Column4038"/>
    <tableColumn id="4053" xr3:uid="{CDB4898F-EDD9-42E1-9078-1655AACAA8C9}" name="Column4039"/>
    <tableColumn id="4054" xr3:uid="{3861EAC6-51AA-49A0-9FBA-4628CC449BAD}" name="Column4040"/>
    <tableColumn id="4055" xr3:uid="{DCD88337-C50B-4468-9DE8-4CBD279F68FB}" name="Column4041"/>
    <tableColumn id="4056" xr3:uid="{CCA7EBC9-434A-4BBF-970E-139BA3206551}" name="Column4042"/>
    <tableColumn id="4057" xr3:uid="{EDAF8640-3E2F-4DEA-B333-5993D4F1FB38}" name="Column4043"/>
    <tableColumn id="4058" xr3:uid="{20D24C26-3DE6-4542-A1B9-58EFAA2511E9}" name="Column4044"/>
    <tableColumn id="4059" xr3:uid="{7AF8E959-217D-4B97-800C-38C5EE1F7389}" name="Column4045"/>
    <tableColumn id="4060" xr3:uid="{1AB50098-2391-4721-90BC-E90510D6A280}" name="Column4046"/>
    <tableColumn id="4061" xr3:uid="{390ACE76-E382-4D43-986B-F156055A6E9B}" name="Column4047"/>
    <tableColumn id="4062" xr3:uid="{4D6D8DFD-59AB-4E65-8552-4DEEBE9A7ED4}" name="Column4048"/>
    <tableColumn id="4063" xr3:uid="{E232EAF7-A222-4A08-93EE-7E58B2EAE15A}" name="Column4049"/>
    <tableColumn id="4064" xr3:uid="{33C096C5-D633-4361-9677-F746D2DB954D}" name="Column4050"/>
    <tableColumn id="4065" xr3:uid="{A6B73D68-A49B-463C-999A-7E563926B4C0}" name="Column4051"/>
    <tableColumn id="4066" xr3:uid="{E2F48204-B8EC-4FC7-A20A-796C59224D94}" name="Column4052"/>
    <tableColumn id="4067" xr3:uid="{A30E2F40-51F6-4DC6-86DB-DC71E0AF2500}" name="Column4053"/>
    <tableColumn id="4068" xr3:uid="{2E9B23E4-A61E-4A07-B9C1-CCBD7D359324}" name="Column4054"/>
    <tableColumn id="4069" xr3:uid="{AE3EF508-FF09-498E-B238-7F77A0FFDC8F}" name="Column4055"/>
    <tableColumn id="4070" xr3:uid="{0EC0C42E-41E0-4578-A08F-AB9AF48405C3}" name="Column4056"/>
    <tableColumn id="4071" xr3:uid="{C3EB61EA-53F1-4903-A6C6-87FCD6D0521B}" name="Column4057"/>
    <tableColumn id="4072" xr3:uid="{D2C943AE-6E6B-49C3-9429-08A0EC6E98A2}" name="Column4058"/>
    <tableColumn id="4073" xr3:uid="{9888BEB3-33A2-45DD-B56F-C2E41141F518}" name="Column4059"/>
    <tableColumn id="4074" xr3:uid="{034816BC-0662-4606-A571-42457CD9BB67}" name="Column4060"/>
    <tableColumn id="4075" xr3:uid="{3AB9CFCC-40F6-4261-9FD9-DCC63E825D0D}" name="Column4061"/>
    <tableColumn id="4076" xr3:uid="{2BBDEDE8-B6E8-4885-92DF-4E896E4347F4}" name="Column4062"/>
    <tableColumn id="4077" xr3:uid="{33D658E6-33EC-48D9-BE6D-203549B20007}" name="Column4063"/>
    <tableColumn id="4078" xr3:uid="{2A2DB91D-FCA5-4167-A72F-10EAE95C31F4}" name="Column4064"/>
    <tableColumn id="4079" xr3:uid="{2EC1263D-B0E9-4EFE-B989-48FA9998A7AF}" name="Column4065"/>
    <tableColumn id="4080" xr3:uid="{062AD6AF-50B6-407B-AE49-5DD756B252C6}" name="Column4066"/>
    <tableColumn id="4081" xr3:uid="{A60F9AE7-4359-46FC-9122-617CF6CCD16D}" name="Column4067"/>
    <tableColumn id="4082" xr3:uid="{520686ED-E9E8-40BF-B629-82DE23FA4648}" name="Column4068"/>
    <tableColumn id="4083" xr3:uid="{97A4875C-D41C-4DE9-9DBB-BC333C694F85}" name="Column4069"/>
    <tableColumn id="4084" xr3:uid="{6E12E95F-5B51-4B3E-BB4F-0D05CF854732}" name="Column4070"/>
    <tableColumn id="4085" xr3:uid="{8AA1768E-FFA0-493C-9AB4-71F4E7B0DCA5}" name="Column4071"/>
    <tableColumn id="4086" xr3:uid="{05336140-B61C-47B9-989E-8F656A394F59}" name="Column4072"/>
    <tableColumn id="4087" xr3:uid="{B5882240-2834-4549-A341-92697C52C54E}" name="Column4073"/>
    <tableColumn id="4088" xr3:uid="{DC0E53FF-0EF3-419C-A977-DE064FA267CC}" name="Column4074"/>
    <tableColumn id="4089" xr3:uid="{14F9FA87-EEAE-4711-80AD-AD28E121F296}" name="Column4075"/>
    <tableColumn id="4090" xr3:uid="{D95C3E68-2A80-430C-A1DA-40AE232994C7}" name="Column4076"/>
    <tableColumn id="4091" xr3:uid="{71CDD1DF-73A1-4B10-BF3D-7F2A1B6FB153}" name="Column4077"/>
    <tableColumn id="4092" xr3:uid="{0F11CF6F-CE2B-44DC-A2D3-A8DDFC58531B}" name="Column4078"/>
    <tableColumn id="4093" xr3:uid="{740D37D4-C503-48C0-B186-5C375A77910D}" name="Column4079"/>
    <tableColumn id="4094" xr3:uid="{561909E9-8E7B-4448-8F65-BF93F9C83862}" name="Column4080"/>
    <tableColumn id="4095" xr3:uid="{C97E7A94-2256-4AD2-B813-C5192A3581B6}" name="Column4081"/>
    <tableColumn id="4096" xr3:uid="{9B59ECFC-5178-403C-A571-3B738F1D2669}" name="Column4082"/>
    <tableColumn id="4097" xr3:uid="{9C8D213D-D826-45E6-9EE9-E50F9AD73A58}" name="Column4083"/>
    <tableColumn id="4098" xr3:uid="{E794F169-7EB2-4ABF-8779-4B250A025DC9}" name="Column4084"/>
    <tableColumn id="4099" xr3:uid="{52224BC6-B5EB-4431-AFAB-5307762D6F5D}" name="Column4085"/>
    <tableColumn id="4100" xr3:uid="{941091FF-5108-435E-84FD-966DDA720E76}" name="Column4086"/>
    <tableColumn id="4101" xr3:uid="{65572186-1675-463B-94B7-5BC11AF4DAA2}" name="Column4087"/>
    <tableColumn id="4102" xr3:uid="{95972255-0A78-44D7-8B33-8FF9E79C37B5}" name="Column4088"/>
    <tableColumn id="4103" xr3:uid="{C437E299-BB2E-4EE6-8F0A-668E8BB1636A}" name="Column4089"/>
    <tableColumn id="4104" xr3:uid="{16F59F76-F1A9-4A8F-B3ED-63E203661EBB}" name="Column4090"/>
    <tableColumn id="4105" xr3:uid="{DE223534-F94A-45F2-AF90-17BBEA698B2B}" name="Column4091"/>
    <tableColumn id="4106" xr3:uid="{A1B313CB-7E68-4F8B-8ED7-B3366C5F64F0}" name="Column4092"/>
    <tableColumn id="4107" xr3:uid="{250E43B3-5EE3-4D7E-BB58-D666270A73C1}" name="Column4093"/>
    <tableColumn id="4108" xr3:uid="{6F83419A-1348-444F-A2EC-753D2DAA8EB6}" name="Column4094"/>
    <tableColumn id="4109" xr3:uid="{7A46AAC4-E13E-4F0A-93C8-23DBB6927A07}" name="Column4095"/>
    <tableColumn id="4110" xr3:uid="{44E64F67-032E-48E8-9995-A8BC368098C5}" name="Column4096"/>
    <tableColumn id="4111" xr3:uid="{F42F2FAA-0980-4C27-825D-8F7306875822}" name="Column4097"/>
    <tableColumn id="4112" xr3:uid="{030561A9-1052-4209-A5AA-841B1BCE3D5D}" name="Column4098"/>
    <tableColumn id="4113" xr3:uid="{85F06A5D-0306-4BFD-AD4B-4D7552B838F0}" name="Column4099"/>
    <tableColumn id="4114" xr3:uid="{A91C79CC-F9E0-44F5-973E-929E9C3B2C9E}" name="Column4100"/>
    <tableColumn id="4115" xr3:uid="{34C4FBB2-4377-4660-A042-174ADC265EDD}" name="Column4101"/>
    <tableColumn id="4116" xr3:uid="{A55C1CAC-D3DE-4925-8492-BAD83B238BAA}" name="Column4102"/>
    <tableColumn id="4117" xr3:uid="{038641A9-5DAC-44D8-A709-81AF9DB3895B}" name="Column4103"/>
    <tableColumn id="4118" xr3:uid="{4314FE20-DEC2-441C-B8A8-93C43899C188}" name="Column4104"/>
    <tableColumn id="4119" xr3:uid="{BF329CDD-9D05-4846-9E04-600FE7D53358}" name="Column4105"/>
    <tableColumn id="4120" xr3:uid="{8781EF6E-650F-44D1-91B2-0EE2F1D808AA}" name="Column4106"/>
    <tableColumn id="4121" xr3:uid="{D00F416B-FD03-4AF0-94BE-BA9357A97BAE}" name="Column4107"/>
    <tableColumn id="4122" xr3:uid="{ED998BE0-4ED1-4123-AF1F-9315F02F04AD}" name="Column4108"/>
    <tableColumn id="4123" xr3:uid="{45A69FA2-435A-46DE-A828-994A3090A063}" name="Column4109"/>
    <tableColumn id="4124" xr3:uid="{2F498B8C-CC59-43FA-BCCD-D20F2041D01E}" name="Column4110"/>
    <tableColumn id="4125" xr3:uid="{2CD00BDE-EBD0-4413-B2B6-7C3E197EFC09}" name="Column4111"/>
    <tableColumn id="4126" xr3:uid="{A3B30C6C-293B-453D-A23A-E401D08B615F}" name="Column4112"/>
    <tableColumn id="4127" xr3:uid="{6EBD844C-95CE-4377-9366-AB7B2DA11F94}" name="Column4113"/>
    <tableColumn id="4128" xr3:uid="{72D8179D-8779-43DC-AE4F-2A9814CF02C9}" name="Column4114"/>
    <tableColumn id="4129" xr3:uid="{88BA948F-8852-450B-9789-6DB570B09C81}" name="Column4115"/>
    <tableColumn id="4130" xr3:uid="{27611B61-B695-4520-9986-B03C0DDA37B3}" name="Column4116"/>
    <tableColumn id="4131" xr3:uid="{EFE82DCA-597F-4C7A-A50F-54B5492AF293}" name="Column4117"/>
    <tableColumn id="4132" xr3:uid="{83EDC5E3-B195-46C0-8E1A-6EB3E2341341}" name="Column4118"/>
    <tableColumn id="4133" xr3:uid="{C26DE8A3-40EE-47A2-8EC9-7AF51C5A1938}" name="Column4119"/>
    <tableColumn id="4134" xr3:uid="{181654BE-2FFA-4833-9C31-AE5AF397DA7C}" name="Column4120"/>
    <tableColumn id="4135" xr3:uid="{B529C285-A9CC-4DFA-BBAE-892508BBE147}" name="Column4121"/>
    <tableColumn id="4136" xr3:uid="{02B9F37E-FE2F-4ABA-898F-B4E5161F577F}" name="Column4122"/>
    <tableColumn id="4137" xr3:uid="{F915F68E-CB0D-405F-9A0D-E0953FE42B9D}" name="Column4123"/>
    <tableColumn id="4138" xr3:uid="{7A8B0E49-9A6A-42F8-BB59-6C42D4DC175C}" name="Column4124"/>
    <tableColumn id="4139" xr3:uid="{D0E3BEED-07CD-46B0-BE8E-9ADB6EE28EB4}" name="Column4125"/>
    <tableColumn id="4140" xr3:uid="{A60DFB8A-AE70-42CD-AA38-82A9FA0D5331}" name="Column4126"/>
    <tableColumn id="4141" xr3:uid="{2B88323C-F29A-4200-BD77-957816B6245E}" name="Column4127"/>
    <tableColumn id="4142" xr3:uid="{5F2E25E7-6C84-4DE3-B974-CC4058F4E3B1}" name="Column4128"/>
    <tableColumn id="4143" xr3:uid="{886FB5AF-3ED0-47D3-9557-41645A07A850}" name="Column4129"/>
    <tableColumn id="4144" xr3:uid="{B514B7E7-F805-496C-A9AE-9D5DA903214D}" name="Column4130"/>
    <tableColumn id="4145" xr3:uid="{1EC4DFB9-3AC6-4616-8D28-597F7F27A78F}" name="Column4131"/>
    <tableColumn id="4146" xr3:uid="{76225462-E2DE-45A1-944A-E884BEBA97F5}" name="Column4132"/>
    <tableColumn id="4147" xr3:uid="{48BE9ED5-19E9-45B4-BD72-8ACB60E25E2E}" name="Column4133"/>
    <tableColumn id="4148" xr3:uid="{D1423B1E-8E86-4CF4-9C3B-15E789677D6A}" name="Column4134"/>
    <tableColumn id="4149" xr3:uid="{AC8B6083-BC82-4706-BB7C-766BF3355A0E}" name="Column4135"/>
    <tableColumn id="4150" xr3:uid="{7059F288-C52E-420C-A77C-FDEB18708059}" name="Column4136"/>
    <tableColumn id="4151" xr3:uid="{E74E6BBB-5FE9-4C09-B021-2F1228F476DC}" name="Column4137"/>
    <tableColumn id="4152" xr3:uid="{6273F8D6-5A3D-46CF-8A54-AB1240BDC61D}" name="Column4138"/>
    <tableColumn id="4153" xr3:uid="{35969805-EEA0-4E98-996D-BECCC91FAE89}" name="Column4139"/>
    <tableColumn id="4154" xr3:uid="{620C93EB-FEE7-44E8-AD0C-9449B9E38F22}" name="Column4140"/>
    <tableColumn id="4155" xr3:uid="{C5E9D6BC-804D-470E-9EC4-2D572C9CC7FF}" name="Column4141"/>
    <tableColumn id="4156" xr3:uid="{5BDEBB8B-88B0-40D1-8F2D-D07E9F1E38E1}" name="Column4142"/>
    <tableColumn id="4157" xr3:uid="{BE4794C8-F865-46F7-8814-5330E2D7AD1F}" name="Column4143"/>
    <tableColumn id="4158" xr3:uid="{4C9C98CD-5E90-4635-937B-559CCBF67A72}" name="Column4144"/>
    <tableColumn id="4159" xr3:uid="{859A32F1-F38B-4E64-932F-D87E4C5B3FFC}" name="Column4145"/>
    <tableColumn id="4160" xr3:uid="{302CF8C0-F6FD-456C-AF58-E5FD5BCDA112}" name="Column4146"/>
    <tableColumn id="4161" xr3:uid="{24274DB5-C360-4B2B-9952-2E13249F9775}" name="Column4147"/>
    <tableColumn id="4162" xr3:uid="{C3BE1088-780B-48DD-8A35-1EE3A8EDDAA9}" name="Column4148"/>
    <tableColumn id="4163" xr3:uid="{9323A9F6-2C20-483B-BCF3-0DD2C08F9DD8}" name="Column4149"/>
    <tableColumn id="4164" xr3:uid="{F2B87CFA-4B6B-4698-9A29-AEE11B76D632}" name="Column4150"/>
    <tableColumn id="4165" xr3:uid="{71D610F7-BED4-4B70-A420-E32612736919}" name="Column4151"/>
    <tableColumn id="4166" xr3:uid="{14321DE1-3CA9-4E6B-A243-7B0794291F88}" name="Column4152"/>
    <tableColumn id="4167" xr3:uid="{7AC67CF4-D5E4-4B22-BD07-F581BF5165CF}" name="Column4153"/>
    <tableColumn id="4168" xr3:uid="{B2C781D7-B718-4D76-AA24-FB577EDE5EC0}" name="Column4154"/>
    <tableColumn id="4169" xr3:uid="{CD8DDF9F-ED48-4D7B-BC12-6EF08774637F}" name="Column4155"/>
    <tableColumn id="4170" xr3:uid="{CEFE7B48-F1AD-4A6A-A854-31B599158456}" name="Column4156"/>
    <tableColumn id="4171" xr3:uid="{77CD9BA7-8BEE-4680-B717-B0A1B1151553}" name="Column4157"/>
    <tableColumn id="4172" xr3:uid="{40FCCB1B-7E58-42A4-9F9A-F1355D441FDB}" name="Column4158"/>
    <tableColumn id="4173" xr3:uid="{9694797D-F38E-4533-995E-D6DBC58871B1}" name="Column4159"/>
    <tableColumn id="4174" xr3:uid="{7E1B675B-ED72-41D0-B582-DEF251E80D01}" name="Column4160"/>
    <tableColumn id="4175" xr3:uid="{9AA49704-F235-4768-8DFE-579E3111C5F5}" name="Column4161"/>
    <tableColumn id="4176" xr3:uid="{F2D0997F-46CF-4EF5-B4C4-8C40ED4239AD}" name="Column4162"/>
    <tableColumn id="4177" xr3:uid="{C485E9C4-3CA5-48F8-9239-3E59BE58DDCF}" name="Column4163"/>
    <tableColumn id="4178" xr3:uid="{09AF0469-E4CC-4777-B20C-37FB59FB276B}" name="Column4164"/>
    <tableColumn id="4179" xr3:uid="{ED45CAB2-B365-4BB1-BF58-2F4EF86D7CEF}" name="Column4165"/>
    <tableColumn id="4180" xr3:uid="{624799B9-3789-4617-9393-6D82C63F1C9B}" name="Column4166"/>
    <tableColumn id="4181" xr3:uid="{078A0D9A-A36B-4853-A6A2-98F40F0AE50A}" name="Column4167"/>
    <tableColumn id="4182" xr3:uid="{4FC158E4-4D1D-4795-8ED8-7757E2A77CA9}" name="Column4168"/>
    <tableColumn id="4183" xr3:uid="{73E01BE1-137F-42A1-974E-77F117DE0E78}" name="Column4169"/>
    <tableColumn id="4184" xr3:uid="{9BA1567F-32D7-4476-A360-26577DD06719}" name="Column4170"/>
    <tableColumn id="4185" xr3:uid="{8D90BA39-1419-4D55-BAEA-6549E5DC68E2}" name="Column4171"/>
    <tableColumn id="4186" xr3:uid="{F9322A50-2A59-4E97-BF02-C0667432C44D}" name="Column4172"/>
    <tableColumn id="4187" xr3:uid="{A2E8E621-1D5C-43F0-BB8F-8169022BE96A}" name="Column4173"/>
    <tableColumn id="4188" xr3:uid="{A46B2435-D643-4EBE-B9AB-2958E0995970}" name="Column4174"/>
    <tableColumn id="4189" xr3:uid="{0BE80ADA-435B-450F-9295-CC1DEB00F803}" name="Column4175"/>
    <tableColumn id="4190" xr3:uid="{47AF4C60-7437-40BC-817C-3FF451B84308}" name="Column4176"/>
    <tableColumn id="4191" xr3:uid="{6783C1E9-0590-4141-8D50-0E523189D5A1}" name="Column4177"/>
    <tableColumn id="4192" xr3:uid="{87502FF9-5F89-48E9-A16B-F80A81942914}" name="Column4178"/>
    <tableColumn id="4193" xr3:uid="{90DD0E74-9EAE-4FDD-866A-27A233E10A88}" name="Column4179"/>
    <tableColumn id="4194" xr3:uid="{196D1130-B6A7-4EC1-8402-51551B449D30}" name="Column4180"/>
    <tableColumn id="4195" xr3:uid="{2E4308FE-9AD6-4CE4-BBDA-17EFEFD66968}" name="Column4181"/>
    <tableColumn id="4196" xr3:uid="{91F7ACDD-4DD4-4286-8C36-E6303277E974}" name="Column4182"/>
    <tableColumn id="4197" xr3:uid="{074FA698-9950-423C-BBBC-E19951ADE97F}" name="Column4183"/>
    <tableColumn id="4198" xr3:uid="{019092A7-0589-4E25-9590-4B8EBCEAA06E}" name="Column4184"/>
    <tableColumn id="4199" xr3:uid="{674DF8CA-E897-4573-BC58-D2FC73BE8131}" name="Column4185"/>
    <tableColumn id="4200" xr3:uid="{BE517C45-25F5-4586-812C-F2F17C75D3E6}" name="Column4186"/>
    <tableColumn id="4201" xr3:uid="{D4791791-F197-43D8-A6BA-4A2F75DEAACA}" name="Column4187"/>
    <tableColumn id="4202" xr3:uid="{CD9530B8-2629-4BC7-BBB4-8813AC4331EC}" name="Column4188"/>
    <tableColumn id="4203" xr3:uid="{5AE5AC53-FA65-4474-8E91-150652FC293E}" name="Column4189"/>
    <tableColumn id="4204" xr3:uid="{A3E022FF-C4C6-453A-8F68-F0AF9E25609C}" name="Column4190"/>
    <tableColumn id="4205" xr3:uid="{A491927B-4D47-4C7A-83DA-C7C003E64F4C}" name="Column4191"/>
    <tableColumn id="4206" xr3:uid="{D8AC9F25-0DE8-4B79-948B-8BD63E14A97B}" name="Column4192"/>
    <tableColumn id="4207" xr3:uid="{5F62A980-34DF-4F57-A351-634FC3D1CA9A}" name="Column4193"/>
    <tableColumn id="4208" xr3:uid="{DD322812-1940-4600-BD18-738BA5105E44}" name="Column4194"/>
    <tableColumn id="4209" xr3:uid="{F08484E3-4619-4849-9A5C-905AB8D31D0A}" name="Column4195"/>
    <tableColumn id="4210" xr3:uid="{A347CFA7-F8AC-41C2-9799-CC381FA39C24}" name="Column4196"/>
    <tableColumn id="4211" xr3:uid="{77F15A99-2713-4410-B8B6-2CCDE5878F57}" name="Column4197"/>
    <tableColumn id="4212" xr3:uid="{7D4B421D-8E13-41CD-B845-E627EB88898A}" name="Column4198"/>
    <tableColumn id="4213" xr3:uid="{E67EF47D-10D4-4D2B-BE24-CF1D2CF697A2}" name="Column4199"/>
    <tableColumn id="4214" xr3:uid="{150ABE44-2889-4EB4-AAFE-79A61FD9DD30}" name="Column4200"/>
    <tableColumn id="4215" xr3:uid="{E451DFE3-B5E9-40BC-8F64-94C13D552252}" name="Column4201"/>
    <tableColumn id="4216" xr3:uid="{77C9533C-7B20-4CBB-B1E6-61C22E81DBB1}" name="Column4202"/>
    <tableColumn id="4217" xr3:uid="{D18FBA44-DD30-4C8A-A425-F7F4435CE20B}" name="Column4203"/>
    <tableColumn id="4218" xr3:uid="{81F7FA71-AFE8-4352-979A-AD4FF5AD6215}" name="Column4204"/>
    <tableColumn id="4219" xr3:uid="{FBB72FB5-8135-4D8C-82AD-618D4175459A}" name="Column4205"/>
    <tableColumn id="4220" xr3:uid="{610501C8-6A53-413A-895F-11FB80CEF76A}" name="Column4206"/>
    <tableColumn id="4221" xr3:uid="{9C4B3461-5EBC-4DC9-B507-A9A1662FDEAD}" name="Column4207"/>
    <tableColumn id="4222" xr3:uid="{28E63962-B003-473B-B364-3F5D35F258FE}" name="Column4208"/>
    <tableColumn id="4223" xr3:uid="{4B68A8FD-ECEC-4D3E-913E-A69BE2F95C1E}" name="Column4209"/>
    <tableColumn id="4224" xr3:uid="{86B46930-B3DC-48E5-8225-DBF6F5EE2B6E}" name="Column4210"/>
    <tableColumn id="4225" xr3:uid="{5E3CA05B-BA76-4DB0-8B4F-0A9F0A556373}" name="Column4211"/>
    <tableColumn id="4226" xr3:uid="{2D53F4E3-7260-4687-9DCF-ABB306DAA04D}" name="Column4212"/>
    <tableColumn id="4227" xr3:uid="{A432C632-39BA-4238-A40C-6D7728F1EBA5}" name="Column4213"/>
    <tableColumn id="4228" xr3:uid="{7469D715-2BDA-4120-B484-6034D36F1653}" name="Column4214"/>
    <tableColumn id="4229" xr3:uid="{5B8ECBEB-B9C0-49D2-ABF7-24D4829E5381}" name="Column4215"/>
    <tableColumn id="4230" xr3:uid="{A0CECD3D-B3AD-4E76-8994-F70987415673}" name="Column4216"/>
    <tableColumn id="4231" xr3:uid="{236ED17B-877E-4CD3-AEF3-99396E8112B2}" name="Column4217"/>
    <tableColumn id="4232" xr3:uid="{519C696B-BFE2-40BC-83C8-C48248DD2C86}" name="Column4218"/>
    <tableColumn id="4233" xr3:uid="{1EF47EBC-5202-4E5C-8D7B-259E4D5BEF13}" name="Column4219"/>
    <tableColumn id="4234" xr3:uid="{53E48BA3-2DC4-4597-A792-6CBB7AA0E76F}" name="Column4220"/>
    <tableColumn id="4235" xr3:uid="{6410EF83-69B9-46E3-AAB4-66EAA280EAC3}" name="Column4221"/>
    <tableColumn id="4236" xr3:uid="{CEE723E8-C0D0-4B87-B6EC-0FEE8982C572}" name="Column4222"/>
    <tableColumn id="4237" xr3:uid="{4E1C72AB-1F07-446F-BAAB-CD1E4E706A5C}" name="Column4223"/>
    <tableColumn id="4238" xr3:uid="{579BA66C-2F24-448C-97DD-2AD75797E2AF}" name="Column4224"/>
    <tableColumn id="4239" xr3:uid="{752096D8-1C38-4646-986E-C80C7AA2D967}" name="Column4225"/>
    <tableColumn id="4240" xr3:uid="{F25B24D1-E490-4249-B922-96E46AB12B67}" name="Column4226"/>
    <tableColumn id="4241" xr3:uid="{1925CD8D-7C3C-4E4B-B8F9-6BC7D702C19B}" name="Column4227"/>
    <tableColumn id="4242" xr3:uid="{188E048B-AF9C-4B41-A5AC-6393EC6451BC}" name="Column4228"/>
    <tableColumn id="4243" xr3:uid="{99E275E5-47A3-4D1C-99FC-6038E2A30D77}" name="Column4229"/>
    <tableColumn id="4244" xr3:uid="{6195ED53-4C2A-4C36-B936-C9E424E0BE9C}" name="Column4230"/>
    <tableColumn id="4245" xr3:uid="{93C3FED2-F6C9-4503-9C83-C1E7332EAB3A}" name="Column4231"/>
    <tableColumn id="4246" xr3:uid="{7D005600-136A-4570-933E-B4D04A441560}" name="Column4232"/>
    <tableColumn id="4247" xr3:uid="{B600165C-5E31-40FB-A211-5EBC2B2A74BE}" name="Column4233"/>
    <tableColumn id="4248" xr3:uid="{606DCDD1-AC74-45C0-82D9-6D1A0279959D}" name="Column4234"/>
    <tableColumn id="4249" xr3:uid="{844969C7-8033-4BC5-ADD7-0A96D586E369}" name="Column4235"/>
    <tableColumn id="4250" xr3:uid="{A8C3FD37-6754-4437-8557-9F2DE297C8E9}" name="Column4236"/>
    <tableColumn id="4251" xr3:uid="{B734DC8A-DDA7-4D65-AF64-0A088C908555}" name="Column4237"/>
    <tableColumn id="4252" xr3:uid="{1D1B8B5A-DEFB-4331-A5E9-10C626F061D4}" name="Column4238"/>
    <tableColumn id="4253" xr3:uid="{6A92519A-6C31-4DA0-A8CA-E693183DA4C7}" name="Column4239"/>
    <tableColumn id="4254" xr3:uid="{0F39584B-2E71-47D8-B5EE-60CE88361139}" name="Column4240"/>
    <tableColumn id="4255" xr3:uid="{78D3316B-42A5-4740-816D-CBA6E2DBE34C}" name="Column4241"/>
    <tableColumn id="4256" xr3:uid="{4B758743-2905-40AD-9890-AE5929448288}" name="Column4242"/>
    <tableColumn id="4257" xr3:uid="{6128E9D7-05AB-4515-97B7-75CDEC4752A1}" name="Column4243"/>
    <tableColumn id="4258" xr3:uid="{45D8540C-CB5B-41B0-BF03-58BB9FC53AEA}" name="Column4244"/>
    <tableColumn id="4259" xr3:uid="{F7985F2F-8926-4CC2-8F36-690D62A422DE}" name="Column4245"/>
    <tableColumn id="4260" xr3:uid="{2203CC2F-5E5D-4E35-82D1-36CC58B1F087}" name="Column4246"/>
    <tableColumn id="4261" xr3:uid="{9CA4C172-9F7D-4D8E-9F01-E27B25BB5CD2}" name="Column4247"/>
    <tableColumn id="4262" xr3:uid="{EFB19BE5-A2B1-4C48-8E78-CD75966BF4B4}" name="Column4248"/>
    <tableColumn id="4263" xr3:uid="{5D1E5E4E-9A7E-4E7B-9372-EFFD8C736D8F}" name="Column4249"/>
    <tableColumn id="4264" xr3:uid="{D9C74749-041B-422F-AA1C-E4343A15380D}" name="Column4250"/>
    <tableColumn id="4265" xr3:uid="{CEFF4B49-23C9-4DDA-A5CC-EF11DA2277E0}" name="Column4251"/>
    <tableColumn id="4266" xr3:uid="{0F2E6FCD-46FC-4D00-A28E-95C9956780AD}" name="Column4252"/>
    <tableColumn id="4267" xr3:uid="{1BCFA954-C88B-4F16-A06C-C3A84ED11194}" name="Column4253"/>
    <tableColumn id="4268" xr3:uid="{8C09CFE0-B33D-4A67-ABA5-91DED9C8336E}" name="Column4254"/>
    <tableColumn id="4269" xr3:uid="{4B770097-2030-48C2-8391-6CD507888386}" name="Column4255"/>
    <tableColumn id="4270" xr3:uid="{2BB57F8C-0FCA-4792-8072-7E39320C39AD}" name="Column4256"/>
    <tableColumn id="4271" xr3:uid="{4BB64972-9ABF-4D9D-8BD6-E14E22AF92F3}" name="Column4257"/>
    <tableColumn id="4272" xr3:uid="{4DE9BAF3-8F9D-4EF7-899D-88B21CD429F4}" name="Column4258"/>
    <tableColumn id="4273" xr3:uid="{64DC0572-7E89-4773-A404-CF0091077E80}" name="Column4259"/>
    <tableColumn id="4274" xr3:uid="{8C77C8D6-BED0-45BA-8FD1-FA4C7805E35C}" name="Column4260"/>
    <tableColumn id="4275" xr3:uid="{B3B47E63-508B-4818-A5F4-3CDC50498335}" name="Column4261"/>
    <tableColumn id="4276" xr3:uid="{5477F1D6-0040-4765-8EBE-C4A2F27A1BA7}" name="Column4262"/>
    <tableColumn id="4277" xr3:uid="{A1801EF8-FBB8-4563-A451-D1C8068F5C88}" name="Column4263"/>
    <tableColumn id="4278" xr3:uid="{17835308-2E96-4891-9A47-39D2FDABA1E8}" name="Column4264"/>
    <tableColumn id="4279" xr3:uid="{57A9525A-67C8-4893-A48D-942077BEFA31}" name="Column4265"/>
    <tableColumn id="4280" xr3:uid="{657C86EE-CFE3-42A2-A4AA-9BBFDD1F63A8}" name="Column4266"/>
    <tableColumn id="4281" xr3:uid="{9A3CBB58-6F91-468C-BED1-DBB7F2C6A7D7}" name="Column4267"/>
    <tableColumn id="4282" xr3:uid="{534AED4E-5F0E-4E98-A3DA-22EBEFF52E77}" name="Column4268"/>
    <tableColumn id="4283" xr3:uid="{9744765A-7D96-4CD7-893E-933848FBE1BE}" name="Column4269"/>
    <tableColumn id="4284" xr3:uid="{05A36C28-7620-4C32-8E05-C08892219BFD}" name="Column4270"/>
    <tableColumn id="4285" xr3:uid="{0736F715-F1B2-4E7B-8DBA-9ACF122E3D4B}" name="Column4271"/>
    <tableColumn id="4286" xr3:uid="{5E7192D1-AECC-4F59-B1DA-8C94D49429E3}" name="Column4272"/>
    <tableColumn id="4287" xr3:uid="{9ED82811-160F-434A-B3CF-09F439E4F36A}" name="Column4273"/>
    <tableColumn id="4288" xr3:uid="{5F241A0B-54EB-40AC-A7C8-D33E4811AA38}" name="Column4274"/>
    <tableColumn id="4289" xr3:uid="{804C28EA-27B6-48D5-8B05-32ABE258655C}" name="Column4275"/>
    <tableColumn id="4290" xr3:uid="{063051D0-F1A0-4AAE-9E4E-A0B21A317743}" name="Column4276"/>
    <tableColumn id="4291" xr3:uid="{9BDAA3F6-8E7E-4C7F-BABE-F3B1E31C53FA}" name="Column4277"/>
    <tableColumn id="4292" xr3:uid="{95ABDFC2-896B-462A-9F16-EF9F1A69CFE6}" name="Column4278"/>
    <tableColumn id="4293" xr3:uid="{C8D394AB-43FC-432A-A2A1-CC0E6C182DCE}" name="Column4279"/>
    <tableColumn id="4294" xr3:uid="{927FE29C-C263-4144-80D9-956FDA18661E}" name="Column4280"/>
    <tableColumn id="4295" xr3:uid="{1FF9D039-1BF9-4BBB-88C0-E4AF2BB2070D}" name="Column4281"/>
    <tableColumn id="4296" xr3:uid="{796E5FD1-C4B2-445C-AEEA-AB3CE94FF83B}" name="Column4282"/>
    <tableColumn id="4297" xr3:uid="{43BA6A6E-1974-4A46-99E8-5A02A495D11B}" name="Column4283"/>
    <tableColumn id="4298" xr3:uid="{BF62E169-F706-4004-9790-71B11F5AF0CB}" name="Column4284"/>
    <tableColumn id="4299" xr3:uid="{1A935F2B-74E3-49C2-B2E6-A767AB4AC2AD}" name="Column4285"/>
    <tableColumn id="4300" xr3:uid="{318B992C-B5FF-464B-BCF8-3469BD323570}" name="Column4286"/>
    <tableColumn id="4301" xr3:uid="{76F9BEDC-81C8-43E2-892D-A240A8CAE8F9}" name="Column4287"/>
    <tableColumn id="4302" xr3:uid="{B4A02B7E-B44B-4D07-A09B-7B9D2DD34371}" name="Column4288"/>
    <tableColumn id="4303" xr3:uid="{60796537-7ABD-43CB-9DDA-DE1B3E7C06A0}" name="Column4289"/>
    <tableColumn id="4304" xr3:uid="{8EF21263-C04C-4944-BA2A-314EF45C79E1}" name="Column4290"/>
    <tableColumn id="4305" xr3:uid="{FB4170C3-600E-42CA-A69E-69527E0B5479}" name="Column4291"/>
    <tableColumn id="4306" xr3:uid="{FD030D32-307C-442F-A658-92026E59D865}" name="Column4292"/>
    <tableColumn id="4307" xr3:uid="{4E23DD92-767B-4B43-9577-7519658999AB}" name="Column4293"/>
    <tableColumn id="4308" xr3:uid="{EE973D7D-EC23-4B5B-9B8C-7CE0A41CBEC1}" name="Column4294"/>
    <tableColumn id="4309" xr3:uid="{B8D983C2-F76F-4559-90C1-6BE027839DB1}" name="Column4295"/>
    <tableColumn id="4310" xr3:uid="{26D0BF31-81E1-415A-B747-1CA8654C586D}" name="Column4296"/>
    <tableColumn id="4311" xr3:uid="{5B4B2154-CFBE-4B55-9267-C846B65E0975}" name="Column4297"/>
    <tableColumn id="4312" xr3:uid="{8364F129-B7F2-4792-B64D-FBA626A60372}" name="Column4298"/>
    <tableColumn id="4313" xr3:uid="{032F42E4-04BD-483C-B605-1643E9F1D127}" name="Column4299"/>
    <tableColumn id="4314" xr3:uid="{924AE9A6-E63E-4CE4-9708-920A33105D50}" name="Column4300"/>
    <tableColumn id="4315" xr3:uid="{9BB3FB2F-F8A6-4C81-AC36-53CB1F3930DE}" name="Column4301"/>
    <tableColumn id="4316" xr3:uid="{AA42B074-8D40-4535-BD58-A53C21903495}" name="Column4302"/>
    <tableColumn id="4317" xr3:uid="{719A3A35-5EAF-454B-A265-B2B762173AD9}" name="Column4303"/>
    <tableColumn id="4318" xr3:uid="{A213C64A-5B33-43A2-989E-A3B6B4AC2A15}" name="Column4304"/>
    <tableColumn id="4319" xr3:uid="{0550235D-6C54-4438-956C-70ADDE1C9327}" name="Column4305"/>
    <tableColumn id="4320" xr3:uid="{EF93471E-59E4-483F-B0F5-D56EA37E161D}" name="Column4306"/>
    <tableColumn id="4321" xr3:uid="{FCFCEB4D-87AE-4D14-B5D1-B6D21CD8FD6B}" name="Column4307"/>
    <tableColumn id="4322" xr3:uid="{25CF3C07-9474-425B-B53A-434A7C8E9621}" name="Column4308"/>
    <tableColumn id="4323" xr3:uid="{180199D7-0304-44DF-A02E-8BEB510AF462}" name="Column4309"/>
    <tableColumn id="4324" xr3:uid="{BC0B95C0-F30C-498B-A343-68DF23F3010A}" name="Column4310"/>
    <tableColumn id="4325" xr3:uid="{08AE9787-A2DA-4584-B3B5-495AF9035229}" name="Column4311"/>
    <tableColumn id="4326" xr3:uid="{196E201C-80B1-49F9-91CB-A7638B7CF95E}" name="Column4312"/>
    <tableColumn id="4327" xr3:uid="{592169A1-BA76-4CD5-86F2-BBA7EEDCFCE8}" name="Column4313"/>
    <tableColumn id="4328" xr3:uid="{F55F1333-E74F-4819-841B-20FD8E35AC7C}" name="Column4314"/>
    <tableColumn id="4329" xr3:uid="{66BD10E8-2A85-42D7-A31F-CEE9944837CA}" name="Column4315"/>
    <tableColumn id="4330" xr3:uid="{0F1B9268-A265-40F1-9BB4-3E58BF070B3D}" name="Column4316"/>
    <tableColumn id="4331" xr3:uid="{581E656A-6B8D-4F3C-90B2-498AEA263877}" name="Column4317"/>
    <tableColumn id="4332" xr3:uid="{551EC9A8-A76B-4CF3-95BC-E056C25AA296}" name="Column4318"/>
    <tableColumn id="4333" xr3:uid="{11B61339-E967-4757-8C6D-D1D6E4552F56}" name="Column4319"/>
    <tableColumn id="4334" xr3:uid="{4C66991C-2E4A-4D95-9D7E-2968C00B128B}" name="Column4320"/>
    <tableColumn id="4335" xr3:uid="{466B0B4A-422A-4502-8163-B5868DD98DA5}" name="Column4321"/>
    <tableColumn id="4336" xr3:uid="{82C63FE5-C289-4710-8CC3-F977F35E5E18}" name="Column4322"/>
    <tableColumn id="4337" xr3:uid="{3BB88C83-B2E6-4460-B61A-C3501431C322}" name="Column4323"/>
    <tableColumn id="4338" xr3:uid="{E9E218E4-BC6E-4815-87DB-94B65F2AE4D6}" name="Column4324"/>
    <tableColumn id="4339" xr3:uid="{1E8E572F-FA83-454D-9C20-11ED594171A7}" name="Column4325"/>
    <tableColumn id="4340" xr3:uid="{B61A824D-4AB0-4C1F-BD1B-BE65BF9DE9D6}" name="Column4326"/>
    <tableColumn id="4341" xr3:uid="{0BEC535E-F264-45FA-AFF1-8ECD3A242C2D}" name="Column4327"/>
    <tableColumn id="4342" xr3:uid="{3203BB9C-B9E6-4C43-BA7A-239FDAD4C94B}" name="Column4328"/>
    <tableColumn id="4343" xr3:uid="{00A9AA8B-DB54-40E9-B7EF-9CE5600FADAF}" name="Column4329"/>
    <tableColumn id="4344" xr3:uid="{93737033-9BA1-4AEC-A34A-DDCC717994C1}" name="Column4330"/>
    <tableColumn id="4345" xr3:uid="{99FF1CC6-BBA0-4BF9-8955-8AA6962AC1D6}" name="Column4331"/>
    <tableColumn id="4346" xr3:uid="{5413D29C-B881-4655-9468-F3B4B24ABF4F}" name="Column4332"/>
    <tableColumn id="4347" xr3:uid="{CDD0A447-87DD-44F2-A1F6-6BC8363E26E1}" name="Column4333"/>
    <tableColumn id="4348" xr3:uid="{25BC38D1-21E4-49D2-A047-13DA9D8F072B}" name="Column4334"/>
    <tableColumn id="4349" xr3:uid="{55422067-BCDF-43CE-9422-AC3C1B60B45F}" name="Column4335"/>
    <tableColumn id="4350" xr3:uid="{66E904DE-D6C5-4A8D-B88C-A6B50C27BF38}" name="Column4336"/>
    <tableColumn id="4351" xr3:uid="{D73FAFA8-62E0-4145-B319-5FCA7E427E74}" name="Column4337"/>
    <tableColumn id="4352" xr3:uid="{652C30D6-C11F-4F4B-9D8E-04DC4F3F0F3A}" name="Column4338"/>
    <tableColumn id="4353" xr3:uid="{FEB96FC1-AD22-412B-B457-0FCEE487ADE3}" name="Column4339"/>
    <tableColumn id="4354" xr3:uid="{8AC29C9C-68DD-492F-8D40-3BA3F02FC967}" name="Column4340"/>
    <tableColumn id="4355" xr3:uid="{3DD878BD-93CD-40FB-91D9-DDBF04159CF9}" name="Column4341"/>
    <tableColumn id="4356" xr3:uid="{37AE7085-B2C8-4CA9-A789-6F4754A411CE}" name="Column4342"/>
    <tableColumn id="4357" xr3:uid="{325EA476-E1CF-475D-98D5-3F808E1EA636}" name="Column4343"/>
    <tableColumn id="4358" xr3:uid="{5A987339-B696-4E07-9B73-2A9C5CBF9BD2}" name="Column4344"/>
    <tableColumn id="4359" xr3:uid="{E9551073-5678-40C2-A1C5-03B022428C21}" name="Column4345"/>
    <tableColumn id="4360" xr3:uid="{CB95672F-8153-453E-B8CD-55D5BF571A3A}" name="Column4346"/>
    <tableColumn id="4361" xr3:uid="{720B1B9F-8AB6-42A6-895E-584C2FA041A5}" name="Column4347"/>
    <tableColumn id="4362" xr3:uid="{6BFE4F59-846C-463E-9658-E70C8787F24F}" name="Column4348"/>
    <tableColumn id="4363" xr3:uid="{0C9086B8-7A70-4FB4-8D29-3B3F9FEFB3AC}" name="Column4349"/>
    <tableColumn id="4364" xr3:uid="{30B4408B-59B5-4A44-BEC2-936D6D3DEA71}" name="Column4350"/>
    <tableColumn id="4365" xr3:uid="{B28920FB-F8F5-42B0-8CEE-5D9B3C7F430D}" name="Column4351"/>
    <tableColumn id="4366" xr3:uid="{3CC99076-53D3-4ECC-A627-177CD6C1BA88}" name="Column4352"/>
    <tableColumn id="4367" xr3:uid="{AC9B7E01-51FC-4FED-8896-F805B95F363C}" name="Column4353"/>
    <tableColumn id="4368" xr3:uid="{2E3A7BC1-505F-4C2A-9A7C-3B34077F03C3}" name="Column4354"/>
    <tableColumn id="4369" xr3:uid="{86B4DEFE-9D55-4556-AFEC-54D3C8314A68}" name="Column4355"/>
    <tableColumn id="4370" xr3:uid="{D3CAF4E7-6FFF-4894-A91F-AAB37A70F34D}" name="Column4356"/>
    <tableColumn id="4371" xr3:uid="{D73252C2-81B5-4118-BB7B-B735F3E224E5}" name="Column4357"/>
    <tableColumn id="4372" xr3:uid="{FC3A6CE8-E404-40A3-9706-1661C4D84DA0}" name="Column4358"/>
    <tableColumn id="4373" xr3:uid="{8B991BCC-72ED-424C-A6B6-0986EE5835B5}" name="Column4359"/>
    <tableColumn id="4374" xr3:uid="{0D0AEB9D-B37F-4C64-8ECE-1456F729BA7D}" name="Column4360"/>
    <tableColumn id="4375" xr3:uid="{F3F485D1-019D-4C22-91C4-96417B6DDA50}" name="Column4361"/>
    <tableColumn id="4376" xr3:uid="{3FA1169E-5F95-4639-AD34-A579FCF09A85}" name="Column4362"/>
    <tableColumn id="4377" xr3:uid="{1EE2C355-6B0F-4278-9997-8BC3E71C7B82}" name="Column4363"/>
    <tableColumn id="4378" xr3:uid="{EA991FC4-545C-44DF-B546-8BAC5CAD847F}" name="Column4364"/>
    <tableColumn id="4379" xr3:uid="{7ABA7B15-54FA-4999-861E-F46BACA79308}" name="Column4365"/>
    <tableColumn id="4380" xr3:uid="{5C3781F9-7960-44FA-9F42-07C059F01659}" name="Column4366"/>
    <tableColumn id="4381" xr3:uid="{E39F40F5-ABFF-40F7-9520-255722B47AC2}" name="Column4367"/>
    <tableColumn id="4382" xr3:uid="{05282168-41C5-4AB8-BDDC-8CFE41CA9D57}" name="Column4368"/>
    <tableColumn id="4383" xr3:uid="{CA8A5089-98C1-4DBD-873E-F37D6222F938}" name="Column4369"/>
    <tableColumn id="4384" xr3:uid="{BAC7CEC5-C320-4C35-921B-E74A9E7F1FC7}" name="Column4370"/>
    <tableColumn id="4385" xr3:uid="{D174B9E7-AAFA-4710-9AF3-E29F6875C34C}" name="Column4371"/>
    <tableColumn id="4386" xr3:uid="{F1B278C4-99D9-409D-90EC-D75098CAE505}" name="Column4372"/>
    <tableColumn id="4387" xr3:uid="{3F521A95-2969-4229-9424-DF7DAF77D163}" name="Column4373"/>
    <tableColumn id="4388" xr3:uid="{E8C6111E-AB9D-47F6-824A-128E9A2E73F8}" name="Column4374"/>
    <tableColumn id="4389" xr3:uid="{A7CB3268-12B1-441F-BB2D-8EF68CCBB8A5}" name="Column4375"/>
    <tableColumn id="4390" xr3:uid="{79431F3A-A531-4BD9-93AE-366BC8A8489C}" name="Column4376"/>
    <tableColumn id="4391" xr3:uid="{586714F7-A108-448A-B5C0-35A8A29B2959}" name="Column4377"/>
    <tableColumn id="4392" xr3:uid="{CD6422F8-0B54-4F23-95F9-3720655D0AC6}" name="Column4378"/>
    <tableColumn id="4393" xr3:uid="{064C5D02-D693-4788-8AAF-7A20677DEA7A}" name="Column4379"/>
    <tableColumn id="4394" xr3:uid="{83C61EAD-C08D-4457-82D4-F8490B25B80C}" name="Column4380"/>
    <tableColumn id="4395" xr3:uid="{5B7516B4-A82A-46AA-96F7-7F4E1C315832}" name="Column4381"/>
    <tableColumn id="4396" xr3:uid="{A5F21057-EC41-4295-95ED-975FB0A58A3B}" name="Column4382"/>
    <tableColumn id="4397" xr3:uid="{0972AF43-D9A0-4DDF-934D-898DB0AFFC69}" name="Column4383"/>
    <tableColumn id="4398" xr3:uid="{4CD07DF6-80C1-41EA-BFDA-4A43F601468F}" name="Column4384"/>
    <tableColumn id="4399" xr3:uid="{A161FCAE-AA66-468A-8248-54B495AA6E57}" name="Column4385"/>
    <tableColumn id="4400" xr3:uid="{0B0E9FC9-2DA3-4AD9-ADCE-068FD85E3D25}" name="Column4386"/>
    <tableColumn id="4401" xr3:uid="{BAC970EA-AD75-43C2-A4F5-984F75549C5D}" name="Column4387"/>
    <tableColumn id="4402" xr3:uid="{86335370-488E-4069-B08C-52C6671B34AE}" name="Column4388"/>
    <tableColumn id="4403" xr3:uid="{35E75407-03EA-4BED-A3C5-E090207B1A84}" name="Column4389"/>
    <tableColumn id="4404" xr3:uid="{1C624E68-E7AB-4AA0-8B33-47060832141E}" name="Column4390"/>
    <tableColumn id="4405" xr3:uid="{1E86E3E9-20EB-448E-9A94-33DB617AC4C4}" name="Column4391"/>
    <tableColumn id="4406" xr3:uid="{9685B2D7-25E5-49CC-AB68-9A77712F75CA}" name="Column4392"/>
    <tableColumn id="4407" xr3:uid="{0C6AC8EF-6D6C-46DA-98C4-E93C5EEBEEE9}" name="Column4393"/>
    <tableColumn id="4408" xr3:uid="{6230C63A-1FB6-4B21-9C53-F4A9FE383092}" name="Column4394"/>
    <tableColumn id="4409" xr3:uid="{045663DA-F0C3-41B2-B828-85E00150D17D}" name="Column4395"/>
    <tableColumn id="4410" xr3:uid="{59ACC082-EF52-462D-963C-CD6E0F5ED13F}" name="Column4396"/>
    <tableColumn id="4411" xr3:uid="{C60C88BE-CCD1-4982-BF7A-0614F9C19763}" name="Column4397"/>
    <tableColumn id="4412" xr3:uid="{192E6213-561D-43AB-A631-CCEDAFA16093}" name="Column4398"/>
    <tableColumn id="4413" xr3:uid="{3BE0E7AF-C103-4284-80D3-EC7429110FFF}" name="Column4399"/>
    <tableColumn id="4414" xr3:uid="{91F1C5F2-1DD1-4DCC-B32A-4A68450578DD}" name="Column4400"/>
    <tableColumn id="4415" xr3:uid="{CE6D8AB9-9C6D-4C07-9F55-5F5E1580FDF3}" name="Column4401"/>
    <tableColumn id="4416" xr3:uid="{7FC78640-5CA4-4178-BB93-D68D40F50A4F}" name="Column4402"/>
    <tableColumn id="4417" xr3:uid="{8B5D2B10-2B7D-46AF-A2FE-F680527F71F3}" name="Column4403"/>
    <tableColumn id="4418" xr3:uid="{63ED951F-1033-4D37-91CE-F75A8DA88100}" name="Column4404"/>
    <tableColumn id="4419" xr3:uid="{5743FDB6-E1D6-48E5-9D4D-E7604EA4F056}" name="Column4405"/>
    <tableColumn id="4420" xr3:uid="{8C2DC3E9-9A13-4489-BC01-F10A741CE557}" name="Column4406"/>
    <tableColumn id="4421" xr3:uid="{02CE9D1B-1DD1-44A1-913D-C350ECA06016}" name="Column4407"/>
    <tableColumn id="4422" xr3:uid="{5912C358-9798-42E6-8E77-363EAE73499A}" name="Column4408"/>
    <tableColumn id="4423" xr3:uid="{8517A9BF-E5A1-457E-A385-6AE982651889}" name="Column4409"/>
    <tableColumn id="4424" xr3:uid="{5E82AB9E-5BE3-4689-9287-2F53CE52D224}" name="Column4410"/>
    <tableColumn id="4425" xr3:uid="{A49B0AFA-3DEA-4103-B363-147F8953AC7C}" name="Column4411"/>
    <tableColumn id="4426" xr3:uid="{7F9B2104-121C-4AA3-9ABC-FB6C979DD101}" name="Column4412"/>
    <tableColumn id="4427" xr3:uid="{7E75BB51-1755-4BA1-A493-2E633B89464B}" name="Column4413"/>
    <tableColumn id="4428" xr3:uid="{AB1EB1B2-86A2-43E3-BF9C-BD460876906C}" name="Column4414"/>
    <tableColumn id="4429" xr3:uid="{DF6E7110-0799-41BA-A4BD-804956D46B27}" name="Column4415"/>
    <tableColumn id="4430" xr3:uid="{EDFC2B9C-2634-4654-A7BE-EB0475CB1B0E}" name="Column4416"/>
    <tableColumn id="4431" xr3:uid="{A4591DB8-0ADF-4796-AC79-6266F291E247}" name="Column4417"/>
    <tableColumn id="4432" xr3:uid="{A37640D6-7B34-439E-94E3-DF8706701A79}" name="Column4418"/>
    <tableColumn id="4433" xr3:uid="{9A7D98CD-6648-447D-AD29-3BA0C8CACBC4}" name="Column4419"/>
    <tableColumn id="4434" xr3:uid="{DFCC03A9-167D-43DF-97A2-677D3BF18C2D}" name="Column4420"/>
    <tableColumn id="4435" xr3:uid="{EC3B2001-FE40-48EC-947A-81A620953F6E}" name="Column4421"/>
    <tableColumn id="4436" xr3:uid="{B73E63CE-7D9E-454E-B93A-15516F3C7D7F}" name="Column4422"/>
    <tableColumn id="4437" xr3:uid="{BFB707F0-7A6C-4C0E-8FE6-ACF57735F2F3}" name="Column4423"/>
    <tableColumn id="4438" xr3:uid="{DF9C8DE5-90D4-49B9-9CE5-9AD5AEDF3230}" name="Column4424"/>
    <tableColumn id="4439" xr3:uid="{AD0B1A76-2906-439E-BA57-A9DD15477536}" name="Column4425"/>
    <tableColumn id="4440" xr3:uid="{7404AF98-C964-4DA1-9540-462D21531B6F}" name="Column4426"/>
    <tableColumn id="4441" xr3:uid="{8C68B484-6077-4571-9746-E705A3772CA5}" name="Column4427"/>
    <tableColumn id="4442" xr3:uid="{E6628AF3-7688-4F5F-A36F-C8827F71686A}" name="Column4428"/>
    <tableColumn id="4443" xr3:uid="{BF18CA1B-E4DE-4E8C-A8C1-A07D1B0CF3BC}" name="Column4429"/>
    <tableColumn id="4444" xr3:uid="{8DF2FC2C-439E-48F6-8287-C37A27B061BA}" name="Column4430"/>
    <tableColumn id="4445" xr3:uid="{1A6CA60B-5130-406C-BBB6-9044230192A0}" name="Column4431"/>
    <tableColumn id="4446" xr3:uid="{AE3D8559-A90D-475E-89A1-7A59994BD3F7}" name="Column4432"/>
    <tableColumn id="4447" xr3:uid="{19A9D150-1224-496C-B911-926A079DDCCD}" name="Column4433"/>
    <tableColumn id="4448" xr3:uid="{41BF6B8B-4C61-45DB-9117-5C2FE6FD978E}" name="Column4434"/>
    <tableColumn id="4449" xr3:uid="{3ED979DD-CBD9-4902-ADAC-F95511340416}" name="Column4435"/>
    <tableColumn id="4450" xr3:uid="{70C5C1A9-B895-4EE3-981B-EFFA38A91CEF}" name="Column4436"/>
    <tableColumn id="4451" xr3:uid="{431BEEE9-76AE-4417-BDA3-40AD2330A0FE}" name="Column4437"/>
    <tableColumn id="4452" xr3:uid="{4E104B56-A83C-44EA-8774-839323E4565B}" name="Column4438"/>
    <tableColumn id="4453" xr3:uid="{35084549-C157-432B-BF12-1582C2BC8F0A}" name="Column4439"/>
    <tableColumn id="4454" xr3:uid="{A81C137F-25BB-44A1-9A72-E55CEB03CC89}" name="Column4440"/>
    <tableColumn id="4455" xr3:uid="{92EFB435-DC9F-453C-90B1-7207D59A467A}" name="Column4441"/>
    <tableColumn id="4456" xr3:uid="{EA4B25BF-81A4-4C52-A4C2-7EE402F16D25}" name="Column4442"/>
    <tableColumn id="4457" xr3:uid="{B65A3F95-6945-4358-91C1-39DA1FF19A66}" name="Column4443"/>
    <tableColumn id="4458" xr3:uid="{7C89D7FB-CE63-489D-AEC3-1755A9EE4C02}" name="Column4444"/>
    <tableColumn id="4459" xr3:uid="{25469E23-8461-4833-AD24-387D3F315B85}" name="Column4445"/>
    <tableColumn id="4460" xr3:uid="{4BCAFCB4-43E2-425A-9DCB-400A2829EB29}" name="Column4446"/>
    <tableColumn id="4461" xr3:uid="{5D139F06-7627-467B-91FC-A6E5CC19100D}" name="Column4447"/>
    <tableColumn id="4462" xr3:uid="{2B59A0BB-6DF8-4FFB-8D7D-999CF90F266C}" name="Column4448"/>
    <tableColumn id="4463" xr3:uid="{05692410-4A17-4925-8BC8-63FDC3EAFB31}" name="Column4449"/>
    <tableColumn id="4464" xr3:uid="{BC7D08D6-FF5C-4FE2-AFFD-3F07C2DC3752}" name="Column4450"/>
    <tableColumn id="4465" xr3:uid="{54756C48-A7EB-45BB-9E3D-C52E631CF46E}" name="Column4451"/>
    <tableColumn id="4466" xr3:uid="{D5BF70F1-8EE2-4CB8-9D2D-9B6FDDD9E452}" name="Column4452"/>
    <tableColumn id="4467" xr3:uid="{28130CF7-658F-4799-BB64-9B23BCA1B6B4}" name="Column4453"/>
    <tableColumn id="4468" xr3:uid="{97083DAE-CA72-40F5-AB87-8F9B129AEE78}" name="Column4454"/>
    <tableColumn id="4469" xr3:uid="{8360E1F9-4901-4467-ABD9-B67BC6E7973E}" name="Column4455"/>
    <tableColumn id="4470" xr3:uid="{5F2F3C9E-118B-47F4-83FF-164DCF92ACCA}" name="Column4456"/>
    <tableColumn id="4471" xr3:uid="{1591C32B-85C1-466F-970A-030DCE5C2E66}" name="Column4457"/>
    <tableColumn id="4472" xr3:uid="{A66AA201-CCFE-4B56-89BC-4006511E1348}" name="Column4458"/>
    <tableColumn id="4473" xr3:uid="{8299A07D-A6CB-43B1-B213-3308882084F3}" name="Column4459"/>
    <tableColumn id="4474" xr3:uid="{CC6F0F7A-043D-49D8-BC7C-E813213BD050}" name="Column4460"/>
    <tableColumn id="4475" xr3:uid="{A2711DBB-CCC2-453B-B35B-E06F33457F40}" name="Column4461"/>
    <tableColumn id="4476" xr3:uid="{F3B08A45-AFB9-4F0F-AD26-D4D2E831DB68}" name="Column4462"/>
    <tableColumn id="4477" xr3:uid="{B17D9956-DF22-409F-8B52-92C1A12C3CE1}" name="Column4463"/>
    <tableColumn id="4478" xr3:uid="{65787A8E-49F2-45F6-ACBD-4C8886B8A298}" name="Column4464"/>
    <tableColumn id="4479" xr3:uid="{3CCA0A0C-0526-4A41-927C-3315D5943D98}" name="Column4465"/>
    <tableColumn id="4480" xr3:uid="{58EA4340-FADD-436E-B3A8-34F31A81AACD}" name="Column4466"/>
    <tableColumn id="4481" xr3:uid="{C1487D65-D9C9-4536-8AFB-EDA7CF6999AB}" name="Column4467"/>
    <tableColumn id="4482" xr3:uid="{D0E01C91-5FC8-4A38-9937-60333428F6B3}" name="Column4468"/>
    <tableColumn id="4483" xr3:uid="{5A65955A-1966-433F-BBA9-56DB7E3CDED7}" name="Column4469"/>
    <tableColumn id="4484" xr3:uid="{B6E5516A-3834-4071-BB12-91EC062B1BF0}" name="Column4470"/>
    <tableColumn id="4485" xr3:uid="{7CE37590-0D35-4D38-BDA6-5B93735D2B7B}" name="Column4471"/>
    <tableColumn id="4486" xr3:uid="{2A1426A0-412D-4D5D-8C1B-AA2C890A01FA}" name="Column4472"/>
    <tableColumn id="4487" xr3:uid="{C077BEAF-B05D-4F6B-983A-0D8EC04DE77A}" name="Column4473"/>
    <tableColumn id="4488" xr3:uid="{C2A6DEF1-D8BB-4929-9E7B-DDEC1AFAA54A}" name="Column4474"/>
    <tableColumn id="4489" xr3:uid="{9E281A19-D656-451F-A01A-543A48B582D4}" name="Column4475"/>
    <tableColumn id="4490" xr3:uid="{D1A80992-3326-4EE8-80D0-3329F4CC41E1}" name="Column4476"/>
    <tableColumn id="4491" xr3:uid="{CF63E7AB-3008-43AC-8B43-7E7B4F1BABEA}" name="Column4477"/>
    <tableColumn id="4492" xr3:uid="{90806D53-3A5B-428A-BC37-F43ED578913E}" name="Column4478"/>
    <tableColumn id="4493" xr3:uid="{2E7A95E2-F4E4-4A78-961B-EDEB09842C3B}" name="Column4479"/>
    <tableColumn id="4494" xr3:uid="{2351788E-3607-48F6-A675-D91595CD1F92}" name="Column4480"/>
    <tableColumn id="4495" xr3:uid="{983730E9-5079-4EDF-AA3A-0CDB04F23FD9}" name="Column4481"/>
    <tableColumn id="4496" xr3:uid="{0E6A43DC-6B5B-4819-9D0F-4AE3400D9233}" name="Column4482"/>
    <tableColumn id="4497" xr3:uid="{A8481BD4-F23F-47D3-A46E-2A0D3269D532}" name="Column4483"/>
    <tableColumn id="4498" xr3:uid="{5120D056-F304-429E-9A3B-278E13C6DB3F}" name="Column4484"/>
    <tableColumn id="4499" xr3:uid="{17A721EA-4257-46E2-AF53-4124279D0E36}" name="Column4485"/>
    <tableColumn id="4500" xr3:uid="{F052A0C7-8F71-4BC6-9AB2-E6C6D06C2BB7}" name="Column4486"/>
    <tableColumn id="4501" xr3:uid="{866DAB86-B62B-4484-A2E5-D27B6A0FD561}" name="Column4487"/>
    <tableColumn id="4502" xr3:uid="{765457D6-04F9-4513-9EDE-824007A71455}" name="Column4488"/>
    <tableColumn id="4503" xr3:uid="{FC4EA8C1-FD5A-4BC0-BC1C-BC3875B6E1DF}" name="Column4489"/>
    <tableColumn id="4504" xr3:uid="{6CF19774-8CFB-4C32-B8E7-727388CEE4FB}" name="Column4490"/>
    <tableColumn id="4505" xr3:uid="{0554C895-2714-4226-BB02-3DA31AF66540}" name="Column4491"/>
    <tableColumn id="4506" xr3:uid="{DE6015AB-9E53-4F79-9C53-AB61055E6FEE}" name="Column4492"/>
    <tableColumn id="4507" xr3:uid="{9E26DA19-F707-4BF6-B0E1-D6E8E250CAA7}" name="Column4493"/>
    <tableColumn id="4508" xr3:uid="{427836D8-71ED-4D7E-B630-2AD9E799E7C4}" name="Column4494"/>
    <tableColumn id="4509" xr3:uid="{9704B4F9-F9DE-4CE8-8C85-4DD48090BC52}" name="Column4495"/>
    <tableColumn id="4510" xr3:uid="{3AA78CA7-8828-425E-B9B6-230540ABB3EE}" name="Column4496"/>
    <tableColumn id="4511" xr3:uid="{25C3313F-75DF-4C5B-A2D2-D29D0DE1AE4D}" name="Column4497"/>
    <tableColumn id="4512" xr3:uid="{60D546F6-0DBB-4740-BA05-1401D8F88FEE}" name="Column4498"/>
    <tableColumn id="4513" xr3:uid="{5757235C-0220-402B-83F0-45FF80593F13}" name="Column4499"/>
    <tableColumn id="4514" xr3:uid="{9707C65E-B4E0-4B9F-B456-B619E056C6D7}" name="Column4500"/>
    <tableColumn id="4515" xr3:uid="{4EBEBFD0-1B54-4222-AEBC-872ACB62E6DE}" name="Column4501"/>
    <tableColumn id="4516" xr3:uid="{A2032085-0306-4A13-B598-887EAC7D28D3}" name="Column4502"/>
    <tableColumn id="4517" xr3:uid="{D171DC6A-E297-4C86-8C4D-96D30CFF982E}" name="Column4503"/>
    <tableColumn id="4518" xr3:uid="{C200C453-A29B-4CD8-9893-DB60B086E5C6}" name="Column4504"/>
    <tableColumn id="4519" xr3:uid="{E18A9A99-57C7-4A3C-96D7-FDBE7EB2ED27}" name="Column4505"/>
    <tableColumn id="4520" xr3:uid="{1A23B62D-A715-4AFB-BF2D-0EF2B5B6B17B}" name="Column4506"/>
    <tableColumn id="4521" xr3:uid="{5B47172E-E84E-4F25-B7F3-D92366B67C67}" name="Column4507"/>
    <tableColumn id="4522" xr3:uid="{B7D3EEEF-EF4B-40EB-A6F3-B58C2661E162}" name="Column4508"/>
    <tableColumn id="4523" xr3:uid="{49CF6B65-03FE-4D00-845D-3C03C1CA664A}" name="Column4509"/>
    <tableColumn id="4524" xr3:uid="{599FA327-CCA9-421B-95F3-89B3DA3AEA56}" name="Column4510"/>
    <tableColumn id="4525" xr3:uid="{5EEB2231-BAC9-4470-97A2-1A379355D359}" name="Column4511"/>
    <tableColumn id="4526" xr3:uid="{2C1EE42D-E2C5-4826-921A-DD4849CEECDF}" name="Column4512"/>
    <tableColumn id="4527" xr3:uid="{79D4A5B4-AD97-42CA-85FA-C3E09E884D7B}" name="Column4513"/>
    <tableColumn id="4528" xr3:uid="{1493BE86-1CB9-41EA-ADB2-7524059DFAAC}" name="Column4514"/>
    <tableColumn id="4529" xr3:uid="{00532E1E-7CC7-46A6-A566-8C99F7C8EA35}" name="Column4515"/>
    <tableColumn id="4530" xr3:uid="{9344B660-1A4B-49A9-8EE8-9E5AD1284FFF}" name="Column4516"/>
    <tableColumn id="4531" xr3:uid="{B9009429-2656-4495-B2C7-28FF106AFF00}" name="Column4517"/>
    <tableColumn id="4532" xr3:uid="{B25C58CA-C3C1-4FF9-ADB5-D2EBCAAEA808}" name="Column4518"/>
    <tableColumn id="4533" xr3:uid="{07B8E31A-20D0-4FF2-8B9B-39CDD8F98A44}" name="Column4519"/>
    <tableColumn id="4534" xr3:uid="{97763CEA-BB6E-426B-909A-DFCC230781FC}" name="Column4520"/>
    <tableColumn id="4535" xr3:uid="{95462A59-868B-426C-840B-04C4D8DB8A1B}" name="Column4521"/>
    <tableColumn id="4536" xr3:uid="{C9FEF4ED-4059-4C41-BE45-E2F37F117DFD}" name="Column4522"/>
    <tableColumn id="4537" xr3:uid="{C5F120C5-B6A2-4081-83E7-1C1AD0BBF572}" name="Column4523"/>
    <tableColumn id="4538" xr3:uid="{CC5877D8-0A21-4037-8736-572141ADA53E}" name="Column4524"/>
    <tableColumn id="4539" xr3:uid="{18EC22BB-C6AC-4E27-9654-11F30628DF3B}" name="Column4525"/>
    <tableColumn id="4540" xr3:uid="{1D25FCD4-5193-4699-97EF-BA2BF8263641}" name="Column4526"/>
    <tableColumn id="4541" xr3:uid="{BA4ECB67-8AD1-416F-87AE-93CD5EF5E24C}" name="Column4527"/>
    <tableColumn id="4542" xr3:uid="{F6381E33-8526-4AD1-B2D1-2EB0D5D1C33C}" name="Column4528"/>
    <tableColumn id="4543" xr3:uid="{B3E04B50-7F83-4965-A7C6-AA28244D6EB6}" name="Column4529"/>
    <tableColumn id="4544" xr3:uid="{C44D7451-9028-4E59-8CD6-45342C85466E}" name="Column4530"/>
    <tableColumn id="4545" xr3:uid="{F1C65811-97D7-4FB3-AAB8-79E0AA1A0416}" name="Column4531"/>
    <tableColumn id="4546" xr3:uid="{A2347070-73E0-4BCA-BCCC-479022EBEE25}" name="Column4532"/>
    <tableColumn id="4547" xr3:uid="{1EF7764A-0F6F-4766-B8D6-8E09FB626CF2}" name="Column4533"/>
    <tableColumn id="4548" xr3:uid="{D8793E37-081D-4518-A1E7-68C15D777282}" name="Column4534"/>
    <tableColumn id="4549" xr3:uid="{4E55AC1D-9EED-439C-8996-0A4A73CF74F1}" name="Column4535"/>
    <tableColumn id="4550" xr3:uid="{8D6ADB8A-E971-4282-BD50-EF7F23003370}" name="Column4536"/>
    <tableColumn id="4551" xr3:uid="{684F948C-D0D9-4DBB-839E-CF2D85278EAC}" name="Column4537"/>
    <tableColumn id="4552" xr3:uid="{0A78CDE7-C9CF-45C4-86D0-7D9C2B5DF728}" name="Column4538"/>
    <tableColumn id="4553" xr3:uid="{59782F8E-E5F9-4875-9C02-786997297B5F}" name="Column4539"/>
    <tableColumn id="4554" xr3:uid="{2537433F-6B7E-44CC-8AE0-C2CB7F3A0CD3}" name="Column4540"/>
    <tableColumn id="4555" xr3:uid="{FC9251A9-831B-44C5-9875-947F5C60E203}" name="Column4541"/>
    <tableColumn id="4556" xr3:uid="{3F55E082-AABD-4C0B-A579-9CBCC267B4F3}" name="Column4542"/>
    <tableColumn id="4557" xr3:uid="{86B710F2-779B-4C8C-B9E9-D87DC6EA87BE}" name="Column4543"/>
    <tableColumn id="4558" xr3:uid="{57195CAF-07F2-4E05-B38B-3BD9FB7CF520}" name="Column4544"/>
    <tableColumn id="4559" xr3:uid="{E1BF547D-EBAD-47E2-9EED-C957C07264CF}" name="Column4545"/>
    <tableColumn id="4560" xr3:uid="{0E6929AE-400F-4BF7-86DE-55AC90B718D8}" name="Column4546"/>
    <tableColumn id="4561" xr3:uid="{216B78D3-3442-4510-B3E9-8B5564A73C01}" name="Column4547"/>
    <tableColumn id="4562" xr3:uid="{F891D0C7-5C2A-4463-ADEC-860B64B468E3}" name="Column4548"/>
    <tableColumn id="4563" xr3:uid="{9C8DB497-493A-4376-A7D5-3313587C104B}" name="Column4549"/>
    <tableColumn id="4564" xr3:uid="{9E8DD9C0-E1AB-41B2-AA70-6EAAD1F622A7}" name="Column4550"/>
    <tableColumn id="4565" xr3:uid="{7FC70CBD-B56F-4FC3-962D-E77EC16820E3}" name="Column4551"/>
    <tableColumn id="4566" xr3:uid="{99EA2409-0274-4533-AA7B-BD2A3BB87C5F}" name="Column4552"/>
    <tableColumn id="4567" xr3:uid="{8AF4CF4D-DDBA-4A5C-ABAE-651BB06F13D6}" name="Column4553"/>
    <tableColumn id="4568" xr3:uid="{ABB8D3AC-5ACE-4D47-9A40-68D0BAC91B8A}" name="Column4554"/>
    <tableColumn id="4569" xr3:uid="{DF1A2298-71FA-4BE9-88CE-F0792F96F671}" name="Column4555"/>
    <tableColumn id="4570" xr3:uid="{A97C61F8-8B0D-404F-8078-326A01455474}" name="Column4556"/>
    <tableColumn id="4571" xr3:uid="{B09B65F3-4733-4E7E-8BAA-A9CAEECACA6D}" name="Column4557"/>
    <tableColumn id="4572" xr3:uid="{A6EBEBF7-8446-462B-8706-9C224B480FD3}" name="Column4558"/>
    <tableColumn id="4573" xr3:uid="{C5CA0574-0C0D-4A88-935A-CF0553405831}" name="Column4559"/>
    <tableColumn id="4574" xr3:uid="{12F087BA-D5ED-4C30-B9E1-0F1465486E86}" name="Column4560"/>
    <tableColumn id="4575" xr3:uid="{88521B69-5505-481E-83C1-433B50E20A29}" name="Column4561"/>
    <tableColumn id="4576" xr3:uid="{48641F14-9C45-4EDE-87CA-BD15746FDA09}" name="Column4562"/>
    <tableColumn id="4577" xr3:uid="{B2196105-F454-4322-B361-75F6B7DC68B0}" name="Column4563"/>
    <tableColumn id="4578" xr3:uid="{102F73CB-647B-447A-9CCC-3AB3191AE7BD}" name="Column4564"/>
    <tableColumn id="4579" xr3:uid="{1DDD0D0C-DA24-4905-8747-17DE0E6E0308}" name="Column4565"/>
    <tableColumn id="4580" xr3:uid="{9D7795AE-8636-4955-B46A-7A3CCEAF9C43}" name="Column4566"/>
    <tableColumn id="4581" xr3:uid="{6A0A70BD-13B0-4C4D-ADAF-038E814E1203}" name="Column4567"/>
    <tableColumn id="4582" xr3:uid="{7EE75009-4CEB-4A0A-B2EE-55C12969B6C1}" name="Column4568"/>
    <tableColumn id="4583" xr3:uid="{EE856DB4-8CAF-4EF3-B0E8-D65C6C2B71A7}" name="Column4569"/>
    <tableColumn id="4584" xr3:uid="{FD25B8DB-BDC4-4878-92D0-A3383749B499}" name="Column4570"/>
    <tableColumn id="4585" xr3:uid="{A22A9195-E213-4E7D-9054-0640236684B8}" name="Column4571"/>
    <tableColumn id="4586" xr3:uid="{2E5B6D79-72E3-41E2-9D9A-79920CBA9E37}" name="Column4572"/>
    <tableColumn id="4587" xr3:uid="{75640E88-2EB6-4605-B770-6CCCAE939C6B}" name="Column4573"/>
    <tableColumn id="4588" xr3:uid="{899CC6C2-DAD3-4E80-B26A-BB1DB5AE78FF}" name="Column4574"/>
    <tableColumn id="4589" xr3:uid="{EA46FEC0-EBDB-4317-B7D0-959AE2A27DAF}" name="Column4575"/>
    <tableColumn id="4590" xr3:uid="{9FA32599-D291-4C46-8EA1-0A77B59533CD}" name="Column4576"/>
    <tableColumn id="4591" xr3:uid="{C875FAF7-F97E-442A-9F52-E124057D19E2}" name="Column4577"/>
    <tableColumn id="4592" xr3:uid="{5E92BF7E-3CC3-42B1-B785-2F9CF6FA6339}" name="Column4578"/>
    <tableColumn id="4593" xr3:uid="{18073C33-C474-4362-BEFA-B856AE4C0E98}" name="Column4579"/>
    <tableColumn id="4594" xr3:uid="{241418CD-67B7-4099-A21F-8ED03F794D67}" name="Column4580"/>
    <tableColumn id="4595" xr3:uid="{34E0C2D2-1A3F-43F2-A9AA-B9DF8C9C7184}" name="Column4581"/>
    <tableColumn id="4596" xr3:uid="{094E0853-AB65-460B-A101-49BAFE752EDC}" name="Column4582"/>
    <tableColumn id="4597" xr3:uid="{FE4F3B8F-446C-46B6-A68C-DC0F339A460A}" name="Column4583"/>
    <tableColumn id="4598" xr3:uid="{4881E247-027F-4C9E-8EE0-D292475EEF11}" name="Column4584"/>
    <tableColumn id="4599" xr3:uid="{62778CEE-83AD-41F5-8B6F-CF1EF105E0D0}" name="Column4585"/>
    <tableColumn id="4600" xr3:uid="{3C71A3EF-1604-4198-B9DF-27B7D5B798DE}" name="Column4586"/>
    <tableColumn id="4601" xr3:uid="{304B667F-22EE-4999-89AE-29E9B53B9FF0}" name="Column4587"/>
    <tableColumn id="4602" xr3:uid="{BD6791BF-39BF-4856-B469-4A14D47147B9}" name="Column4588"/>
    <tableColumn id="4603" xr3:uid="{E584D1E6-B6D8-4813-B7E6-BC3BA074A1F2}" name="Column4589"/>
    <tableColumn id="4604" xr3:uid="{16ECC202-8E31-4DD7-BC93-D9EE458D562F}" name="Column4590"/>
    <tableColumn id="4605" xr3:uid="{5A1E1AD3-C68A-4688-BE64-19315ED6A312}" name="Column4591"/>
    <tableColumn id="4606" xr3:uid="{39147C8C-DAAF-4247-8793-C71DEFBBA104}" name="Column4592"/>
    <tableColumn id="4607" xr3:uid="{AA3B9BB4-3E9A-4C41-B52D-824A1FD6F318}" name="Column4593"/>
    <tableColumn id="4608" xr3:uid="{317AED75-E7AF-4704-9E67-7270B6E2D5A1}" name="Column4594"/>
    <tableColumn id="4609" xr3:uid="{E3D96939-665B-4570-B4DB-48DC61AEE261}" name="Column4595"/>
    <tableColumn id="4610" xr3:uid="{A530362F-BA4F-4D31-A0BE-788889DFE644}" name="Column4596"/>
    <tableColumn id="4611" xr3:uid="{96E3976B-1A81-4486-B980-B1D9097B291F}" name="Column4597"/>
    <tableColumn id="4612" xr3:uid="{AFF30A03-6C69-4635-B9F7-F21D18202926}" name="Column4598"/>
    <tableColumn id="4613" xr3:uid="{B2897A08-E83E-4D31-A19D-8B7AB9C69586}" name="Column4599"/>
    <tableColumn id="4614" xr3:uid="{E37B086D-B927-44BF-8714-BC68C5D01669}" name="Column4600"/>
    <tableColumn id="4615" xr3:uid="{BABACFC3-5CCA-4EF6-9EF4-9B49E4961828}" name="Column4601"/>
    <tableColumn id="4616" xr3:uid="{E66BB793-6412-44D5-B8C2-84B0437353D6}" name="Column4602"/>
    <tableColumn id="4617" xr3:uid="{89084E41-B74D-4789-9383-3CF07D8B613D}" name="Column4603"/>
    <tableColumn id="4618" xr3:uid="{8C8BD7C7-3F80-4B05-A1B4-E183576D015A}" name="Column4604"/>
    <tableColumn id="4619" xr3:uid="{2E6664DB-4F07-47C0-A2B3-EEFD9B3CDBB0}" name="Column4605"/>
    <tableColumn id="4620" xr3:uid="{34A42185-1F30-4162-A41C-DDEE379D7F16}" name="Column4606"/>
    <tableColumn id="4621" xr3:uid="{99251991-9FE2-4A19-A0A2-4FDF8A94F9D9}" name="Column4607"/>
    <tableColumn id="4622" xr3:uid="{88F042D0-E7A7-43A7-94C9-606B9C4F8C2C}" name="Column4608"/>
    <tableColumn id="4623" xr3:uid="{716B28A8-0078-4F53-BB6B-23218A434A18}" name="Column4609"/>
    <tableColumn id="4624" xr3:uid="{F9336301-82AE-4205-89AF-3A865236D54C}" name="Column4610"/>
    <tableColumn id="4625" xr3:uid="{E896A4B8-6CD9-4BE8-B619-A7ECAB4798AC}" name="Column4611"/>
    <tableColumn id="4626" xr3:uid="{8F50C3D7-8533-4F53-A2E7-D7060133639A}" name="Column4612"/>
    <tableColumn id="4627" xr3:uid="{9FA9B603-2B36-4B30-84FA-841203691BA9}" name="Column4613"/>
    <tableColumn id="4628" xr3:uid="{AC0E83BB-325F-430B-B666-8713F82CD3D1}" name="Column4614"/>
    <tableColumn id="4629" xr3:uid="{95C616A4-7D21-4DB4-80BC-0FAC45B87930}" name="Column4615"/>
    <tableColumn id="4630" xr3:uid="{5EE69847-B709-4DA5-A336-409F8CEC5E75}" name="Column4616"/>
    <tableColumn id="4631" xr3:uid="{6AE88AA4-DB39-439D-8E37-955F6019CD67}" name="Column4617"/>
    <tableColumn id="4632" xr3:uid="{A9CD6B00-353C-429A-AA61-0480216996EE}" name="Column4618"/>
    <tableColumn id="4633" xr3:uid="{3C6635E1-0C70-40F5-A77B-7E93084B5B97}" name="Column4619"/>
    <tableColumn id="4634" xr3:uid="{8EFAA1F0-7105-4B92-8BD9-27C916DA15F7}" name="Column4620"/>
    <tableColumn id="4635" xr3:uid="{C9C921CA-784D-4645-9001-26882944715E}" name="Column4621"/>
    <tableColumn id="4636" xr3:uid="{A49E354A-7A41-447D-B477-ABE864A2AFF8}" name="Column4622"/>
    <tableColumn id="4637" xr3:uid="{882DFFA7-CD92-4ECB-A4BE-3131F45F94E7}" name="Column4623"/>
    <tableColumn id="4638" xr3:uid="{41BA65DE-0D00-4FA2-8C7F-DF16673BF984}" name="Column4624"/>
    <tableColumn id="4639" xr3:uid="{9C0895C1-AF63-4651-ACFE-0430CF5B7C25}" name="Column4625"/>
    <tableColumn id="4640" xr3:uid="{E078CC41-1F26-4224-98A4-8CAC96DD847E}" name="Column4626"/>
    <tableColumn id="4641" xr3:uid="{82849D27-A278-4A66-B8C7-D9051911BAF6}" name="Column4627"/>
    <tableColumn id="4642" xr3:uid="{E6C6A9A6-E876-48A7-BDB5-35210A7A687C}" name="Column4628"/>
    <tableColumn id="4643" xr3:uid="{468472D7-CA66-45A5-8F30-09EED637AF10}" name="Column4629"/>
    <tableColumn id="4644" xr3:uid="{BCC098B3-88D4-4E45-8691-0319B49879C1}" name="Column4630"/>
    <tableColumn id="4645" xr3:uid="{AF754427-8F90-44AB-8EC4-BD5F750BE28B}" name="Column4631"/>
    <tableColumn id="4646" xr3:uid="{02C3D7E9-0435-4434-BA1D-63133674AB27}" name="Column4632"/>
    <tableColumn id="4647" xr3:uid="{E84D0DA9-65D0-4D8E-8AA7-7CD3AB42DCDE}" name="Column4633"/>
    <tableColumn id="4648" xr3:uid="{73E4FAAB-1143-48C4-828E-10956C0C26F7}" name="Column4634"/>
    <tableColumn id="4649" xr3:uid="{C3D85130-876E-4B58-B3C7-EEA4D501EAED}" name="Column4635"/>
    <tableColumn id="4650" xr3:uid="{27014C69-B522-4459-8257-521F0EB12E0B}" name="Column4636"/>
    <tableColumn id="4651" xr3:uid="{B5AEEFF4-EBFC-4F71-B510-DC2CC8803CA0}" name="Column4637"/>
    <tableColumn id="4652" xr3:uid="{A1D9EFEA-E469-4661-A225-2BC9F0694914}" name="Column4638"/>
    <tableColumn id="4653" xr3:uid="{DA77EA0D-1C99-4CE4-B01A-A3C8DF3D6E60}" name="Column4639"/>
    <tableColumn id="4654" xr3:uid="{7564219B-0AAC-4EDA-927C-82D6AFFA9301}" name="Column4640"/>
    <tableColumn id="4655" xr3:uid="{A6B6BB72-7710-4640-9381-28D7793202D6}" name="Column4641"/>
    <tableColumn id="4656" xr3:uid="{77CDB779-5F0B-4C0A-84F1-55B3CFC40254}" name="Column4642"/>
    <tableColumn id="4657" xr3:uid="{9A61BA3B-9B78-4167-89A8-1E65ADE16751}" name="Column4643"/>
    <tableColumn id="4658" xr3:uid="{AF424DF9-EEB0-46D0-B0F3-8AAB0CA84CFE}" name="Column4644"/>
    <tableColumn id="4659" xr3:uid="{93A059A6-088B-43DE-9096-8D08D4D4908D}" name="Column4645"/>
    <tableColumn id="4660" xr3:uid="{D355A6A6-1FB4-4EF8-8B25-9CDDB40A8BE0}" name="Column4646"/>
    <tableColumn id="4661" xr3:uid="{7B818CEB-1EE5-4864-B6B4-252DBAEAFE99}" name="Column4647"/>
    <tableColumn id="4662" xr3:uid="{D644B465-3DD4-45BF-BA5A-19907BD159D4}" name="Column4648"/>
    <tableColumn id="4663" xr3:uid="{7DC70D88-3D7C-4602-87D8-709A37DD2C80}" name="Column4649"/>
    <tableColumn id="4664" xr3:uid="{A744F56F-42BA-4FA5-959B-8240A4D8F702}" name="Column4650"/>
    <tableColumn id="4665" xr3:uid="{BB450A61-3EC7-4016-8013-608BA2A7EAEF}" name="Column4651"/>
    <tableColumn id="4666" xr3:uid="{4ED267E4-AFEF-4DB7-A5C0-721310DE5EA6}" name="Column4652"/>
    <tableColumn id="4667" xr3:uid="{4505DE46-C790-46B5-9CAE-D2BD4BE85DDF}" name="Column4653"/>
    <tableColumn id="4668" xr3:uid="{24C24077-5A5E-43B7-9121-3E73E18151FB}" name="Column4654"/>
    <tableColumn id="4669" xr3:uid="{ED176200-D421-4814-9D11-1762F543FB33}" name="Column4655"/>
    <tableColumn id="4670" xr3:uid="{D80D05FA-4384-41E2-86FD-155A13CF2453}" name="Column4656"/>
    <tableColumn id="4671" xr3:uid="{D38C2ED0-9763-426A-A54F-5524B9924BEF}" name="Column4657"/>
    <tableColumn id="4672" xr3:uid="{25A1AE1E-D39B-4504-83E9-E4344B598593}" name="Column4658"/>
    <tableColumn id="4673" xr3:uid="{55955DBE-B2D6-425A-835F-8BE437932F99}" name="Column4659"/>
    <tableColumn id="4674" xr3:uid="{761FC25F-10AC-4388-A5D6-82DEC8EB9137}" name="Column4660"/>
    <tableColumn id="4675" xr3:uid="{1B9EC30E-1C9D-4B0B-B5FF-8C8D1705FCBE}" name="Column4661"/>
    <tableColumn id="4676" xr3:uid="{1CC53DBA-04AB-4299-8B59-CFDCB1E5F2A6}" name="Column4662"/>
    <tableColumn id="4677" xr3:uid="{BDBFAA68-9177-43C6-A0EA-6091111B9714}" name="Column4663"/>
    <tableColumn id="4678" xr3:uid="{27751E96-0443-4F3E-AE77-2C581626C8AE}" name="Column4664"/>
    <tableColumn id="4679" xr3:uid="{8A3FB760-42C2-4687-98F8-A2CE2C5A9702}" name="Column4665"/>
    <tableColumn id="4680" xr3:uid="{6450C813-F9DC-4A7E-9618-C79D68171FFE}" name="Column4666"/>
    <tableColumn id="4681" xr3:uid="{F613FC7A-543B-4ECD-953E-4AA50644973E}" name="Column4667"/>
    <tableColumn id="4682" xr3:uid="{1D4AF824-053B-4E10-8888-49A5655A085D}" name="Column4668"/>
    <tableColumn id="4683" xr3:uid="{57713806-9390-42FD-91CE-72053ACB5574}" name="Column4669"/>
    <tableColumn id="4684" xr3:uid="{47E44472-8E24-4CFB-B90D-1D9CBFCA50B3}" name="Column4670"/>
    <tableColumn id="4685" xr3:uid="{006551AE-D841-48C3-A6AB-8B96184DFE22}" name="Column4671"/>
    <tableColumn id="4686" xr3:uid="{9FFE5902-E03F-4745-8E70-E0EC9ECB1C16}" name="Column4672"/>
    <tableColumn id="4687" xr3:uid="{A893A2EB-2091-4B05-B9D3-B5FE767E581B}" name="Column4673"/>
    <tableColumn id="4688" xr3:uid="{DB92B2E9-61D1-4AB5-B9E6-FD7151EA9D9A}" name="Column4674"/>
    <tableColumn id="4689" xr3:uid="{6123154D-7F88-4D10-B471-2621ACE7BA4D}" name="Column4675"/>
    <tableColumn id="4690" xr3:uid="{A53D0217-E7FA-451D-8E36-1497A5FB1611}" name="Column4676"/>
    <tableColumn id="4691" xr3:uid="{D7413D47-E69E-4B7D-BAB0-30CBB63BA60A}" name="Column4677"/>
    <tableColumn id="4692" xr3:uid="{7B3891B1-36BE-4968-B2BC-048D97BFA2BA}" name="Column4678"/>
    <tableColumn id="4693" xr3:uid="{F735F83F-C4E2-4423-BB9E-FAA3BCAE2A26}" name="Column4679"/>
    <tableColumn id="4694" xr3:uid="{8D1D4373-F532-4AF9-BD7F-7E1878A4995F}" name="Column4680"/>
    <tableColumn id="4695" xr3:uid="{E85D4FF9-F400-4425-B4C8-015FFAAF8EE0}" name="Column4681"/>
    <tableColumn id="4696" xr3:uid="{8D51E063-3EB6-49AA-A27A-1E83746F57B5}" name="Column4682"/>
    <tableColumn id="4697" xr3:uid="{F6D21267-E099-4BAE-AA9A-3C1D58F3BF19}" name="Column4683"/>
    <tableColumn id="4698" xr3:uid="{3A83BB99-AFC9-4627-A5D4-7D37E44E3315}" name="Column4684"/>
    <tableColumn id="4699" xr3:uid="{EB934EC7-CF43-43BA-9B31-EC121E77F204}" name="Column4685"/>
    <tableColumn id="4700" xr3:uid="{ED8812AB-3AD1-4335-A3F9-47ADD5A2544C}" name="Column4686"/>
    <tableColumn id="4701" xr3:uid="{1F513489-01AC-4F38-B658-DBBDA6DF7370}" name="Column4687"/>
    <tableColumn id="4702" xr3:uid="{636FAD64-B3A9-404E-9589-DED371229121}" name="Column4688"/>
    <tableColumn id="4703" xr3:uid="{C1EA553C-EB54-408F-94B1-113217684432}" name="Column4689"/>
    <tableColumn id="4704" xr3:uid="{57C34E76-1C1F-4822-AD0D-02D70520CA62}" name="Column4690"/>
    <tableColumn id="4705" xr3:uid="{5E3FF7B7-C1BE-4097-8B14-2FC8EE337931}" name="Column4691"/>
    <tableColumn id="4706" xr3:uid="{BCF4692D-DE84-475A-AB81-D06379F70ADD}" name="Column4692"/>
    <tableColumn id="4707" xr3:uid="{6A59815A-C080-41F5-8404-7C4FF8AF8DCC}" name="Column4693"/>
    <tableColumn id="4708" xr3:uid="{528D5377-B10F-42FD-8C1E-DD96232DF5EA}" name="Column4694"/>
    <tableColumn id="4709" xr3:uid="{6B616E1B-D37D-4DD3-B69C-473BB211390F}" name="Column4695"/>
    <tableColumn id="4710" xr3:uid="{0FA8E1BB-33B0-44A9-85BD-2F6539305D9D}" name="Column4696"/>
    <tableColumn id="4711" xr3:uid="{8FCE106A-DEF7-4A3E-87A3-F9F75F405C2D}" name="Column4697"/>
    <tableColumn id="4712" xr3:uid="{5856A9BB-EB9E-4039-BD49-872779381109}" name="Column4698"/>
    <tableColumn id="4713" xr3:uid="{3EB197DC-CBB8-45CA-83E3-1C7AEB0F0674}" name="Column4699"/>
    <tableColumn id="4714" xr3:uid="{70B0862E-721F-4320-BC94-D8D46B1B79CB}" name="Column4700"/>
    <tableColumn id="4715" xr3:uid="{F2B5B324-3CEE-4BBB-A1D9-C679B7BBCFB4}" name="Column4701"/>
    <tableColumn id="4716" xr3:uid="{AA6CCE5A-82CB-468C-AEDF-997506B5DBFA}" name="Column4702"/>
    <tableColumn id="4717" xr3:uid="{9196D605-12C4-4FAF-B7B1-1C3D45C3D1DD}" name="Column4703"/>
    <tableColumn id="4718" xr3:uid="{71B69368-8905-4E1D-B4C7-A42D24C86A80}" name="Column4704"/>
    <tableColumn id="4719" xr3:uid="{05CE1182-B36C-495E-A29A-F102594ECE04}" name="Column4705"/>
    <tableColumn id="4720" xr3:uid="{C240306F-9B40-4412-A624-DA684566F792}" name="Column4706"/>
    <tableColumn id="4721" xr3:uid="{F46AE86F-7A51-4AF0-BFB8-5B73B947ED32}" name="Column4707"/>
    <tableColumn id="4722" xr3:uid="{1ED05939-6CBF-4F64-81A8-81B503E9B4F9}" name="Column4708"/>
    <tableColumn id="4723" xr3:uid="{B86FEDE2-78C9-4DAD-941F-2723FDB17DB2}" name="Column4709"/>
    <tableColumn id="4724" xr3:uid="{5674C07D-8F1C-41AD-9CDE-619718D5D6B4}" name="Column4710"/>
    <tableColumn id="4725" xr3:uid="{18D9741E-DEC1-44F2-8C57-5E8E0F3022DD}" name="Column4711"/>
    <tableColumn id="4726" xr3:uid="{9C9FB2AC-6410-404A-A5F6-1E836D9276F5}" name="Column4712"/>
    <tableColumn id="4727" xr3:uid="{E3DEF6F0-12F0-4C57-9345-5FE6D0275A91}" name="Column4713"/>
    <tableColumn id="4728" xr3:uid="{C001E573-F578-48A8-A3F6-65B426A48554}" name="Column4714"/>
    <tableColumn id="4729" xr3:uid="{2777FDAB-77BF-4CC4-A4BB-80D9CC4715D8}" name="Column4715"/>
    <tableColumn id="4730" xr3:uid="{31B781D0-8EE5-4CAE-850E-C088D48E36C4}" name="Column4716"/>
    <tableColumn id="4731" xr3:uid="{04B5E630-DE6B-4677-87E2-BE26C7D241B4}" name="Column4717"/>
    <tableColumn id="4732" xr3:uid="{600890A6-7109-473E-BC5D-B755419A1365}" name="Column4718"/>
    <tableColumn id="4733" xr3:uid="{375D0826-0B15-4EF2-8FA7-08F8F9CFE84B}" name="Column4719"/>
    <tableColumn id="4734" xr3:uid="{E21415C7-F146-4F62-8804-411014FC6209}" name="Column4720"/>
    <tableColumn id="4735" xr3:uid="{1E1B1CF5-4235-4E69-BDEB-79B50C769CDD}" name="Column4721"/>
    <tableColumn id="4736" xr3:uid="{C83B7CA0-B55F-4BD8-8F64-9C4FFEB9C034}" name="Column4722"/>
    <tableColumn id="4737" xr3:uid="{0AEE19BD-6BD8-44DB-9666-27CF7F9E7F50}" name="Column4723"/>
    <tableColumn id="4738" xr3:uid="{DE5B42A5-4D6B-4981-BAEC-177347070D42}" name="Column4724"/>
    <tableColumn id="4739" xr3:uid="{3388F0DC-74FB-46AD-A426-B789749A435C}" name="Column4725"/>
    <tableColumn id="4740" xr3:uid="{D99CC060-FB67-439F-BE64-339318717FC2}" name="Column4726"/>
    <tableColumn id="4741" xr3:uid="{3429A5C3-19C0-44D0-B68B-61B76E35FFF5}" name="Column4727"/>
    <tableColumn id="4742" xr3:uid="{A32D5E4E-B213-4A1B-A7E5-DACDCED34532}" name="Column4728"/>
    <tableColumn id="4743" xr3:uid="{5BE50764-E94B-46D6-9361-4162042D02E8}" name="Column4729"/>
    <tableColumn id="4744" xr3:uid="{BF0F1E4E-C3FD-4821-B174-90F725E1EB61}" name="Column4730"/>
    <tableColumn id="4745" xr3:uid="{B9D26253-EA21-47F7-9651-C9A8B5150183}" name="Column4731"/>
    <tableColumn id="4746" xr3:uid="{57CF740E-FB9E-4242-9C92-E97FAD19F2C4}" name="Column4732"/>
    <tableColumn id="4747" xr3:uid="{D0A6A3C2-66DB-4850-BB1B-C6BC3389D771}" name="Column4733"/>
    <tableColumn id="4748" xr3:uid="{9A2A3928-A90D-4AA9-BD1B-BC1C5FBBDF1A}" name="Column4734"/>
    <tableColumn id="4749" xr3:uid="{B35469A8-F230-417D-9A95-72A550751912}" name="Column4735"/>
    <tableColumn id="4750" xr3:uid="{605381CC-E63C-4FCC-B58F-CA818B9178A5}" name="Column4736"/>
    <tableColumn id="4751" xr3:uid="{A188FDFC-69ED-437D-B48A-1536ABC20FEA}" name="Column4737"/>
    <tableColumn id="4752" xr3:uid="{C4B2F1A1-402F-4AC3-9C83-7B6CE15BE52E}" name="Column4738"/>
    <tableColumn id="4753" xr3:uid="{3F067926-3882-42B5-A8FA-18E3A4441154}" name="Column4739"/>
    <tableColumn id="4754" xr3:uid="{964DD43F-36FE-4A55-A7F8-59AC858E032E}" name="Column4740"/>
    <tableColumn id="4755" xr3:uid="{A9341306-1DC7-4DB9-83A9-574B9AF65F63}" name="Column4741"/>
    <tableColumn id="4756" xr3:uid="{79F7477C-04F6-481A-B9B3-DC54E6919339}" name="Column4742"/>
    <tableColumn id="4757" xr3:uid="{FD01AA7F-D0FD-4077-97ED-7570DBDB442B}" name="Column4743"/>
    <tableColumn id="4758" xr3:uid="{684E0989-281B-404A-BBB2-4C70ADF02B8C}" name="Column4744"/>
    <tableColumn id="4759" xr3:uid="{723EF2F6-E66E-49E3-A4BF-E37158C14E62}" name="Column4745"/>
    <tableColumn id="4760" xr3:uid="{F203C889-7A40-4720-B5C9-C67BBFF3A45F}" name="Column4746"/>
    <tableColumn id="4761" xr3:uid="{A72B26BE-7BEB-4AE3-8059-C667E4499E5F}" name="Column4747"/>
    <tableColumn id="4762" xr3:uid="{69E9A1F0-5597-4FCB-A424-C2FF0164937A}" name="Column4748"/>
    <tableColumn id="4763" xr3:uid="{C124A997-693D-4DC5-9DD4-09CF15DC5268}" name="Column4749"/>
    <tableColumn id="4764" xr3:uid="{176A614E-F7B6-419D-9C3B-9B41E22F2C2A}" name="Column4750"/>
    <tableColumn id="4765" xr3:uid="{11F94345-071A-4D95-8DC6-D1812F37D5FE}" name="Column4751"/>
    <tableColumn id="4766" xr3:uid="{9215DD4F-85A0-41DE-8533-A940DA810D7D}" name="Column4752"/>
    <tableColumn id="4767" xr3:uid="{BDD42CB8-CD08-4F95-B7FB-E677176A40CD}" name="Column4753"/>
    <tableColumn id="4768" xr3:uid="{F278FD25-8EB5-4F3D-B008-AF6D4741D4AB}" name="Column4754"/>
    <tableColumn id="4769" xr3:uid="{88812C6E-93E8-466A-A46B-AE7FCEF8A273}" name="Column4755"/>
    <tableColumn id="4770" xr3:uid="{829EF912-7A0F-4E5E-B10A-B7D5165E9B97}" name="Column4756"/>
    <tableColumn id="4771" xr3:uid="{3ADD6192-90EE-49E2-917C-C162CBD48ADD}" name="Column4757"/>
    <tableColumn id="4772" xr3:uid="{F73B49BB-575A-44FD-BEBE-2932A561C2D2}" name="Column4758"/>
    <tableColumn id="4773" xr3:uid="{3E3F81ED-5542-46FF-B047-2C8190195343}" name="Column4759"/>
    <tableColumn id="4774" xr3:uid="{35E944E4-CCE4-4508-8D15-F937428FF9EA}" name="Column4760"/>
    <tableColumn id="4775" xr3:uid="{5E4CD090-2C6D-4D38-BA97-BA87145DD8B5}" name="Column4761"/>
    <tableColumn id="4776" xr3:uid="{CA59CA85-69BE-4EE7-B3AF-2F5836F02F11}" name="Column4762"/>
    <tableColumn id="4777" xr3:uid="{9A094733-926B-440D-B8CE-1AE1E35DD0B4}" name="Column4763"/>
    <tableColumn id="4778" xr3:uid="{16BCBBB5-F057-4980-9941-15ECBC9CFDF2}" name="Column4764"/>
    <tableColumn id="4779" xr3:uid="{EFBE6659-5E68-450F-B487-A510E387466E}" name="Column4765"/>
    <tableColumn id="4780" xr3:uid="{04AA97F6-98E5-4201-82CA-95B2750500D2}" name="Column4766"/>
    <tableColumn id="4781" xr3:uid="{981D69F0-539E-4885-9EE4-9FA8AB43C953}" name="Column4767"/>
    <tableColumn id="4782" xr3:uid="{1D1D8ABF-1DA0-471F-B030-E7D95B4002AA}" name="Column4768"/>
    <tableColumn id="4783" xr3:uid="{6AEE80DA-AB03-47D3-9950-69B54A5C85C9}" name="Column4769"/>
    <tableColumn id="4784" xr3:uid="{75A0CC55-8726-4C75-87F8-01808BE9CAE9}" name="Column4770"/>
    <tableColumn id="4785" xr3:uid="{C7DF9C7D-2A2C-4E22-B29E-A155D65F60E1}" name="Column4771"/>
    <tableColumn id="4786" xr3:uid="{61740503-D6F6-40AE-826C-47DBA606C09F}" name="Column4772"/>
    <tableColumn id="4787" xr3:uid="{C7F3CE0D-8F16-46DC-8280-654DD9824FD1}" name="Column4773"/>
    <tableColumn id="4788" xr3:uid="{768553EF-01FF-4342-AFE9-8C6678A718BA}" name="Column4774"/>
    <tableColumn id="4789" xr3:uid="{13B79375-584B-46D3-89B2-125A0B84C441}" name="Column4775"/>
    <tableColumn id="4790" xr3:uid="{6739082F-678E-43E6-8EB2-ED819DDC8C6C}" name="Column4776"/>
    <tableColumn id="4791" xr3:uid="{D985C58B-82DC-47A1-AD1D-39323BC2B9C4}" name="Column4777"/>
    <tableColumn id="4792" xr3:uid="{D78342F0-8B29-433A-BD29-1402076037DB}" name="Column4778"/>
    <tableColumn id="4793" xr3:uid="{66CF297C-E6D6-464C-B48D-7FB9ACC6A47A}" name="Column4779"/>
    <tableColumn id="4794" xr3:uid="{41284C09-02A7-4DB7-8130-955B5CA64B46}" name="Column4780"/>
    <tableColumn id="4795" xr3:uid="{4FA07C07-B4B2-4F56-88C7-FFB2871FC30A}" name="Column4781"/>
    <tableColumn id="4796" xr3:uid="{A61CC82F-A319-4B88-9AC8-1BA764038737}" name="Column4782"/>
    <tableColumn id="4797" xr3:uid="{7401A2D3-2AF4-4282-AFEE-32D9ABB4E543}" name="Column4783"/>
    <tableColumn id="4798" xr3:uid="{5F20AB75-9A43-4679-9057-6AB4E25F9EA1}" name="Column4784"/>
    <tableColumn id="4799" xr3:uid="{D4B92333-0241-4D23-B59A-A77814713740}" name="Column4785"/>
    <tableColumn id="4800" xr3:uid="{D2E44870-0EF4-4C0C-AE2F-3B599E3935CC}" name="Column4786"/>
    <tableColumn id="4801" xr3:uid="{768FCCE6-657F-4FF6-83CB-0B23DD38935A}" name="Column4787"/>
    <tableColumn id="4802" xr3:uid="{D8027236-E60A-4300-9CBC-8F5404D238A8}" name="Column4788"/>
    <tableColumn id="4803" xr3:uid="{0A1261C8-A8A9-42FE-A30F-D36F82F81F7E}" name="Column4789"/>
    <tableColumn id="4804" xr3:uid="{0B5FB1FF-CF2D-40BD-9D42-1424B3034F2F}" name="Column4790"/>
    <tableColumn id="4805" xr3:uid="{3FA99EAC-8F28-4E83-9F74-D969EB034BC6}" name="Column4791"/>
    <tableColumn id="4806" xr3:uid="{B6AB80A9-2698-4BB3-80DB-E6C6558679EF}" name="Column4792"/>
    <tableColumn id="4807" xr3:uid="{B7B773CD-E53F-4283-9B27-D511E26E8259}" name="Column4793"/>
    <tableColumn id="4808" xr3:uid="{158CB361-238F-4E36-A8AB-45E92C5E4292}" name="Column4794"/>
    <tableColumn id="4809" xr3:uid="{19624300-852A-4016-BA3C-0EE5A217BF09}" name="Column4795"/>
    <tableColumn id="4810" xr3:uid="{DC2729E6-3CB4-4FD8-BCE1-5592A91FF58A}" name="Column4796"/>
    <tableColumn id="4811" xr3:uid="{C9A20CD2-F202-4A11-9C9C-0C800833B3F2}" name="Column4797"/>
    <tableColumn id="4812" xr3:uid="{953A90CF-6B5D-49D0-9F9B-D5CB2AEBD661}" name="Column4798"/>
    <tableColumn id="4813" xr3:uid="{057420F8-05FD-4668-88B1-3E3EE588028E}" name="Column4799"/>
    <tableColumn id="4814" xr3:uid="{77BA207B-8CED-4F23-8A62-9DAA37507CA7}" name="Column4800"/>
    <tableColumn id="4815" xr3:uid="{74825E1C-50AE-4A64-BDD9-E8631B91DA89}" name="Column4801"/>
    <tableColumn id="4816" xr3:uid="{F7485964-1D60-4CA1-B82C-61552F7F90FC}" name="Column4802"/>
    <tableColumn id="4817" xr3:uid="{1BB8E505-404E-4D3C-952F-6F3A69FDDAC3}" name="Column4803"/>
    <tableColumn id="4818" xr3:uid="{0CD4EFCC-E88D-4A8F-BA75-3D9F76025EBC}" name="Column4804"/>
    <tableColumn id="4819" xr3:uid="{8783427E-CA1D-4304-A28F-8BAB39A3AFCC}" name="Column4805"/>
    <tableColumn id="4820" xr3:uid="{A5D8B504-E6BE-4DD4-97BA-BD6DA2C2F041}" name="Column4806"/>
    <tableColumn id="4821" xr3:uid="{31CC55C6-30B2-44F4-AF72-F82E1D95F066}" name="Column4807"/>
    <tableColumn id="4822" xr3:uid="{C2DFE30F-4772-4384-8204-FAA3A788EF9A}" name="Column4808"/>
    <tableColumn id="4823" xr3:uid="{DE47D105-946A-4698-85C0-396BD3AC11F5}" name="Column4809"/>
    <tableColumn id="4824" xr3:uid="{0037E2CF-1511-4A0D-9374-72E1FF7E0EAB}" name="Column4810"/>
    <tableColumn id="4825" xr3:uid="{D692178F-D270-4A34-96AF-018D64189F94}" name="Column4811"/>
    <tableColumn id="4826" xr3:uid="{4BFFCE5A-DC20-4834-9621-2D5ED873E9DC}" name="Column4812"/>
    <tableColumn id="4827" xr3:uid="{5217A85D-816C-498A-A2E8-B70EF0A827A2}" name="Column4813"/>
    <tableColumn id="4828" xr3:uid="{93DE0708-7C2C-40AE-BF46-B5F40F55AA40}" name="Column4814"/>
    <tableColumn id="4829" xr3:uid="{FBEC7CA6-5AE0-4F46-AE79-70ABB4B199DF}" name="Column4815"/>
    <tableColumn id="4830" xr3:uid="{1F3DC0A2-7493-4306-AC08-FAD51CFD6995}" name="Column4816"/>
    <tableColumn id="4831" xr3:uid="{92443C7A-7349-48E0-A75D-71F9A988E8FF}" name="Column4817"/>
    <tableColumn id="4832" xr3:uid="{16CB0661-4882-4511-81A4-862E11CD202A}" name="Column4818"/>
    <tableColumn id="4833" xr3:uid="{F1399DA4-E604-4BB8-81A8-67D2690D90E5}" name="Column4819"/>
    <tableColumn id="4834" xr3:uid="{6944DAA0-4AE0-4FF5-940C-380C1C3EE690}" name="Column4820"/>
    <tableColumn id="4835" xr3:uid="{7AE269F8-49B9-47DC-8EE5-F4C53EE59E9D}" name="Column4821"/>
    <tableColumn id="4836" xr3:uid="{B505F4B2-5E8E-47F6-8357-2509BDAD170D}" name="Column4822"/>
    <tableColumn id="4837" xr3:uid="{27B48C68-B7F6-4DE7-98EA-740763647AF1}" name="Column4823"/>
    <tableColumn id="4838" xr3:uid="{04CFA4B4-333B-447E-9727-AA5C0F081301}" name="Column4824"/>
    <tableColumn id="4839" xr3:uid="{A7C025A8-1638-4B43-B767-CAF284F00613}" name="Column4825"/>
    <tableColumn id="4840" xr3:uid="{87913C8A-9DFA-497E-B3AB-F328E759C6C6}" name="Column4826"/>
    <tableColumn id="4841" xr3:uid="{77F5E2BD-E76A-4F47-B101-0A512C52F4D6}" name="Column4827"/>
    <tableColumn id="4842" xr3:uid="{AEDF356F-C93D-44EE-B514-E1A78DDC33E5}" name="Column4828"/>
    <tableColumn id="4843" xr3:uid="{BE2D10DB-1CD5-4051-A70E-11CA05C9B58D}" name="Column4829"/>
    <tableColumn id="4844" xr3:uid="{7CD50C71-7E79-4A61-8187-1F32128E673F}" name="Column4830"/>
    <tableColumn id="4845" xr3:uid="{D95CCDD3-716C-4B45-97C4-4180F36B3B62}" name="Column4831"/>
    <tableColumn id="4846" xr3:uid="{A2D0D3E3-119D-4DDE-9037-49CA43855FEA}" name="Column4832"/>
    <tableColumn id="4847" xr3:uid="{CF8E6B0F-C4D6-4B4E-83FF-6839E5B612BC}" name="Column4833"/>
    <tableColumn id="4848" xr3:uid="{A377A15E-EE65-464F-A2F8-6A45A97B42CE}" name="Column4834"/>
    <tableColumn id="4849" xr3:uid="{676A9967-65EB-4543-9C23-A89D1802CA89}" name="Column4835"/>
    <tableColumn id="4850" xr3:uid="{C340F2A1-E566-41B4-A703-0E738F53262A}" name="Column4836"/>
    <tableColumn id="4851" xr3:uid="{0DF32A3B-FE5D-4E1A-A801-ECBCA130B476}" name="Column4837"/>
    <tableColumn id="4852" xr3:uid="{ACF924B0-1C40-47DF-9786-A5E0074D5EFC}" name="Column4838"/>
    <tableColumn id="4853" xr3:uid="{2727B1F1-66FC-4549-ACDA-505BE15A7A9D}" name="Column4839"/>
    <tableColumn id="4854" xr3:uid="{0EDF4024-7C97-4041-B996-8F95177C4DAF}" name="Column4840"/>
    <tableColumn id="4855" xr3:uid="{B9824406-F207-4360-8D27-049CC5F3BF55}" name="Column4841"/>
    <tableColumn id="4856" xr3:uid="{DEA45B5A-1B58-4A89-B476-BFC6BBF3AFC2}" name="Column4842"/>
    <tableColumn id="4857" xr3:uid="{5F33C434-8562-4936-BFF3-1D4AC9CECA2D}" name="Column4843"/>
    <tableColumn id="4858" xr3:uid="{2A1D31DA-8C87-4695-9D4D-AEBC6CCAE6B4}" name="Column4844"/>
    <tableColumn id="4859" xr3:uid="{65A798BE-3248-48D0-9ED4-DFB3A4EC7DF9}" name="Column4845"/>
    <tableColumn id="4860" xr3:uid="{0F97D64E-85EB-444E-9997-312E52EA7163}" name="Column4846"/>
    <tableColumn id="4861" xr3:uid="{AAEE08F3-A6C4-4384-92E8-3688C541ACBF}" name="Column4847"/>
    <tableColumn id="4862" xr3:uid="{DAE6BAC3-B86C-4331-BB27-3EC8E06704F9}" name="Column4848"/>
    <tableColumn id="4863" xr3:uid="{88A80BFF-D3DC-461F-9D0E-6B1E59E88D4B}" name="Column4849"/>
    <tableColumn id="4864" xr3:uid="{FE7F50C0-5532-4C98-849A-F995690A0B55}" name="Column4850"/>
    <tableColumn id="4865" xr3:uid="{1931B764-63C6-497A-AF8A-BECCBE573B34}" name="Column4851"/>
    <tableColumn id="4866" xr3:uid="{9686F12B-6199-4ABC-B86C-F4465216989F}" name="Column4852"/>
    <tableColumn id="4867" xr3:uid="{CF9D9C82-E4B4-4227-9BDD-17923D034BF2}" name="Column4853"/>
    <tableColumn id="4868" xr3:uid="{739DA6F1-73F6-424A-8ABC-A1517214D802}" name="Column4854"/>
    <tableColumn id="4869" xr3:uid="{FFA6048F-CF68-43F8-A4D1-B07AC5203E6B}" name="Column4855"/>
    <tableColumn id="4870" xr3:uid="{5DF16336-E102-4659-B668-521CB6F723F9}" name="Column4856"/>
    <tableColumn id="4871" xr3:uid="{C8B8E20A-1615-42B3-9FFD-0041559F38BD}" name="Column4857"/>
    <tableColumn id="4872" xr3:uid="{4D272F8F-53D0-4A8D-808A-1D4067B02A5D}" name="Column4858"/>
    <tableColumn id="4873" xr3:uid="{3A8E52D5-821A-416C-925B-A6FDE8C8F61D}" name="Column4859"/>
    <tableColumn id="4874" xr3:uid="{C4728673-1E75-4224-A878-1EF986D69F39}" name="Column4860"/>
    <tableColumn id="4875" xr3:uid="{B56FE15E-110F-4BD2-AB5A-F3588EC3525E}" name="Column4861"/>
    <tableColumn id="4876" xr3:uid="{1B3EDC49-A3EA-4C64-90F2-295E09417FD7}" name="Column4862"/>
    <tableColumn id="4877" xr3:uid="{C5318BCB-41F3-4168-93AB-8391A6AC81D1}" name="Column4863"/>
    <tableColumn id="4878" xr3:uid="{31F7AFA0-9930-443A-9570-535DE48ABC14}" name="Column4864"/>
    <tableColumn id="4879" xr3:uid="{AE463EAF-D52E-4F6E-801A-E76323E78EEB}" name="Column4865"/>
    <tableColumn id="4880" xr3:uid="{D454B253-02C9-45F2-80A0-13C253EE0D1E}" name="Column4866"/>
    <tableColumn id="4881" xr3:uid="{21669F34-32CD-4572-9007-E69D12AF148F}" name="Column4867"/>
    <tableColumn id="4882" xr3:uid="{17AA7677-7088-4E09-8AEE-CD71670410A3}" name="Column4868"/>
    <tableColumn id="4883" xr3:uid="{442BAA8C-BB21-4387-82BE-A33E22B816D9}" name="Column4869"/>
    <tableColumn id="4884" xr3:uid="{72021101-F931-426A-90D5-8704DC64998A}" name="Column4870"/>
    <tableColumn id="4885" xr3:uid="{4776D42E-F4AC-4380-99EE-A1A0615BA887}" name="Column4871"/>
    <tableColumn id="4886" xr3:uid="{633644B3-9B37-4328-8413-899BDED62344}" name="Column4872"/>
    <tableColumn id="4887" xr3:uid="{D7000DD1-1E2A-4583-8297-3337FCE76A89}" name="Column4873"/>
    <tableColumn id="4888" xr3:uid="{EFB1E424-5A7F-4813-A41F-EB4843F8E004}" name="Column4874"/>
    <tableColumn id="4889" xr3:uid="{41D345A0-D6B4-429B-A7D1-6CCDF99F35C2}" name="Column4875"/>
    <tableColumn id="4890" xr3:uid="{94FE1667-3FEC-46B7-A78B-36F0BE99A0E2}" name="Column4876"/>
    <tableColumn id="4891" xr3:uid="{099D0067-AAB4-4436-815A-C2EE31507D1E}" name="Column4877"/>
    <tableColumn id="4892" xr3:uid="{32D805C2-3CAD-408F-8021-FFABCC508546}" name="Column4878"/>
    <tableColumn id="4893" xr3:uid="{61D60732-5043-4986-8E84-D9DAECE488FC}" name="Column4879"/>
    <tableColumn id="4894" xr3:uid="{6DE9967D-68C5-40C5-8397-B37E284B29D7}" name="Column4880"/>
    <tableColumn id="4895" xr3:uid="{5F78C637-F116-4957-88A8-39B1196CE46A}" name="Column4881"/>
    <tableColumn id="4896" xr3:uid="{3EE6A10E-9193-4E9B-A54E-1E4396DDDB48}" name="Column4882"/>
    <tableColumn id="4897" xr3:uid="{595CA265-108B-4655-B64F-A19C6A6E6094}" name="Column4883"/>
    <tableColumn id="4898" xr3:uid="{18E41FB0-594B-414B-B204-9C5D72475184}" name="Column4884"/>
    <tableColumn id="4899" xr3:uid="{A3BA8502-53DC-4299-88E4-E94E979CB229}" name="Column4885"/>
    <tableColumn id="4900" xr3:uid="{A95AD320-511A-4284-8493-3ABD94C55193}" name="Column4886"/>
    <tableColumn id="4901" xr3:uid="{696286CB-CB4E-4163-BAD5-CAEDA4E6C9E0}" name="Column4887"/>
    <tableColumn id="4902" xr3:uid="{45B83944-FFC5-4316-A89E-0C94624F150A}" name="Column4888"/>
    <tableColumn id="4903" xr3:uid="{24952998-5B2C-4EB4-B5DE-1C317006E1F5}" name="Column4889"/>
    <tableColumn id="4904" xr3:uid="{7AAC8036-E01D-406A-B550-F8CAF10E633D}" name="Column4890"/>
    <tableColumn id="4905" xr3:uid="{768D63DD-2A8A-4F23-8731-A3B379090E85}" name="Column4891"/>
    <tableColumn id="4906" xr3:uid="{D13AF6DB-4144-4964-861F-FC828B8C35BF}" name="Column4892"/>
    <tableColumn id="4907" xr3:uid="{FA08B6F2-931F-44AF-A480-1EF25198841D}" name="Column4893"/>
    <tableColumn id="4908" xr3:uid="{C1084225-CAE5-4E10-AA18-2BF16D81791F}" name="Column4894"/>
    <tableColumn id="4909" xr3:uid="{E7B6A9C2-E57D-4DA8-9FF3-FC9BFC3142AA}" name="Column4895"/>
    <tableColumn id="4910" xr3:uid="{71207E18-18C6-49A5-A3E6-B95A411C1415}" name="Column4896"/>
    <tableColumn id="4911" xr3:uid="{BF0D704A-EB2E-4934-A295-1EC88C6CC2E0}" name="Column4897"/>
    <tableColumn id="4912" xr3:uid="{1F51FAC3-AA4E-4B6A-9DE9-353D001514A9}" name="Column4898"/>
    <tableColumn id="4913" xr3:uid="{4E34899F-9ACF-448D-B3A6-223FEB862438}" name="Column4899"/>
    <tableColumn id="4914" xr3:uid="{F13232EF-6775-4BFA-A3BD-D9C350EA0E7B}" name="Column4900"/>
    <tableColumn id="4915" xr3:uid="{9A061B26-7E85-43F4-8DDE-75EAC69F7952}" name="Column4901"/>
    <tableColumn id="4916" xr3:uid="{D51FFB96-AA69-4E97-8CBD-E33429A30A85}" name="Column4902"/>
    <tableColumn id="4917" xr3:uid="{B3BCB3CC-5EDE-4D2A-82E4-4D9797743831}" name="Column4903"/>
    <tableColumn id="4918" xr3:uid="{3857A6D8-07AC-425F-ACB9-5B134613E7E6}" name="Column4904"/>
    <tableColumn id="4919" xr3:uid="{48898D20-A9FD-456F-836E-7FE58CE3409C}" name="Column4905"/>
    <tableColumn id="4920" xr3:uid="{5E602E59-4A64-4E76-8A6D-B0F41CE22383}" name="Column4906"/>
    <tableColumn id="4921" xr3:uid="{269C8F13-59E1-4E5F-B843-236F338FEC05}" name="Column4907"/>
    <tableColumn id="4922" xr3:uid="{C619121A-5DC5-4F48-9CB2-85FE2987BCC3}" name="Column4908"/>
    <tableColumn id="4923" xr3:uid="{B4E18EC8-D879-440C-BC13-A71CB1C06468}" name="Column4909"/>
    <tableColumn id="4924" xr3:uid="{9EC70AB2-C1D6-435D-A8D9-0F2DEBBFBA49}" name="Column4910"/>
    <tableColumn id="4925" xr3:uid="{2A005353-96B3-4A38-96C0-A9FAB513AA53}" name="Column4911"/>
    <tableColumn id="4926" xr3:uid="{6689C831-6335-494A-ADFE-99A1CE113128}" name="Column4912"/>
    <tableColumn id="4927" xr3:uid="{ED314F4F-F48A-448D-9FBB-0E76F2C10B34}" name="Column4913"/>
    <tableColumn id="4928" xr3:uid="{225F8267-D293-4976-80CE-9CC10FB34327}" name="Column4914"/>
    <tableColumn id="4929" xr3:uid="{0D6DB7CA-4A7F-4169-A49D-DCFD1E6F807E}" name="Column4915"/>
    <tableColumn id="4930" xr3:uid="{2B185D70-7BA9-4B29-B9DB-51E771B99682}" name="Column4916"/>
    <tableColumn id="4931" xr3:uid="{4A9AAEA6-78CE-4BBC-9D31-8DAF8E3D0F44}" name="Column4917"/>
    <tableColumn id="4932" xr3:uid="{58CE2121-6667-4D01-B687-8B4FEA871E07}" name="Column4918"/>
    <tableColumn id="4933" xr3:uid="{4329FB40-76F7-44E2-9C9A-DD7FD6ED8459}" name="Column4919"/>
    <tableColumn id="4934" xr3:uid="{D7B7BDEA-A8D8-4183-87D5-CB5411DC14C4}" name="Column4920"/>
    <tableColumn id="4935" xr3:uid="{5A3BFDB2-8B70-438E-BCA5-466DC74EC03A}" name="Column4921"/>
    <tableColumn id="4936" xr3:uid="{98861B4E-3D56-4E85-A3D2-5A5C6864FE7C}" name="Column4922"/>
    <tableColumn id="4937" xr3:uid="{094B29A4-B237-4C92-8F00-74054DAAAA05}" name="Column4923"/>
    <tableColumn id="4938" xr3:uid="{1741BE71-75C4-4D97-BCBA-D61648D97A0D}" name="Column4924"/>
    <tableColumn id="4939" xr3:uid="{6222A9FD-25D8-4E35-9905-F873F44BBA54}" name="Column4925"/>
    <tableColumn id="4940" xr3:uid="{B7A2AF4E-46BD-41EB-A6D9-2B871F31DDA7}" name="Column4926"/>
    <tableColumn id="4941" xr3:uid="{06E83ED5-8649-4E89-B24A-A42D9418E54F}" name="Column4927"/>
    <tableColumn id="4942" xr3:uid="{61272F90-8B8C-4A6B-AC9C-EB640CEA2EB2}" name="Column4928"/>
    <tableColumn id="4943" xr3:uid="{3336C940-F7CF-4CBF-9367-D963EDEE04FA}" name="Column4929"/>
    <tableColumn id="4944" xr3:uid="{94785831-2804-4D65-8C85-8193AA048164}" name="Column4930"/>
    <tableColumn id="4945" xr3:uid="{5C9958FD-F5A5-4FBA-9D4F-FD3B4C566A43}" name="Column4931"/>
    <tableColumn id="4946" xr3:uid="{D199A21E-D49B-474B-A48F-44DDDE2556C9}" name="Column4932"/>
    <tableColumn id="4947" xr3:uid="{A6941A14-D71E-436A-9D50-4D5C78F50CB5}" name="Column4933"/>
    <tableColumn id="4948" xr3:uid="{992B6727-B86E-4958-913C-7BFA9CA03FCE}" name="Column4934"/>
    <tableColumn id="4949" xr3:uid="{DF4CAA8E-A669-4EAF-9656-E846C3FF5BFD}" name="Column4935"/>
    <tableColumn id="4950" xr3:uid="{52F3F72F-45AF-42E3-B0DF-3501F2F3A521}" name="Column4936"/>
    <tableColumn id="4951" xr3:uid="{58EEC669-9385-4B1B-AB7E-303F796FCE7C}" name="Column4937"/>
    <tableColumn id="4952" xr3:uid="{4DEF979C-C049-42B0-80C9-924B24DB8931}" name="Column4938"/>
    <tableColumn id="4953" xr3:uid="{17A6BAE0-B2EE-4C59-89CD-14F9B1340D87}" name="Column4939"/>
    <tableColumn id="4954" xr3:uid="{81A4B075-3F2E-43B7-BE59-64F8B7843D29}" name="Column4940"/>
    <tableColumn id="4955" xr3:uid="{A38E2FBF-D55D-4403-9001-585917D33495}" name="Column4941"/>
    <tableColumn id="4956" xr3:uid="{6A8C4370-3216-4F0C-93C9-C6EDC6404D73}" name="Column4942"/>
    <tableColumn id="4957" xr3:uid="{6E9D835E-96FE-4A11-A71E-D942D59BB12E}" name="Column4943"/>
    <tableColumn id="4958" xr3:uid="{1735FE66-A0C1-4747-9517-D2900E2AD7F7}" name="Column4944"/>
    <tableColumn id="4959" xr3:uid="{C1D3DC83-F72C-45DB-8352-D6A25588DA8B}" name="Column4945"/>
    <tableColumn id="4960" xr3:uid="{37A9EC04-D8BC-442C-9597-3232B1B02B9D}" name="Column4946"/>
    <tableColumn id="4961" xr3:uid="{701B8673-711F-459B-86ED-25576FF20875}" name="Column4947"/>
    <tableColumn id="4962" xr3:uid="{4D66186A-B949-45CA-931B-AA99EBBFF3F8}" name="Column4948"/>
    <tableColumn id="4963" xr3:uid="{362F9787-2742-442B-A387-A52B8EEC389B}" name="Column4949"/>
    <tableColumn id="4964" xr3:uid="{62C2E499-163C-4CA9-8E36-BE6E25E18D7D}" name="Column4950"/>
    <tableColumn id="4965" xr3:uid="{39FF4651-32AD-445B-9885-8A6DF4ABD47D}" name="Column4951"/>
    <tableColumn id="4966" xr3:uid="{35CD422E-204F-44C4-B681-AD7F42049012}" name="Column4952"/>
    <tableColumn id="4967" xr3:uid="{8BAA6A1B-4FAF-4E43-BC00-3C1334943343}" name="Column4953"/>
    <tableColumn id="4968" xr3:uid="{C86C267A-356D-4838-A1F2-D85D25FE2F98}" name="Column4954"/>
    <tableColumn id="4969" xr3:uid="{BABB6EBA-EEFE-4ECF-9E87-9337180D8828}" name="Column4955"/>
    <tableColumn id="4970" xr3:uid="{D735C174-D34F-49F6-9547-FBD4F1C8DA89}" name="Column4956"/>
    <tableColumn id="4971" xr3:uid="{C749707F-2D5F-4614-908F-CD6EACCFDA69}" name="Column4957"/>
    <tableColumn id="4972" xr3:uid="{3904A02D-673A-49D0-88F2-49360DD85CB7}" name="Column4958"/>
    <tableColumn id="4973" xr3:uid="{2BA679D3-9A37-43BB-AB79-9B8C2A76C317}" name="Column4959"/>
    <tableColumn id="4974" xr3:uid="{CEB4E928-B334-4981-9BF4-12B4902829C9}" name="Column4960"/>
    <tableColumn id="4975" xr3:uid="{0E16E900-2339-45B1-AD89-19AB5EDCC7CB}" name="Column4961"/>
    <tableColumn id="4976" xr3:uid="{AB862FCE-DB96-46C6-BDA5-8C0BF0A21754}" name="Column4962"/>
    <tableColumn id="4977" xr3:uid="{20DA4A7E-B86A-48DE-AC7C-3263C6084C0B}" name="Column4963"/>
    <tableColumn id="4978" xr3:uid="{EFBC2946-EA9D-443A-8DEF-CC70C93043C0}" name="Column4964"/>
    <tableColumn id="4979" xr3:uid="{35D87D86-19DD-4B4B-9192-09DB24514433}" name="Column4965"/>
    <tableColumn id="4980" xr3:uid="{BBB8F217-DED3-45DE-8CBF-1BB84F8AC236}" name="Column4966"/>
    <tableColumn id="4981" xr3:uid="{C8EC8CE9-E115-4A78-9F22-3B71CD5A9E22}" name="Column4967"/>
    <tableColumn id="4982" xr3:uid="{162FDD77-5DC5-47BD-8580-6FCBCEB9DB9E}" name="Column4968"/>
    <tableColumn id="4983" xr3:uid="{2C5A5ABA-3C0C-4877-9159-2A55E1C9CB6D}" name="Column4969"/>
    <tableColumn id="4984" xr3:uid="{2FBB96E5-5D25-4FB1-96B2-4D70DBC75CED}" name="Column4970"/>
    <tableColumn id="4985" xr3:uid="{99399631-C492-4FDF-8F22-8798AC342AC3}" name="Column4971"/>
    <tableColumn id="4986" xr3:uid="{96EB7F0B-32B1-44D3-9BE0-AA01A94F4162}" name="Column4972"/>
    <tableColumn id="4987" xr3:uid="{D552B838-E455-4B46-B5F5-3B8A102B2471}" name="Column4973"/>
    <tableColumn id="4988" xr3:uid="{3B6B73B4-7DD5-42C8-8678-7CE3305077ED}" name="Column4974"/>
    <tableColumn id="4989" xr3:uid="{6692A6F4-12E1-48BB-83B0-0AEE32E4EB24}" name="Column4975"/>
    <tableColumn id="4990" xr3:uid="{A43CEF06-997F-451D-B2E6-B2C6499BFD65}" name="Column4976"/>
    <tableColumn id="4991" xr3:uid="{8A4F265E-0EC5-46DD-8B05-AA3D15D2FF40}" name="Column4977"/>
    <tableColumn id="4992" xr3:uid="{FD8C9F40-A25F-4340-8831-7B6841F52B34}" name="Column4978"/>
    <tableColumn id="4993" xr3:uid="{F68DBC97-A93F-4DC3-94A0-18B261143EE2}" name="Column4979"/>
    <tableColumn id="4994" xr3:uid="{BDC929FF-251A-4833-BF1D-FF6F12BB411C}" name="Column4980"/>
    <tableColumn id="4995" xr3:uid="{B7D1F83C-D953-40B5-8826-D91C7325BA7A}" name="Column4981"/>
    <tableColumn id="4996" xr3:uid="{31EA7E2F-A36A-4A57-AB39-A34C86623030}" name="Column4982"/>
    <tableColumn id="4997" xr3:uid="{70144BAA-F970-4F9B-B09A-8DBE65CAB30A}" name="Column4983"/>
    <tableColumn id="4998" xr3:uid="{F3C2F4BA-06CF-43C6-830E-81616CBF9A6D}" name="Column4984"/>
    <tableColumn id="4999" xr3:uid="{9EADBE2F-A9AB-41AD-B0C2-E526F96EBD63}" name="Column4985"/>
    <tableColumn id="5000" xr3:uid="{554FDE5C-CA6A-48BF-AD7B-DE0EB120F377}" name="Column4986"/>
    <tableColumn id="5001" xr3:uid="{61C4C709-ADC6-4489-8292-627153A292D9}" name="Column4987"/>
    <tableColumn id="5002" xr3:uid="{7E217AD6-26F6-4842-B0DC-5B4AD222A175}" name="Column4988"/>
    <tableColumn id="5003" xr3:uid="{798A8231-7390-41D5-BA23-D9C92129963D}" name="Column4989"/>
    <tableColumn id="5004" xr3:uid="{86BCAEBE-A6F0-4539-BDB2-E7AC2A115141}" name="Column4990"/>
    <tableColumn id="5005" xr3:uid="{C74135B3-34F7-4EDE-B84A-B77AFEA5FE78}" name="Column4991"/>
    <tableColumn id="5006" xr3:uid="{569CE0A8-1DEE-4A00-83FA-903AEEF16DE4}" name="Column4992"/>
    <tableColumn id="5007" xr3:uid="{582E1C15-4405-46D6-A998-201336B7829B}" name="Column4993"/>
    <tableColumn id="5008" xr3:uid="{0FF1286B-9CDD-4933-83DE-F730F641F052}" name="Column4994"/>
    <tableColumn id="5009" xr3:uid="{277F35A3-2756-462F-B766-09F19BE1F89A}" name="Column4995"/>
    <tableColumn id="5010" xr3:uid="{F224DEEF-4161-466D-9CF6-114D57A3F6B4}" name="Column4996"/>
    <tableColumn id="5011" xr3:uid="{A52CDA33-4804-455F-830F-265C50722D5D}" name="Column4997"/>
    <tableColumn id="5012" xr3:uid="{A23A9419-44AA-445F-A210-5E9C5512F646}" name="Column4998"/>
    <tableColumn id="5013" xr3:uid="{A09BE986-C46B-4E1A-8705-04A5EFEE5AA3}" name="Column4999"/>
    <tableColumn id="5014" xr3:uid="{2741216A-471E-46E2-B9BB-EC67E3E07E9D}" name="Column5000"/>
    <tableColumn id="5015" xr3:uid="{316FBD47-5752-408C-9E6A-6A09D4D6CFCE}" name="Column5001"/>
    <tableColumn id="5016" xr3:uid="{F4155EF5-5433-49C3-9B7E-D39186B44E96}" name="Column5002"/>
    <tableColumn id="5017" xr3:uid="{B49D3356-67A9-4DAF-BDF2-4F2063B2E659}" name="Column5003"/>
    <tableColumn id="5018" xr3:uid="{B8D1938D-A479-49D5-84AF-3B0B6A7D2105}" name="Column5004"/>
    <tableColumn id="5019" xr3:uid="{D9639ADB-46D8-461A-B032-BB1D1285EAF0}" name="Column5005"/>
    <tableColumn id="5020" xr3:uid="{72503985-05B8-41C6-B6D0-EB79CA1A5DBB}" name="Column5006"/>
    <tableColumn id="5021" xr3:uid="{1CF935E1-D005-4597-B787-940C6F0F1C27}" name="Column5007"/>
    <tableColumn id="5022" xr3:uid="{08914534-0484-4214-9A82-6C8D5291181F}" name="Column5008"/>
    <tableColumn id="5023" xr3:uid="{87AF6A3A-2FC9-40E9-93A9-8F712CFEE8E0}" name="Column5009"/>
    <tableColumn id="5024" xr3:uid="{86132B4B-6608-4A5C-A503-F41AEBC81522}" name="Column5010"/>
    <tableColumn id="5025" xr3:uid="{843BB7F7-BF7E-42FA-AEFA-05386F60D9F6}" name="Column5011"/>
    <tableColumn id="5026" xr3:uid="{569425FE-511C-48A1-9F56-1FC95957EF52}" name="Column5012"/>
    <tableColumn id="5027" xr3:uid="{170BCF4F-BFBA-4091-8F70-D43C0CD3AA1F}" name="Column5013"/>
    <tableColumn id="5028" xr3:uid="{BD868626-7152-4473-BD8D-37C144942ECD}" name="Column5014"/>
    <tableColumn id="5029" xr3:uid="{54B35DF4-2E73-4FB2-BDEE-9E1011233944}" name="Column5015"/>
    <tableColumn id="5030" xr3:uid="{EC6545FE-4A28-4BE5-BC1E-CB668B629FD0}" name="Column5016"/>
    <tableColumn id="5031" xr3:uid="{E86A6C13-ACAE-41DC-B852-3837DB5FFDB4}" name="Column5017"/>
    <tableColumn id="5032" xr3:uid="{29318AFD-3B9B-4B21-8FCD-6B5F0B3E7CBD}" name="Column5018"/>
    <tableColumn id="5033" xr3:uid="{52942F43-E39B-40FA-9CA8-193E900320C9}" name="Column5019"/>
    <tableColumn id="5034" xr3:uid="{F2F8F384-1302-4ABD-8FBD-D33D15D2CB0E}" name="Column5020"/>
    <tableColumn id="5035" xr3:uid="{28988BCD-0706-4ACF-B0E8-70E02C459006}" name="Column5021"/>
    <tableColumn id="5036" xr3:uid="{22E9B437-730E-468D-B3AF-BDEC848B9025}" name="Column5022"/>
    <tableColumn id="5037" xr3:uid="{2412836D-FD95-488A-A93B-5B4E04806C8C}" name="Column5023"/>
    <tableColumn id="5038" xr3:uid="{77B1F175-9426-4338-B063-C84B12E3AF7D}" name="Column5024"/>
    <tableColumn id="5039" xr3:uid="{69C96345-E221-43D9-BBE1-64B6A180087E}" name="Column5025"/>
    <tableColumn id="5040" xr3:uid="{55B353CF-EA51-4723-BBEB-F1F11D2D306A}" name="Column5026"/>
    <tableColumn id="5041" xr3:uid="{70A7D883-2D1B-4B23-B7AD-E6C9F752DB70}" name="Column5027"/>
    <tableColumn id="5042" xr3:uid="{FC9C111D-FD1E-44E5-85BF-D8FE85BED8B8}" name="Column5028"/>
    <tableColumn id="5043" xr3:uid="{56911998-A098-43CE-87F5-2EE2CBAA3303}" name="Column5029"/>
    <tableColumn id="5044" xr3:uid="{B3FCBB47-004D-4175-AE79-842C536FA462}" name="Column5030"/>
    <tableColumn id="5045" xr3:uid="{FB80FB40-1FEB-4ACB-869D-56316A4AA419}" name="Column5031"/>
    <tableColumn id="5046" xr3:uid="{D2767E87-D1B1-4A17-953F-33A7968CFD3C}" name="Column5032"/>
    <tableColumn id="5047" xr3:uid="{D72AA060-1388-4593-BCB4-316191F6C912}" name="Column5033"/>
    <tableColumn id="5048" xr3:uid="{36ED128D-CB95-4D05-ADCD-52350CDAA210}" name="Column5034"/>
    <tableColumn id="5049" xr3:uid="{88310B4A-0F1F-4E58-977F-F9FE61658623}" name="Column5035"/>
    <tableColumn id="5050" xr3:uid="{93C20709-FEE7-4D4E-A80B-9B391BB7C6F8}" name="Column5036"/>
    <tableColumn id="5051" xr3:uid="{6DDB79A7-68FD-4669-823E-A38C85C84661}" name="Column5037"/>
    <tableColumn id="5052" xr3:uid="{5C12E5E2-1540-4146-9C8E-4C64A322356F}" name="Column5038"/>
    <tableColumn id="5053" xr3:uid="{ABF346A6-CAF1-4DB7-BB80-1ED198FF8FA3}" name="Column5039"/>
    <tableColumn id="5054" xr3:uid="{F8D1C206-7C46-46E3-994F-4C9C4202015D}" name="Column5040"/>
    <tableColumn id="5055" xr3:uid="{6C25EC7E-3823-4419-9767-7408B4D1C76C}" name="Column5041"/>
    <tableColumn id="5056" xr3:uid="{6F03EDF4-93C9-427A-9702-7B371D867397}" name="Column5042"/>
    <tableColumn id="5057" xr3:uid="{417C5F0B-8A5A-4D5B-A130-079F1D1AF798}" name="Column5043"/>
    <tableColumn id="5058" xr3:uid="{0851D612-B286-4251-9DC1-8BBEE3DFA555}" name="Column5044"/>
    <tableColumn id="5059" xr3:uid="{BC449CAE-F79A-4FCB-9477-7594F8007C9B}" name="Column5045"/>
    <tableColumn id="5060" xr3:uid="{F4E5B78F-336C-4AE3-9F4B-8B316103F294}" name="Column5046"/>
    <tableColumn id="5061" xr3:uid="{4C98E06F-FF10-4F12-A27E-2B54D1ED6517}" name="Column5047"/>
    <tableColumn id="5062" xr3:uid="{77835576-10CF-4B6B-90DD-83C93573B05E}" name="Column5048"/>
    <tableColumn id="5063" xr3:uid="{B39710DA-D785-460A-A6BB-A06906B27F5D}" name="Column5049"/>
    <tableColumn id="5064" xr3:uid="{90FA09C1-1471-492C-9288-070297F2CEC0}" name="Column5050"/>
    <tableColumn id="5065" xr3:uid="{9DC9C3F6-78AF-48DC-9608-86A75E31C5E4}" name="Column5051"/>
    <tableColumn id="5066" xr3:uid="{35C674D2-EDEF-4160-A9C8-7A3E943546C8}" name="Column5052"/>
    <tableColumn id="5067" xr3:uid="{DCD6F65F-0A35-45BC-8510-2A54211A0C02}" name="Column5053"/>
    <tableColumn id="5068" xr3:uid="{F04EC0A8-3AAB-42DE-9E48-D964B883AEC8}" name="Column5054"/>
    <tableColumn id="5069" xr3:uid="{E1B7779B-60ED-4679-A2F1-C0FB10D73F7E}" name="Column5055"/>
    <tableColumn id="5070" xr3:uid="{79ACDE45-C5EA-4772-A7D5-BA0AC73DC9B8}" name="Column5056"/>
    <tableColumn id="5071" xr3:uid="{6024BF98-8642-4430-95CC-0CB746F17B14}" name="Column5057"/>
    <tableColumn id="5072" xr3:uid="{86A8EFA0-417B-4B7D-BDBA-311C1D28BA2A}" name="Column5058"/>
    <tableColumn id="5073" xr3:uid="{56E0735E-082F-4808-AC0A-46585A8B2DBE}" name="Column5059"/>
    <tableColumn id="5074" xr3:uid="{0412FAC9-93EC-418C-BD90-F056F2F7B528}" name="Column5060"/>
    <tableColumn id="5075" xr3:uid="{6749B502-0E82-4D11-A6B9-1B60B2B5C74C}" name="Column5061"/>
    <tableColumn id="5076" xr3:uid="{FCEDAC5A-23F5-4642-A575-524555F8080B}" name="Column5062"/>
    <tableColumn id="5077" xr3:uid="{17A8E015-C132-4B96-A961-5ACFC7AB81A7}" name="Column5063"/>
    <tableColumn id="5078" xr3:uid="{7629E8E9-A4BD-4601-B834-90A4423DB416}" name="Column5064"/>
    <tableColumn id="5079" xr3:uid="{166B85DF-9290-436E-9B6C-B270AE7972DA}" name="Column5065"/>
    <tableColumn id="5080" xr3:uid="{6EBDD87C-420D-46D0-8143-2E8B11EA0097}" name="Column5066"/>
    <tableColumn id="5081" xr3:uid="{73921A54-203D-4A62-BB61-73A164BF8E8C}" name="Column5067"/>
    <tableColumn id="5082" xr3:uid="{2E6960FA-A0DD-4735-9210-44391721DC90}" name="Column5068"/>
    <tableColumn id="5083" xr3:uid="{98686573-C491-4364-AB6A-15549CC036CA}" name="Column5069"/>
    <tableColumn id="5084" xr3:uid="{4991CF9D-49E2-4497-8B38-DDCD6C5F1864}" name="Column5070"/>
    <tableColumn id="5085" xr3:uid="{A96565A8-0E7C-4449-8C36-DB2C73B74EEC}" name="Column5071"/>
    <tableColumn id="5086" xr3:uid="{2C4618A6-AC95-4A4E-8DE9-EADE4DAAA119}" name="Column5072"/>
    <tableColumn id="5087" xr3:uid="{89238CC4-CB12-482B-A2FF-23BFF339CCEE}" name="Column5073"/>
    <tableColumn id="5088" xr3:uid="{AAB6BA1E-CEAB-4770-86C6-80665E28808B}" name="Column5074"/>
    <tableColumn id="5089" xr3:uid="{1B2E68C9-6483-4833-A5D8-8EBA496FAAFE}" name="Column5075"/>
    <tableColumn id="5090" xr3:uid="{8E5369BB-D6B0-4CDC-8B05-237EE12D78F1}" name="Column5076"/>
    <tableColumn id="5091" xr3:uid="{EABB5B11-DCB1-4A4A-A7C7-C61810D7C616}" name="Column5077"/>
    <tableColumn id="5092" xr3:uid="{9957E87E-B248-4115-8B81-77BCB833D2FB}" name="Column5078"/>
    <tableColumn id="5093" xr3:uid="{8F052B27-B2A9-44E1-8EC1-BDDACB9A1C1E}" name="Column5079"/>
    <tableColumn id="5094" xr3:uid="{6AF65413-3CC8-4BD7-BF98-DACC4B85EFEE}" name="Column5080"/>
    <tableColumn id="5095" xr3:uid="{010C844C-AD3C-4A7D-877A-2CC14CE71B19}" name="Column5081"/>
    <tableColumn id="5096" xr3:uid="{5A4847AF-1A90-4370-AC77-71FE2AB23E3D}" name="Column5082"/>
    <tableColumn id="5097" xr3:uid="{E1694413-CFB5-4FE4-83F7-57D53F6842DD}" name="Column5083"/>
    <tableColumn id="5098" xr3:uid="{26554354-8840-4556-8E0B-C088D35659E4}" name="Column5084"/>
    <tableColumn id="5099" xr3:uid="{C259E0D5-787D-46DE-AC4C-812DA77384D4}" name="Column5085"/>
    <tableColumn id="5100" xr3:uid="{F327CBCC-C492-4533-9F9E-50C525C00015}" name="Column5086"/>
    <tableColumn id="5101" xr3:uid="{43631B33-DF70-4AFE-998A-E529F1220017}" name="Column5087"/>
    <tableColumn id="5102" xr3:uid="{1666679D-3FC8-4AD7-A29C-D5FCB36B5E83}" name="Column5088"/>
    <tableColumn id="5103" xr3:uid="{1516747B-E261-4B73-AA16-1ED6B367615F}" name="Column5089"/>
    <tableColumn id="5104" xr3:uid="{3CCAD993-0047-4A85-AECA-F55C5D9987A0}" name="Column5090"/>
    <tableColumn id="5105" xr3:uid="{7AE06EA8-2D0C-4BB1-9594-A7FA6D62EA02}" name="Column5091"/>
    <tableColumn id="5106" xr3:uid="{33C9BCEB-D8B3-41D2-BAE3-2F28FE929AD3}" name="Column5092"/>
    <tableColumn id="5107" xr3:uid="{0C6AA24A-A638-411B-B28D-F80F5EDBD860}" name="Column5093"/>
    <tableColumn id="5108" xr3:uid="{522BF43F-014A-4286-A558-CA04BEFA0184}" name="Column5094"/>
    <tableColumn id="5109" xr3:uid="{71B1493E-2CB2-4855-A069-CB3A4F876E04}" name="Column5095"/>
    <tableColumn id="5110" xr3:uid="{BCE202C3-36AC-4352-B161-2BA4ECF606A2}" name="Column5096"/>
    <tableColumn id="5111" xr3:uid="{D8C3C76E-03E8-40DE-80E4-8D327787F968}" name="Column5097"/>
    <tableColumn id="5112" xr3:uid="{B5987433-0220-4C26-97D1-2606C67054AE}" name="Column5098"/>
    <tableColumn id="5113" xr3:uid="{26913010-2987-4ACD-9632-09E01F74A80B}" name="Column5099"/>
    <tableColumn id="5114" xr3:uid="{FED25AE9-6196-4D28-947C-936F7ECE02D3}" name="Column5100"/>
    <tableColumn id="5115" xr3:uid="{F8D355E4-1CA1-409D-A860-CBF499CBF08E}" name="Column5101"/>
    <tableColumn id="5116" xr3:uid="{F774E188-CE80-434F-BE72-6271F31775A9}" name="Column5102"/>
    <tableColumn id="5117" xr3:uid="{19F2D782-822D-49E2-A46E-C17B8B821100}" name="Column5103"/>
    <tableColumn id="5118" xr3:uid="{631D7E28-6154-4ACF-9D7C-B465153CD062}" name="Column5104"/>
    <tableColumn id="5119" xr3:uid="{40B9940C-0B2F-4504-A9EA-5DB4EBB38EF4}" name="Column5105"/>
    <tableColumn id="5120" xr3:uid="{AF594AE6-B40A-49EF-8C3E-78F0AB5A3E99}" name="Column5106"/>
    <tableColumn id="5121" xr3:uid="{F9FE9290-3ED6-456D-B12C-25FB058E102E}" name="Column5107"/>
    <tableColumn id="5122" xr3:uid="{4DDBE8A8-8F08-4AF7-AE29-16450702ED40}" name="Column5108"/>
    <tableColumn id="5123" xr3:uid="{42A0FD3C-AF0D-4C4C-845F-E5B912B46215}" name="Column5109"/>
    <tableColumn id="5124" xr3:uid="{9A5764D2-6923-4879-92CD-62746EA67F9C}" name="Column5110"/>
    <tableColumn id="5125" xr3:uid="{2B03AFDC-5C43-43F0-8579-D7BD66D4538A}" name="Column5111"/>
    <tableColumn id="5126" xr3:uid="{2EF8A31C-B166-4F88-991E-B63AA82EE632}" name="Column5112"/>
    <tableColumn id="5127" xr3:uid="{031DB59E-49A5-4BC1-B87E-9EFEF635CAF8}" name="Column5113"/>
    <tableColumn id="5128" xr3:uid="{1304D6F4-A522-4833-80C5-BB6AEF12C7E0}" name="Column5114"/>
    <tableColumn id="5129" xr3:uid="{6649BE75-CFCF-4E18-B20C-060C76B3E75A}" name="Column5115"/>
    <tableColumn id="5130" xr3:uid="{C507880C-A26A-4806-AA1D-9864CD77BEE7}" name="Column5116"/>
    <tableColumn id="5131" xr3:uid="{427FFF3A-AF1E-48AD-9D44-3D9DF373B219}" name="Column5117"/>
    <tableColumn id="5132" xr3:uid="{FED90CB6-D1A7-4E06-B0D7-0C014DA6218F}" name="Column5118"/>
    <tableColumn id="5133" xr3:uid="{8C1ED5C7-0637-4CD1-A9F7-DAF5A4BD218E}" name="Column5119"/>
    <tableColumn id="5134" xr3:uid="{844B1AEF-A9D3-4AE8-9E1F-215C01779815}" name="Column5120"/>
    <tableColumn id="5135" xr3:uid="{4AB04A36-910E-480B-B9AC-34E125A098E2}" name="Column5121"/>
    <tableColumn id="5136" xr3:uid="{BCF66FB1-5A90-4526-A09C-F052C1D06590}" name="Column5122"/>
    <tableColumn id="5137" xr3:uid="{66E31EB8-676D-4B18-987A-9EB42AFCA3B4}" name="Column5123"/>
    <tableColumn id="5138" xr3:uid="{719F1DF0-E2F1-44B6-8A55-C58031E07FEA}" name="Column5124"/>
    <tableColumn id="5139" xr3:uid="{8E461CBA-1B8A-4F8D-B9A1-B2E432A1804F}" name="Column5125"/>
    <tableColumn id="5140" xr3:uid="{4D28E8BA-21EF-4EC0-94F5-13A7B141412B}" name="Column5126"/>
    <tableColumn id="5141" xr3:uid="{15B8BE5A-85E4-4AE5-BB5D-0A67023D0639}" name="Column5127"/>
    <tableColumn id="5142" xr3:uid="{8A49D3A1-0D0B-46D0-8F2B-A5DEA3349C0A}" name="Column5128"/>
    <tableColumn id="5143" xr3:uid="{4D09BB0B-7D69-4569-9C26-11723D372E17}" name="Column5129"/>
    <tableColumn id="5144" xr3:uid="{E762F2A0-D7DE-4E16-9B33-ECE6CD8560D0}" name="Column5130"/>
    <tableColumn id="5145" xr3:uid="{DED4FC15-F5F4-469B-A076-5768CA70DE86}" name="Column5131"/>
    <tableColumn id="5146" xr3:uid="{E0F05228-879E-4A1A-A73F-3431191E4F5C}" name="Column5132"/>
    <tableColumn id="5147" xr3:uid="{33F1F1DB-2929-4C3B-806E-A620DF441460}" name="Column5133"/>
    <tableColumn id="5148" xr3:uid="{41FA0938-C118-4049-907F-C2A0B1FA8F3D}" name="Column5134"/>
    <tableColumn id="5149" xr3:uid="{47965CA4-1250-46BE-BC30-8503853E3E48}" name="Column5135"/>
    <tableColumn id="5150" xr3:uid="{5C7334F3-F9CE-4252-A3DB-E585EEB4F365}" name="Column5136"/>
    <tableColumn id="5151" xr3:uid="{451196C0-9A00-4394-92F5-EBFDE7A0EC62}" name="Column5137"/>
    <tableColumn id="5152" xr3:uid="{E9C52A4C-85C3-4B6F-9100-3D70AE34C693}" name="Column5138"/>
    <tableColumn id="5153" xr3:uid="{3BE59CFA-0752-4E36-BC14-8A11C6B125FE}" name="Column5139"/>
    <tableColumn id="5154" xr3:uid="{9F67A995-872A-4518-99E2-9CA8CE6D8B0E}" name="Column5140"/>
    <tableColumn id="5155" xr3:uid="{FF273C97-4A9F-4EC5-A1FE-E8EEA2F24864}" name="Column5141"/>
    <tableColumn id="5156" xr3:uid="{549EF4A1-BD9A-4245-A90B-49346FE90060}" name="Column5142"/>
    <tableColumn id="5157" xr3:uid="{5F418346-F27D-45D9-A421-57971F8332CB}" name="Column5143"/>
    <tableColumn id="5158" xr3:uid="{C2778325-526D-4C55-8ED2-C13C8DFC2C8D}" name="Column5144"/>
    <tableColumn id="5159" xr3:uid="{6537C9E4-5752-45B8-9478-FA2FECA6A79A}" name="Column5145"/>
    <tableColumn id="5160" xr3:uid="{407AA3A2-8DBF-4D66-BF9B-0A5F251DC2A9}" name="Column5146"/>
    <tableColumn id="5161" xr3:uid="{475D43FA-2EE3-43DA-A347-F1637619AD3E}" name="Column5147"/>
    <tableColumn id="5162" xr3:uid="{FEDED5A8-6763-4D15-B68E-12B1EE753426}" name="Column5148"/>
    <tableColumn id="5163" xr3:uid="{C41CC37B-4FBD-4BEA-B989-4066473C0498}" name="Column5149"/>
    <tableColumn id="5164" xr3:uid="{B07DC7C9-BC17-4A29-AECC-543AC59C457A}" name="Column5150"/>
    <tableColumn id="5165" xr3:uid="{47C7A422-7A98-4D98-8196-B55BF676AFA5}" name="Column5151"/>
    <tableColumn id="5166" xr3:uid="{52FAD1B7-ABAC-46CC-BFF5-9E13F5188A22}" name="Column5152"/>
    <tableColumn id="5167" xr3:uid="{5CDC96B9-2B63-46FE-8087-1F27A7D952D0}" name="Column5153"/>
    <tableColumn id="5168" xr3:uid="{047738DC-4E49-4B88-9424-CAF96F919190}" name="Column5154"/>
    <tableColumn id="5169" xr3:uid="{78E68C9D-D7AE-456D-BE4F-C94E760A28E8}" name="Column5155"/>
    <tableColumn id="5170" xr3:uid="{53EDD125-E8F9-447C-BFD0-4869A3FE86BC}" name="Column5156"/>
    <tableColumn id="5171" xr3:uid="{88E60812-A16D-469E-8B93-F9DC11319D22}" name="Column5157"/>
    <tableColumn id="5172" xr3:uid="{E34DF155-1E5A-4D2C-AC8D-8E8E5B3E9848}" name="Column5158"/>
    <tableColumn id="5173" xr3:uid="{39BE6BC3-7A7F-4EFE-B9DB-13549B0999A5}" name="Column5159"/>
    <tableColumn id="5174" xr3:uid="{0DD47F66-0ECA-434F-97F6-B087ED94491C}" name="Column5160"/>
    <tableColumn id="5175" xr3:uid="{5A633B5A-601F-4B4A-A906-47614FD0FF26}" name="Column5161"/>
    <tableColumn id="5176" xr3:uid="{0A11A5E1-41E9-42B7-A40A-6DEF55EA62D7}" name="Column5162"/>
    <tableColumn id="5177" xr3:uid="{728C8007-E0EC-40E4-AB64-ED3624BCD1F8}" name="Column5163"/>
    <tableColumn id="5178" xr3:uid="{C2EDEF52-C9B7-45C6-A32A-71D991FF0E95}" name="Column5164"/>
    <tableColumn id="5179" xr3:uid="{C707B0A9-8F78-42E9-9D42-6691AB96A820}" name="Column5165"/>
    <tableColumn id="5180" xr3:uid="{0583A1A3-A3FD-4233-AF58-19C6E3871BFB}" name="Column5166"/>
    <tableColumn id="5181" xr3:uid="{AEC994B4-6FF3-49FA-B399-78C684C89ED9}" name="Column5167"/>
    <tableColumn id="5182" xr3:uid="{D98F22F7-117D-4982-BADE-1234364CE717}" name="Column5168"/>
    <tableColumn id="5183" xr3:uid="{6392CBB5-861B-4C83-817D-F103028F7FEC}" name="Column5169"/>
    <tableColumn id="5184" xr3:uid="{E3DCC123-B654-4D51-9931-8448FDD468BC}" name="Column5170"/>
    <tableColumn id="5185" xr3:uid="{DE892EEB-5BA6-4DF5-A5AE-E5A6AABC523D}" name="Column5171"/>
    <tableColumn id="5186" xr3:uid="{E0E17A92-6FD3-428E-9644-179639A6A8E5}" name="Column5172"/>
    <tableColumn id="5187" xr3:uid="{1CEE73E1-D671-4913-8C7E-03B504D8B49A}" name="Column5173"/>
    <tableColumn id="5188" xr3:uid="{377A7533-79D4-4126-9962-BC9C5788F3BF}" name="Column5174"/>
    <tableColumn id="5189" xr3:uid="{A0798D29-00C2-43B4-B501-089A422EC4D3}" name="Column5175"/>
    <tableColumn id="5190" xr3:uid="{90ED48B9-AD3A-49FE-B654-E092E2A777CC}" name="Column5176"/>
    <tableColumn id="5191" xr3:uid="{EBF666D8-AF20-4A63-B64E-C6B6C5C229F0}" name="Column5177"/>
    <tableColumn id="5192" xr3:uid="{04C79CDE-B9BC-4E11-99ED-0F3189538643}" name="Column5178"/>
    <tableColumn id="5193" xr3:uid="{D77AC614-4902-48A3-9D4F-A865C21EC1B5}" name="Column5179"/>
    <tableColumn id="5194" xr3:uid="{57DAE36C-0A9D-4F55-B8D0-306081F93854}" name="Column5180"/>
    <tableColumn id="5195" xr3:uid="{2A4FDFEF-4EDA-4C69-92DA-2DD8E3D65B02}" name="Column5181"/>
    <tableColumn id="5196" xr3:uid="{BCD96C33-B979-407E-B7C6-F26C5FBE12E6}" name="Column5182"/>
    <tableColumn id="5197" xr3:uid="{F6496358-8D0F-4039-909E-1CCF3C9737B4}" name="Column5183"/>
    <tableColumn id="5198" xr3:uid="{4D186B14-802C-4CA6-8409-2292F23209CF}" name="Column5184"/>
    <tableColumn id="5199" xr3:uid="{4E4F37C3-6C38-43C0-B6AB-1F4E2932B314}" name="Column5185"/>
    <tableColumn id="5200" xr3:uid="{A447DAE5-FEF9-4DEB-ABE0-D42EF3E819CA}" name="Column5186"/>
    <tableColumn id="5201" xr3:uid="{F412D811-BE3B-47E4-8A36-F6CB195C9787}" name="Column5187"/>
    <tableColumn id="5202" xr3:uid="{B3374CC2-19C1-405B-AEB9-DD39D82D1636}" name="Column5188"/>
    <tableColumn id="5203" xr3:uid="{31A5A3F0-A89B-4A1B-9E26-658414C114C9}" name="Column5189"/>
    <tableColumn id="5204" xr3:uid="{E0F0A3FF-C51B-4E93-9EF7-2D7A301B2E74}" name="Column5190"/>
    <tableColumn id="5205" xr3:uid="{C7B28F3B-9738-4362-BC64-4105E8557375}" name="Column5191"/>
    <tableColumn id="5206" xr3:uid="{3E7FDE7B-08E0-4418-9B94-B7F4EEB09903}" name="Column5192"/>
    <tableColumn id="5207" xr3:uid="{67B9A2C0-89AB-4281-B5C4-C0E46DDABA25}" name="Column5193"/>
    <tableColumn id="5208" xr3:uid="{C8A3CB08-AFAC-487E-A006-FD443BB41F66}" name="Column5194"/>
    <tableColumn id="5209" xr3:uid="{3041026B-AAB5-4B65-8B38-16D83A95DF62}" name="Column5195"/>
    <tableColumn id="5210" xr3:uid="{00AC603F-C5F2-4FE1-9DC8-09D6DD456515}" name="Column5196"/>
    <tableColumn id="5211" xr3:uid="{5D34DE6E-9EF2-41CB-BECB-E83185DEFFA4}" name="Column5197"/>
    <tableColumn id="5212" xr3:uid="{8B306B73-AEEE-4C86-8BBF-CE7E5D2D71D9}" name="Column5198"/>
    <tableColumn id="5213" xr3:uid="{851C35EA-8679-4438-B1FE-E160064B3DD0}" name="Column5199"/>
    <tableColumn id="5214" xr3:uid="{A6EC6B28-A1ED-4F01-8217-5EF1C8223A77}" name="Column5200"/>
    <tableColumn id="5215" xr3:uid="{FDB6A12D-995E-4638-BFEC-76FEBB3ADACB}" name="Column5201"/>
    <tableColumn id="5216" xr3:uid="{86FED2F8-6166-4993-BC34-303FF4835BB9}" name="Column5202"/>
    <tableColumn id="5217" xr3:uid="{0E552667-42FE-41AF-8E9C-4C930C2453E7}" name="Column5203"/>
    <tableColumn id="5218" xr3:uid="{0AA0A6D3-EB03-4FA6-84AD-D0D494CAA480}" name="Column5204"/>
    <tableColumn id="5219" xr3:uid="{15DC9504-9800-44D2-984F-3FE33229AC02}" name="Column5205"/>
    <tableColumn id="5220" xr3:uid="{ABE9990A-19C8-4C4D-AC94-74D75A8917BE}" name="Column5206"/>
    <tableColumn id="5221" xr3:uid="{C9132FFA-3AE5-403A-B3A2-34481E310264}" name="Column5207"/>
    <tableColumn id="5222" xr3:uid="{F68FD007-D19B-46C1-AD81-CB8C0D8F6065}" name="Column5208"/>
    <tableColumn id="5223" xr3:uid="{2282CFB5-FDC8-42A4-80B1-BA8025907607}" name="Column5209"/>
    <tableColumn id="5224" xr3:uid="{28319CD5-E080-412A-A345-F7A513F66091}" name="Column5210"/>
    <tableColumn id="5225" xr3:uid="{E40D54C7-4AFF-4961-BD64-0ABC029825AD}" name="Column5211"/>
    <tableColumn id="5226" xr3:uid="{F854058F-50B4-4612-8BAC-51E90EB193A4}" name="Column5212"/>
    <tableColumn id="5227" xr3:uid="{7BFD789A-5E13-4F11-B676-4B34936BC65C}" name="Column5213"/>
    <tableColumn id="5228" xr3:uid="{2386A9D8-00B4-4669-9426-BF997121E946}" name="Column5214"/>
    <tableColumn id="5229" xr3:uid="{D098B3F8-CE02-4577-8332-BC2BFAB994AB}" name="Column5215"/>
    <tableColumn id="5230" xr3:uid="{55AD4ED6-0D9D-4230-AB18-64F8BFEB2569}" name="Column5216"/>
    <tableColumn id="5231" xr3:uid="{E1091E0A-E777-4F20-B2DD-05E90E85DCED}" name="Column5217"/>
    <tableColumn id="5232" xr3:uid="{CA12EEC4-4227-484E-AAE2-9519F78ECC05}" name="Column5218"/>
    <tableColumn id="5233" xr3:uid="{745FC0A9-5B84-43EF-ABDB-079AECA38467}" name="Column5219"/>
    <tableColumn id="5234" xr3:uid="{FE6C1E19-7D12-4C52-8425-1EED180D6014}" name="Column5220"/>
    <tableColumn id="5235" xr3:uid="{844FD103-75E0-4E46-9EA9-69D296797079}" name="Column5221"/>
    <tableColumn id="5236" xr3:uid="{57205A3B-DC86-4787-93B6-2D459C4EAB09}" name="Column5222"/>
    <tableColumn id="5237" xr3:uid="{CB72AD54-8AA1-41A5-85EF-EF9D26A6904A}" name="Column5223"/>
    <tableColumn id="5238" xr3:uid="{C1E65F05-2216-44B1-8AF7-D619E41A3BC6}" name="Column5224"/>
    <tableColumn id="5239" xr3:uid="{79AB1D2A-9AD8-4BEF-B2FD-C40A60F1D5EB}" name="Column5225"/>
    <tableColumn id="5240" xr3:uid="{B2A79BA4-0CB5-47AC-BE3C-86A746384A57}" name="Column5226"/>
    <tableColumn id="5241" xr3:uid="{F802271D-D922-4640-A12D-EBFA00484E64}" name="Column5227"/>
    <tableColumn id="5242" xr3:uid="{E84CBA63-60CE-4C60-A225-203F439F1C43}" name="Column5228"/>
    <tableColumn id="5243" xr3:uid="{68256C0A-6F27-4E40-946D-6F9E13F5C9F9}" name="Column5229"/>
    <tableColumn id="5244" xr3:uid="{7D391A95-0CCB-4C42-95D8-96EAE1729DC7}" name="Column5230"/>
    <tableColumn id="5245" xr3:uid="{2B0495D9-D48B-4C08-A89D-73D95AFE74A7}" name="Column5231"/>
    <tableColumn id="5246" xr3:uid="{E82964FD-E8B9-4F88-8562-24718D05E09F}" name="Column5232"/>
    <tableColumn id="5247" xr3:uid="{A267052C-7477-417D-B9FB-8F5A6633BA80}" name="Column5233"/>
    <tableColumn id="5248" xr3:uid="{10E477D4-E5D8-4D96-81C6-E7D68730C438}" name="Column5234"/>
    <tableColumn id="5249" xr3:uid="{E0F4F7E8-26C8-4F9A-A649-F521F22BA72E}" name="Column5235"/>
    <tableColumn id="5250" xr3:uid="{7585B134-919A-4188-A7F2-1ABE043F77FB}" name="Column5236"/>
    <tableColumn id="5251" xr3:uid="{A6BE8F05-1B62-4DEC-B456-A94EE329796E}" name="Column5237"/>
    <tableColumn id="5252" xr3:uid="{8A75AB63-B83A-43C0-9B13-B3A62588233D}" name="Column5238"/>
    <tableColumn id="5253" xr3:uid="{1A36364A-461E-4C5C-91CB-D6D279D63302}" name="Column5239"/>
    <tableColumn id="5254" xr3:uid="{38647332-049C-46DA-BD8D-FC5BC925DAA6}" name="Column5240"/>
    <tableColumn id="5255" xr3:uid="{7AB1FF34-5C51-466E-8F5B-FF16481A0676}" name="Column5241"/>
    <tableColumn id="5256" xr3:uid="{7BB1B1FA-0A3A-4651-8462-9783BC429CED}" name="Column5242"/>
    <tableColumn id="5257" xr3:uid="{30A27DAB-E33C-4CB5-B818-29729F3269C0}" name="Column5243"/>
    <tableColumn id="5258" xr3:uid="{A2696701-0CEE-445B-BE81-63D85CED523E}" name="Column5244"/>
    <tableColumn id="5259" xr3:uid="{986D4B4E-3881-4B55-AFF0-F7836937BE39}" name="Column5245"/>
    <tableColumn id="5260" xr3:uid="{06C55D88-22F0-40E7-A91E-49489DB1DDBE}" name="Column5246"/>
    <tableColumn id="5261" xr3:uid="{BA8BEEF4-4889-4831-9840-091AD21F7532}" name="Column5247"/>
    <tableColumn id="5262" xr3:uid="{91ED5465-A770-463E-BFA5-DC2DEDDC9F8C}" name="Column5248"/>
    <tableColumn id="5263" xr3:uid="{E398D116-990E-4429-9B80-F2F4E7EECD9E}" name="Column5249"/>
    <tableColumn id="5264" xr3:uid="{FD7264E0-FCAE-4966-A479-24274509BB90}" name="Column5250"/>
    <tableColumn id="5265" xr3:uid="{0F93942F-EECE-4F0B-B46B-B7EE3EDFB162}" name="Column5251"/>
    <tableColumn id="5266" xr3:uid="{0EC79778-3ADC-413D-9935-9EEE7D89FC84}" name="Column5252"/>
    <tableColumn id="5267" xr3:uid="{7239DDA8-A6FC-4A5F-80C0-3CF4D781FFBF}" name="Column5253"/>
    <tableColumn id="5268" xr3:uid="{1620A4D5-136B-4564-B78B-D3377C92260C}" name="Column5254"/>
    <tableColumn id="5269" xr3:uid="{B3967A89-911B-4112-A3CE-B318F340C261}" name="Column5255"/>
    <tableColumn id="5270" xr3:uid="{32B5CB80-C235-44E3-97D5-F20C1FE9084D}" name="Column5256"/>
    <tableColumn id="5271" xr3:uid="{03B6589E-8B40-4A0C-AEA7-CA232CBEFB2F}" name="Column5257"/>
    <tableColumn id="5272" xr3:uid="{B6F72FAA-46AA-4CB0-AA3E-0E5A5F9B3A3F}" name="Column5258"/>
    <tableColumn id="5273" xr3:uid="{80D93D57-7B56-430E-9D32-B4DBCDD8E3FA}" name="Column5259"/>
    <tableColumn id="5274" xr3:uid="{BF89EE1A-B82C-48E1-878F-F6B4E4CED429}" name="Column5260"/>
    <tableColumn id="5275" xr3:uid="{7B8E598E-B704-42CB-A6D0-0BC22897FFC5}" name="Column5261"/>
    <tableColumn id="5276" xr3:uid="{F6C783B2-FFA2-49F1-9F57-C20BE9280F03}" name="Column5262"/>
    <tableColumn id="5277" xr3:uid="{6F662FB6-0779-4622-A58F-D4E853B75597}" name="Column5263"/>
    <tableColumn id="5278" xr3:uid="{5F6A84F9-42E5-4161-8D54-8B3B5F18B832}" name="Column5264"/>
    <tableColumn id="5279" xr3:uid="{BEA5F574-D707-4363-8B31-7CABE5C2F1A5}" name="Column5265"/>
    <tableColumn id="5280" xr3:uid="{9CF18B05-1E1C-4D65-B451-58080D8530C7}" name="Column5266"/>
    <tableColumn id="5281" xr3:uid="{F068BC2D-EDB8-45B3-BBEC-DD69BE990855}" name="Column5267"/>
    <tableColumn id="5282" xr3:uid="{E2BDA034-2223-4A85-B126-F5024A5CF8B7}" name="Column5268"/>
    <tableColumn id="5283" xr3:uid="{27A76A7C-17FA-4752-912E-3F7E908CAA32}" name="Column5269"/>
    <tableColumn id="5284" xr3:uid="{6C8D886D-0F25-449B-BAC4-678A14DD90E0}" name="Column5270"/>
    <tableColumn id="5285" xr3:uid="{FA333099-5DA9-428D-9A9B-234515A7A496}" name="Column5271"/>
    <tableColumn id="5286" xr3:uid="{F750C11D-9327-41DA-AA88-4B14566B4ADF}" name="Column5272"/>
    <tableColumn id="5287" xr3:uid="{491EFE82-2525-47EB-BF9F-E38E60655340}" name="Column5273"/>
    <tableColumn id="5288" xr3:uid="{C3C28732-805B-448A-9BCB-FB788193B0D1}" name="Column5274"/>
    <tableColumn id="5289" xr3:uid="{B8010260-7337-4A24-B8AD-5BD39A11FFF7}" name="Column5275"/>
    <tableColumn id="5290" xr3:uid="{3BAABBA9-9548-4310-8DE9-72E977BE2A1D}" name="Column5276"/>
    <tableColumn id="5291" xr3:uid="{D362F39F-8644-4BAB-80C3-EFF4CF989718}" name="Column5277"/>
    <tableColumn id="5292" xr3:uid="{A43E9583-0B78-4470-A0A1-696A3C35AD52}" name="Column5278"/>
    <tableColumn id="5293" xr3:uid="{944BEA56-89F7-472E-8637-4FE8E9E94A65}" name="Column5279"/>
    <tableColumn id="5294" xr3:uid="{B3C8D264-2305-427B-923C-6D705007CF2D}" name="Column5280"/>
    <tableColumn id="5295" xr3:uid="{CD8A90A3-A575-438F-B86C-A8976C9BA7AE}" name="Column5281"/>
    <tableColumn id="5296" xr3:uid="{E70A46B0-A079-4E71-ADB8-91263684A0AE}" name="Column5282"/>
    <tableColumn id="5297" xr3:uid="{C30ED1C9-16B3-4561-9AAC-7EACAEF70728}" name="Column5283"/>
    <tableColumn id="5298" xr3:uid="{DEBD2C31-4AAF-490D-8A6F-1E6BA92D9A78}" name="Column5284"/>
    <tableColumn id="5299" xr3:uid="{9349B660-6DB5-4F6B-8806-E294FBA076A0}" name="Column5285"/>
    <tableColumn id="5300" xr3:uid="{E4FCC28A-845A-4F4B-BDC7-824919BD63D0}" name="Column5286"/>
    <tableColumn id="5301" xr3:uid="{7E887C23-C9C7-4950-8E55-477915CD7127}" name="Column5287"/>
    <tableColumn id="5302" xr3:uid="{807F5CA0-A845-4F12-8A12-9CCD58011F8F}" name="Column5288"/>
    <tableColumn id="5303" xr3:uid="{7A6A91E2-08E6-4663-9CC8-4A15568653C0}" name="Column5289"/>
    <tableColumn id="5304" xr3:uid="{A4580B11-A1D6-4364-8378-5A650822B28C}" name="Column5290"/>
    <tableColumn id="5305" xr3:uid="{21977A74-BEE8-40DC-9CB0-CF4E7387C31F}" name="Column5291"/>
    <tableColumn id="5306" xr3:uid="{5C839E9F-2686-4503-9FC0-9801E6B4FEA7}" name="Column5292"/>
    <tableColumn id="5307" xr3:uid="{F76D0BF1-C94D-49DB-9D80-59B9D8325BEB}" name="Column5293"/>
    <tableColumn id="5308" xr3:uid="{5CE62692-8514-45E5-91C5-CC4CD5CDED8B}" name="Column5294"/>
    <tableColumn id="5309" xr3:uid="{1C2B31EB-BA49-4812-BED7-8331599B57FC}" name="Column5295"/>
    <tableColumn id="5310" xr3:uid="{454C3C5A-4E86-4277-A366-8D0A4F463064}" name="Column5296"/>
    <tableColumn id="5311" xr3:uid="{32E0F18C-D231-493D-8FE5-37D59C833581}" name="Column5297"/>
    <tableColumn id="5312" xr3:uid="{C1D7C827-E4FE-4948-AD0E-AACAB9D3F3B8}" name="Column5298"/>
    <tableColumn id="5313" xr3:uid="{42F6791B-5612-411A-A435-672C68B1E906}" name="Column5299"/>
    <tableColumn id="5314" xr3:uid="{2F6FE81C-FFC3-408B-8B1F-8B002F3F74EC}" name="Column5300"/>
    <tableColumn id="5315" xr3:uid="{4C662BD6-2025-47C8-8B6A-30750E86BC70}" name="Column5301"/>
    <tableColumn id="5316" xr3:uid="{71CD71B4-013D-40C7-B461-8C1B6CF35EC2}" name="Column5302"/>
    <tableColumn id="5317" xr3:uid="{EE17451B-2987-4C9E-9F24-751E8C23CE46}" name="Column5303"/>
    <tableColumn id="5318" xr3:uid="{CE5F43E7-194B-4524-9431-8A60107005E8}" name="Column5304"/>
    <tableColumn id="5319" xr3:uid="{FFA77B04-6DC8-4D29-84A1-01136D78B623}" name="Column5305"/>
    <tableColumn id="5320" xr3:uid="{A331E3B4-2783-4ABA-8A24-A36B3472AA8B}" name="Column5306"/>
    <tableColumn id="5321" xr3:uid="{229801A7-27A3-44DB-9F8A-AB3AA129CEA2}" name="Column5307"/>
    <tableColumn id="5322" xr3:uid="{E5F869E1-B528-42ED-9EA8-4C183E133156}" name="Column5308"/>
    <tableColumn id="5323" xr3:uid="{81023B86-CE7A-44E6-98AB-611599DE823F}" name="Column5309"/>
    <tableColumn id="5324" xr3:uid="{FE47C791-F957-496D-A1B8-1598A8E98205}" name="Column5310"/>
    <tableColumn id="5325" xr3:uid="{08115A49-C2A5-484C-B767-9459466CE01E}" name="Column5311"/>
    <tableColumn id="5326" xr3:uid="{9F58EFF6-5BC0-4DC8-9CB4-0A7D80D5E912}" name="Column5312"/>
    <tableColumn id="5327" xr3:uid="{8CE80269-A2AC-4B6E-B032-C78A0087A0F5}" name="Column5313"/>
    <tableColumn id="5328" xr3:uid="{83B2A6AE-F4B9-4D88-809E-49E93B9DF7A2}" name="Column5314"/>
    <tableColumn id="5329" xr3:uid="{B99EE983-80BD-4CC9-92EE-DE392546851E}" name="Column5315"/>
    <tableColumn id="5330" xr3:uid="{8DFEEF4F-506F-4149-A2F2-2DBFDBDDA459}" name="Column5316"/>
    <tableColumn id="5331" xr3:uid="{F8716FC0-C100-480E-A00D-AD7353DECA50}" name="Column5317"/>
    <tableColumn id="5332" xr3:uid="{2386E99B-80E8-4DD9-AB05-F04178B9B043}" name="Column5318"/>
    <tableColumn id="5333" xr3:uid="{572AE7AB-BD65-45B6-BA59-59D67E268ECE}" name="Column5319"/>
    <tableColumn id="5334" xr3:uid="{026642CB-419F-4E14-9CA5-310BC82BC721}" name="Column5320"/>
    <tableColumn id="5335" xr3:uid="{01AED031-2A13-4D1C-BA6C-77B3D394A458}" name="Column5321"/>
    <tableColumn id="5336" xr3:uid="{96C95F52-989F-49B5-AA1B-F2502964A696}" name="Column5322"/>
    <tableColumn id="5337" xr3:uid="{38654860-68D1-4E32-B619-E14F3271C4B3}" name="Column5323"/>
    <tableColumn id="5338" xr3:uid="{94391346-4FCF-4E64-A874-92FED8D247C5}" name="Column5324"/>
    <tableColumn id="5339" xr3:uid="{33780AB7-A581-4EFE-AE1F-D67D79574FB1}" name="Column5325"/>
    <tableColumn id="5340" xr3:uid="{C26207F2-282E-49EA-B9E3-466B0DEE6B75}" name="Column5326"/>
    <tableColumn id="5341" xr3:uid="{54A0E39F-779E-481C-9122-4D86C54D8019}" name="Column5327"/>
    <tableColumn id="5342" xr3:uid="{B2E3C9E9-5F85-4E75-9138-848CDBFB2B8F}" name="Column5328"/>
    <tableColumn id="5343" xr3:uid="{A9C749DF-76C9-4739-8141-402ACFDEA2B2}" name="Column5329"/>
    <tableColumn id="5344" xr3:uid="{BAC7A434-277A-4F19-8DF5-2414DC2F23DF}" name="Column5330"/>
    <tableColumn id="5345" xr3:uid="{9A48C005-8FA9-406B-A93C-108EBB486DDA}" name="Column5331"/>
    <tableColumn id="5346" xr3:uid="{D3A481F9-B47B-40E2-9B32-9E2A0F687A01}" name="Column5332"/>
    <tableColumn id="5347" xr3:uid="{648806CB-44A7-4A5B-8AA0-C1C9A4D94AD4}" name="Column5333"/>
    <tableColumn id="5348" xr3:uid="{9DC5FFE5-98E1-4A1B-BB39-C0EF94DC9F44}" name="Column5334"/>
    <tableColumn id="5349" xr3:uid="{945D0920-8845-4BA0-9593-D84AA6FDF979}" name="Column5335"/>
    <tableColumn id="5350" xr3:uid="{5C546847-AA09-4167-B095-83ED98372D97}" name="Column5336"/>
    <tableColumn id="5351" xr3:uid="{209AEFD4-C75A-4284-BB00-3539CDE432DA}" name="Column5337"/>
    <tableColumn id="5352" xr3:uid="{E0396209-0FC4-450A-950E-0AFD506C7B8E}" name="Column5338"/>
    <tableColumn id="5353" xr3:uid="{298C57DE-64D7-4D40-9F34-DC0D00BE5D7E}" name="Column5339"/>
    <tableColumn id="5354" xr3:uid="{52D6474D-622E-478C-ACFA-3E47301C8AB8}" name="Column5340"/>
    <tableColumn id="5355" xr3:uid="{C1EC400D-9F4E-4D2A-9542-8D77B54AD5E7}" name="Column5341"/>
    <tableColumn id="5356" xr3:uid="{C620EC7E-F5A4-43A2-B0FC-4006B3F43B03}" name="Column5342"/>
    <tableColumn id="5357" xr3:uid="{27AECE14-B84D-4121-A6CA-34F0E6BA1879}" name="Column5343"/>
    <tableColumn id="5358" xr3:uid="{4203835A-148D-4AEF-B2EE-31193FE99416}" name="Column5344"/>
    <tableColumn id="5359" xr3:uid="{2A666959-A26C-423A-B79E-8B77CA20C06E}" name="Column5345"/>
    <tableColumn id="5360" xr3:uid="{3708F242-B337-434D-8555-71134BC5FA31}" name="Column5346"/>
    <tableColumn id="5361" xr3:uid="{0B8AC615-7D2B-47B6-B9D7-06AE3FB3C253}" name="Column5347"/>
    <tableColumn id="5362" xr3:uid="{08BE1659-CBA4-4103-B53D-98A3F41045D1}" name="Column5348"/>
    <tableColumn id="5363" xr3:uid="{CCFC61E9-4004-419E-9438-E16F82655B32}" name="Column5349"/>
    <tableColumn id="5364" xr3:uid="{F90A4164-6818-4672-AABF-B5ED5F6ADF17}" name="Column5350"/>
    <tableColumn id="5365" xr3:uid="{FAB48FA2-779F-4634-ADC6-8633763216FC}" name="Column5351"/>
    <tableColumn id="5366" xr3:uid="{A8082075-DF92-466A-B493-365C3DD43BC5}" name="Column5352"/>
    <tableColumn id="5367" xr3:uid="{E7273D10-E41B-42CF-A9EE-7C27829EE811}" name="Column5353"/>
    <tableColumn id="5368" xr3:uid="{BDA0FE9B-7C1B-49B6-AB76-C42EFEE5B81F}" name="Column5354"/>
    <tableColumn id="5369" xr3:uid="{0EE9D6FE-AF7E-4E38-B6E9-E8789F0C4413}" name="Column5355"/>
    <tableColumn id="5370" xr3:uid="{B3A4D415-45B0-442E-A1D8-976A27CC521C}" name="Column5356"/>
    <tableColumn id="5371" xr3:uid="{3AB0B51D-8E66-41DD-9881-3083019FE78D}" name="Column5357"/>
    <tableColumn id="5372" xr3:uid="{AB1941AA-1D42-4D62-9D7B-4DED4E34F779}" name="Column5358"/>
    <tableColumn id="5373" xr3:uid="{5223852F-435C-4D3A-BB3D-4B7CA8854DC0}" name="Column5359"/>
    <tableColumn id="5374" xr3:uid="{88BBD912-6158-4919-BA53-2A58BFFE2338}" name="Column5360"/>
    <tableColumn id="5375" xr3:uid="{E5D1F235-1F04-4431-BA2E-1975DE3F7DED}" name="Column5361"/>
    <tableColumn id="5376" xr3:uid="{C3AFDAB2-4537-41E1-A7F0-D6C5A9FA2B45}" name="Column5362"/>
    <tableColumn id="5377" xr3:uid="{EC40F864-E0F5-47DB-865C-8A3120E42CC9}" name="Column5363"/>
    <tableColumn id="5378" xr3:uid="{E7B7A1CF-777C-456B-BA86-7DF6FBEEAF92}" name="Column5364"/>
    <tableColumn id="5379" xr3:uid="{B16A041D-5633-4C18-BE15-6084F9C26D63}" name="Column5365"/>
    <tableColumn id="5380" xr3:uid="{92857923-964D-48EE-8022-F25C7A8F786C}" name="Column5366"/>
    <tableColumn id="5381" xr3:uid="{9DD2E7FB-FC0A-49A6-98B6-1B28B779377F}" name="Column5367"/>
    <tableColumn id="5382" xr3:uid="{04CF42D1-5871-4D44-90B9-C8CDBD0F53AA}" name="Column5368"/>
    <tableColumn id="5383" xr3:uid="{C1A42C1A-E714-43B4-8188-600BA4684FBF}" name="Column5369"/>
    <tableColumn id="5384" xr3:uid="{4A5AFF01-5401-4F4C-9D06-FA29867676AB}" name="Column5370"/>
    <tableColumn id="5385" xr3:uid="{10D550FF-B610-443D-97D3-77E4819A77F9}" name="Column5371"/>
    <tableColumn id="5386" xr3:uid="{84610AD6-2362-4E5A-9FA9-8CEB808C7C26}" name="Column5372"/>
    <tableColumn id="5387" xr3:uid="{AFBF91AD-7B6E-46B7-8D5E-25B52E429E21}" name="Column5373"/>
    <tableColumn id="5388" xr3:uid="{DE230E4C-C057-4A47-A1EB-A72696EB5970}" name="Column5374"/>
    <tableColumn id="5389" xr3:uid="{BD1393EE-A3FC-4CDD-835A-5AA3C8FF0026}" name="Column5375"/>
    <tableColumn id="5390" xr3:uid="{A5327803-0394-49DC-8D69-AA82D364B1EC}" name="Column5376"/>
    <tableColumn id="5391" xr3:uid="{D8E3E73B-7A4D-4E85-AEC0-15A73FDDBFFD}" name="Column5377"/>
    <tableColumn id="5392" xr3:uid="{A6A74EE2-78FD-441D-B7F0-0E0B2B48BCBD}" name="Column5378"/>
    <tableColumn id="5393" xr3:uid="{BA0695CE-C5E4-4988-A2B3-49C5B9608A4A}" name="Column5379"/>
    <tableColumn id="5394" xr3:uid="{1C4C330D-186B-4091-8D37-5905E261BB45}" name="Column5380"/>
    <tableColumn id="5395" xr3:uid="{F269ED40-D4AB-499E-805C-A5AFD8C2D6CD}" name="Column5381"/>
    <tableColumn id="5396" xr3:uid="{A39461BA-28EC-41A4-BCDD-666650FF8C60}" name="Column5382"/>
    <tableColumn id="5397" xr3:uid="{74670BBF-44B2-4716-83C6-2C41D4F90296}" name="Column5383"/>
    <tableColumn id="5398" xr3:uid="{0184B4B7-BA43-433A-96AC-883049D66B7F}" name="Column5384"/>
    <tableColumn id="5399" xr3:uid="{7A7CD05A-ED43-4C21-8BEE-0DA97554BF8C}" name="Column5385"/>
    <tableColumn id="5400" xr3:uid="{02707686-67D6-4125-A58E-BA8E30F46312}" name="Column5386"/>
    <tableColumn id="5401" xr3:uid="{9D9BA1AC-9F29-4195-ABAF-CE368DA657B8}" name="Column5387"/>
    <tableColumn id="5402" xr3:uid="{A5DE16FE-3D1A-4FA9-849F-D1AA95E32D83}" name="Column5388"/>
    <tableColumn id="5403" xr3:uid="{E35E360A-0A1F-469C-9C04-0EFB18D7FE67}" name="Column5389"/>
    <tableColumn id="5404" xr3:uid="{1B42785A-842F-4F7A-BC6D-B14F51CD2C63}" name="Column5390"/>
    <tableColumn id="5405" xr3:uid="{D542C265-F268-4A80-9CA1-5A89553E80B1}" name="Column5391"/>
    <tableColumn id="5406" xr3:uid="{8F8D235C-24F5-4908-937C-EA8C1AFB2AFA}" name="Column5392"/>
    <tableColumn id="5407" xr3:uid="{7D10AA82-5DB2-4BA7-9437-768B011A3DFB}" name="Column5393"/>
    <tableColumn id="5408" xr3:uid="{EABA7633-BEA3-426B-86D0-97D71CF539B6}" name="Column5394"/>
    <tableColumn id="5409" xr3:uid="{6ACFD538-A12E-43B5-8CE2-C0C774A55E2B}" name="Column5395"/>
    <tableColumn id="5410" xr3:uid="{6C573028-F040-4FA9-89A9-450B38197CAC}" name="Column5396"/>
    <tableColumn id="5411" xr3:uid="{CCA95B13-9C6A-4620-AF2D-E67951D4BE73}" name="Column5397"/>
    <tableColumn id="5412" xr3:uid="{588373C4-1A02-446B-A609-03B4F8F10C19}" name="Column5398"/>
    <tableColumn id="5413" xr3:uid="{170BEB33-0BA7-4378-9378-1D658956B4B4}" name="Column5399"/>
    <tableColumn id="5414" xr3:uid="{1376C124-4CDD-42D5-BBF6-A25843AA111B}" name="Column5400"/>
    <tableColumn id="5415" xr3:uid="{39D35726-1196-4C8D-BD6A-75358A4450D9}" name="Column5401"/>
    <tableColumn id="5416" xr3:uid="{5444BC41-908D-4515-AEC2-4482D8976FC1}" name="Column5402"/>
    <tableColumn id="5417" xr3:uid="{324867C9-4A7F-4AD3-8422-62565C277F8C}" name="Column5403"/>
    <tableColumn id="5418" xr3:uid="{861993FF-84C7-4858-921F-252B9DC18F7D}" name="Column5404"/>
    <tableColumn id="5419" xr3:uid="{C472F1C0-A75F-4360-BC7A-9F98B6E778BA}" name="Column5405"/>
    <tableColumn id="5420" xr3:uid="{29C6007A-E2F5-44B9-A9AD-D73B493EA3C6}" name="Column5406"/>
    <tableColumn id="5421" xr3:uid="{F2EC3CD5-D5E8-4CF2-B0E2-ED3F8797B3FB}" name="Column5407"/>
    <tableColumn id="5422" xr3:uid="{681571D9-DE8A-47A7-8E67-E50B0F255512}" name="Column5408"/>
    <tableColumn id="5423" xr3:uid="{832BA1AE-BB3A-4139-A1B2-EDDBF4C2F71A}" name="Column5409"/>
    <tableColumn id="5424" xr3:uid="{E01D1530-3522-430B-A5AD-C923658F7E41}" name="Column5410"/>
    <tableColumn id="5425" xr3:uid="{44B002BF-F77D-46CD-98A3-484E20ACC2C1}" name="Column5411"/>
    <tableColumn id="5426" xr3:uid="{178D2B0F-DCA0-4170-A332-C58D40A17432}" name="Column5412"/>
    <tableColumn id="5427" xr3:uid="{18B1FE57-0428-4A78-9FDC-DA1EC0D62E37}" name="Column5413"/>
    <tableColumn id="5428" xr3:uid="{C598AFE7-F2FA-4B04-B593-2B7F10C8902E}" name="Column5414"/>
    <tableColumn id="5429" xr3:uid="{9C2A1FEF-47F0-49B6-9612-D38800F1A4A3}" name="Column5415"/>
    <tableColumn id="5430" xr3:uid="{915EF012-0701-4E1F-B5AB-19E804BADE42}" name="Column5416"/>
    <tableColumn id="5431" xr3:uid="{3E33F44E-CD8C-4F5E-87BD-80C916D1D7D2}" name="Column5417"/>
    <tableColumn id="5432" xr3:uid="{5AEB4AF9-C123-4FD9-BC68-C853EC0496A3}" name="Column5418"/>
    <tableColumn id="5433" xr3:uid="{9D658AF3-188D-48E0-9F18-D3EFB3B61E7D}" name="Column5419"/>
    <tableColumn id="5434" xr3:uid="{2EA49C4E-0E58-4350-87E2-DFAE07B14D63}" name="Column5420"/>
    <tableColumn id="5435" xr3:uid="{211413AF-CA21-4118-BA83-30E8D840B1D6}" name="Column5421"/>
    <tableColumn id="5436" xr3:uid="{C656E248-4960-4833-923E-205D8FE10B1D}" name="Column5422"/>
    <tableColumn id="5437" xr3:uid="{FEF94F9E-7760-4A4C-9E41-17B9A6393994}" name="Column5423"/>
    <tableColumn id="5438" xr3:uid="{32C0C0DE-5673-46BB-9776-D96E186B7CC3}" name="Column5424"/>
    <tableColumn id="5439" xr3:uid="{8BE349AC-5CEC-45AC-A0C3-89818778D349}" name="Column5425"/>
    <tableColumn id="5440" xr3:uid="{5F8FBA84-ED64-47D8-A58C-262B8B5BA778}" name="Column5426"/>
    <tableColumn id="5441" xr3:uid="{D9643A49-E3D9-47C2-8044-2C9E5D637C5A}" name="Column5427"/>
    <tableColumn id="5442" xr3:uid="{1D0F18CE-758C-45E4-965D-E1C850C78170}" name="Column5428"/>
    <tableColumn id="5443" xr3:uid="{617A01F4-F1A6-4E38-9302-2C71809128E8}" name="Column5429"/>
    <tableColumn id="5444" xr3:uid="{534696EA-1C32-49E5-B28B-E75C0F0425B8}" name="Column5430"/>
    <tableColumn id="5445" xr3:uid="{0800CDD7-4C82-4BCC-8A82-14926A59A2DF}" name="Column5431"/>
    <tableColumn id="5446" xr3:uid="{F4BBD86E-6652-4BF0-BF66-541B61F8C77B}" name="Column5432"/>
    <tableColumn id="5447" xr3:uid="{552FFC53-66FE-4C4E-B8FD-C8B057846E3B}" name="Column5433"/>
    <tableColumn id="5448" xr3:uid="{4908AE0D-AEC7-476F-A61A-AFDFBB80A338}" name="Column5434"/>
    <tableColumn id="5449" xr3:uid="{8A408C89-B59F-4EB7-81BD-6BEEC9AB210A}" name="Column5435"/>
    <tableColumn id="5450" xr3:uid="{B81CAD69-AFFA-46DB-9A1B-06FE2E509ADE}" name="Column5436"/>
    <tableColumn id="5451" xr3:uid="{F8A17883-BA51-4BEB-BC38-6E773B5D8E8C}" name="Column5437"/>
    <tableColumn id="5452" xr3:uid="{B5D72E6C-A85B-4328-8410-7A759E8607CE}" name="Column5438"/>
    <tableColumn id="5453" xr3:uid="{426C36D3-86CB-435D-9922-97AE183A25C9}" name="Column5439"/>
    <tableColumn id="5454" xr3:uid="{938435CA-62E1-4C03-8824-1ED0FD51287D}" name="Column5440"/>
    <tableColumn id="5455" xr3:uid="{D8F2EB77-7B09-4D98-B20F-0337D4D073A5}" name="Column5441"/>
    <tableColumn id="5456" xr3:uid="{090B0B1E-7EBD-4330-9909-87C786BB4CCD}" name="Column5442"/>
    <tableColumn id="5457" xr3:uid="{8FC140F3-A450-4F93-A27C-E4C053442DE7}" name="Column5443"/>
    <tableColumn id="5458" xr3:uid="{9B48664A-75CE-4CB8-B323-96BC83B8A9C3}" name="Column5444"/>
    <tableColumn id="5459" xr3:uid="{C99A7743-215C-4B65-AF38-240DDDCACDA9}" name="Column5445"/>
    <tableColumn id="5460" xr3:uid="{42D18EE0-9AC1-4254-B010-AF789AC5A13A}" name="Column5446"/>
    <tableColumn id="5461" xr3:uid="{BC79FBC8-5C19-4FB0-AF69-E8328C176694}" name="Column5447"/>
    <tableColumn id="5462" xr3:uid="{4FB98ADC-2807-48F1-AAE1-4E9981291CDB}" name="Column5448"/>
    <tableColumn id="5463" xr3:uid="{A138975C-A3DA-46EA-9D3C-FA414F946630}" name="Column5449"/>
    <tableColumn id="5464" xr3:uid="{362A422C-1E98-4DAF-872E-AA1966F4B8D9}" name="Column5450"/>
    <tableColumn id="5465" xr3:uid="{0802F002-6931-4E92-946C-55EC2CA0D494}" name="Column5451"/>
    <tableColumn id="5466" xr3:uid="{99A85B99-BAF4-40E9-9007-1FE06B9D92F0}" name="Column5452"/>
    <tableColumn id="5467" xr3:uid="{1D2EF6BB-221C-4FEE-8334-0B0F2F3DEFF2}" name="Column5453"/>
    <tableColumn id="5468" xr3:uid="{8CACC102-99B4-44DE-852F-5499DCE5D615}" name="Column5454"/>
    <tableColumn id="5469" xr3:uid="{D36F667E-C88F-4653-B52E-A1F61443DA33}" name="Column5455"/>
    <tableColumn id="5470" xr3:uid="{5342D0B1-A693-43B5-BA2C-5DCE8D1FCF3A}" name="Column5456"/>
    <tableColumn id="5471" xr3:uid="{12809044-5EA9-4C7A-8DA1-BEE453987700}" name="Column5457"/>
    <tableColumn id="5472" xr3:uid="{E497AC47-F689-4A42-92D2-EFB99D776AEB}" name="Column5458"/>
    <tableColumn id="5473" xr3:uid="{F797A58F-653A-4968-9CF1-F0D4562B58AA}" name="Column5459"/>
    <tableColumn id="5474" xr3:uid="{F1CA6B11-7AA6-4F71-A004-0A20F9D503E4}" name="Column5460"/>
    <tableColumn id="5475" xr3:uid="{FE8EC9BC-6EC4-4503-AB67-8715AE275E82}" name="Column5461"/>
    <tableColumn id="5476" xr3:uid="{A64C98F3-322F-4B84-B8E8-3658E5FE2D0E}" name="Column5462"/>
    <tableColumn id="5477" xr3:uid="{6A1663CD-C69C-419E-ACCF-2B8074A2874C}" name="Column5463"/>
    <tableColumn id="5478" xr3:uid="{132C78E2-C7BD-45F6-8916-F1D95397A0FF}" name="Column5464"/>
    <tableColumn id="5479" xr3:uid="{743C61FB-252E-42EC-B541-C62084E74891}" name="Column5465"/>
    <tableColumn id="5480" xr3:uid="{5F626424-A230-4A9E-87EE-F5E7BD24929E}" name="Column5466"/>
    <tableColumn id="5481" xr3:uid="{EE48DF39-E413-4CFA-8754-62FD4009D068}" name="Column5467"/>
    <tableColumn id="5482" xr3:uid="{6FBDFBC8-7F5C-47F6-A3FC-74A306623B28}" name="Column5468"/>
    <tableColumn id="5483" xr3:uid="{6DC596D6-F801-4F09-AE9D-5CB37F7D41CC}" name="Column5469"/>
    <tableColumn id="5484" xr3:uid="{59A042F8-9B5C-4F07-B31E-D8205AA67E6E}" name="Column5470"/>
    <tableColumn id="5485" xr3:uid="{446FE091-AEFD-4FE4-8E89-7D79108848B9}" name="Column5471"/>
    <tableColumn id="5486" xr3:uid="{800C15F1-A550-4334-9E01-B0ECE26FDB69}" name="Column5472"/>
    <tableColumn id="5487" xr3:uid="{F81EA053-F4AC-4A27-A0CA-5AA3A8C50B52}" name="Column5473"/>
    <tableColumn id="5488" xr3:uid="{02AB35E4-78C8-4777-BBDD-F7F496987108}" name="Column5474"/>
    <tableColumn id="5489" xr3:uid="{2AC44FC2-753A-4EF3-A7CF-8CDB7898272F}" name="Column5475"/>
    <tableColumn id="5490" xr3:uid="{D9BF2017-9C82-4674-AD4F-4AE1B98ACE1E}" name="Column5476"/>
    <tableColumn id="5491" xr3:uid="{F21FE092-8AE0-4AFF-9BAA-E7F4DB3E9869}" name="Column5477"/>
    <tableColumn id="5492" xr3:uid="{6DC3099A-134C-46A1-BC61-D79E7D14D1AA}" name="Column5478"/>
    <tableColumn id="5493" xr3:uid="{A60E908A-015E-4662-8B76-1CFA688B56F8}" name="Column5479"/>
    <tableColumn id="5494" xr3:uid="{0FB15277-B7AC-4B9C-8167-A8C0DCC7B573}" name="Column5480"/>
    <tableColumn id="5495" xr3:uid="{623CD69D-B740-486B-B121-206B4E83151B}" name="Column5481"/>
    <tableColumn id="5496" xr3:uid="{2388E606-475A-4A6B-8237-B60F9FFA05DF}" name="Column5482"/>
    <tableColumn id="5497" xr3:uid="{DDE42033-928B-4805-A236-61E7AB985C1D}" name="Column5483"/>
    <tableColumn id="5498" xr3:uid="{308C27AD-C91B-4CA6-865B-0E6CB3D5CBDE}" name="Column5484"/>
    <tableColumn id="5499" xr3:uid="{24D62BC1-B6E6-4961-BDDD-26AD4FE33259}" name="Column5485"/>
    <tableColumn id="5500" xr3:uid="{69D4FB10-071E-45F4-BD75-6547B65E0C47}" name="Column5486"/>
    <tableColumn id="5501" xr3:uid="{7CA6BDC5-4CA7-4224-9F19-2CCAD0DFB2B0}" name="Column5487"/>
    <tableColumn id="5502" xr3:uid="{A740F268-F6C7-4B5F-88FF-FE907D2AEB41}" name="Column5488"/>
    <tableColumn id="5503" xr3:uid="{9E06A563-2301-44AE-8CE8-0F091DB3B518}" name="Column5489"/>
    <tableColumn id="5504" xr3:uid="{1CC86EEC-DC20-4958-872F-179CCC84959D}" name="Column5490"/>
    <tableColumn id="5505" xr3:uid="{141F5D5F-14BC-4BCA-86D2-A7220EC545BB}" name="Column5491"/>
    <tableColumn id="5506" xr3:uid="{A51AE7EA-F9FC-4FBE-AF05-72B0A42C95CF}" name="Column5492"/>
    <tableColumn id="5507" xr3:uid="{2F236203-DC5E-4D0A-B8C1-CA98916C9BAC}" name="Column5493"/>
    <tableColumn id="5508" xr3:uid="{3B99075C-EEB9-42A6-8B29-4557B82D6E72}" name="Column5494"/>
    <tableColumn id="5509" xr3:uid="{BD76EC70-1041-402B-B020-88DD52F3315A}" name="Column5495"/>
    <tableColumn id="5510" xr3:uid="{F10A3D51-ECF7-4928-9B52-4BC4211BD2C2}" name="Column5496"/>
    <tableColumn id="5511" xr3:uid="{AAA908EC-A983-4817-9E00-BD14E5278B71}" name="Column5497"/>
    <tableColumn id="5512" xr3:uid="{6E7E59B2-58E5-495B-8C99-DEA086D788E2}" name="Column5498"/>
    <tableColumn id="5513" xr3:uid="{6AA14AE9-1FD9-4C56-92C4-1E8C97F59897}" name="Column5499"/>
    <tableColumn id="5514" xr3:uid="{E9D03E49-B8D1-4902-BDBD-E35B1CACE3D6}" name="Column5500"/>
    <tableColumn id="5515" xr3:uid="{996C7F6F-3A8C-4F6E-88BF-0CCAB075F727}" name="Column5501"/>
    <tableColumn id="5516" xr3:uid="{15F751C5-E4F5-4FB0-A2A8-FEE31E8728BC}" name="Column5502"/>
    <tableColumn id="5517" xr3:uid="{A9AF2E87-433C-4EF8-A3ED-DD66B35A931C}" name="Column5503"/>
    <tableColumn id="5518" xr3:uid="{FFEBEB65-6544-4356-9E5F-648E59E4F8F4}" name="Column5504"/>
    <tableColumn id="5519" xr3:uid="{A6817843-E1F8-4987-B403-3F150BDD9586}" name="Column5505"/>
    <tableColumn id="5520" xr3:uid="{B80C4CE8-B97F-478F-97E6-14CB482EBA75}" name="Column5506"/>
    <tableColumn id="5521" xr3:uid="{854848CD-D67A-4EF2-8FA3-4D11881B7F9A}" name="Column5507"/>
    <tableColumn id="5522" xr3:uid="{AA86290A-4F15-4F23-97D6-E3798DCD65F7}" name="Column5508"/>
    <tableColumn id="5523" xr3:uid="{A419B6AF-28BF-41D8-9602-737CF0284EB4}" name="Column5509"/>
    <tableColumn id="5524" xr3:uid="{A176F4BD-E1F7-44CE-BC9E-C11B7158354F}" name="Column5510"/>
    <tableColumn id="5525" xr3:uid="{D3322686-AB34-404B-8C4A-659F9DDFE0B5}" name="Column5511"/>
    <tableColumn id="5526" xr3:uid="{9CB7B2EA-D1DC-4BED-9233-54399EB14C03}" name="Column5512"/>
    <tableColumn id="5527" xr3:uid="{E2AE4DF7-D87F-4551-977C-48E4BA230CFA}" name="Column5513"/>
    <tableColumn id="5528" xr3:uid="{CF458CB9-C757-447D-9465-6764E523887C}" name="Column5514"/>
    <tableColumn id="5529" xr3:uid="{D3103D4D-D24B-4485-995A-DABB0FE14D34}" name="Column5515"/>
    <tableColumn id="5530" xr3:uid="{F5268A1F-773E-43B1-9277-7D5B70B04704}" name="Column5516"/>
    <tableColumn id="5531" xr3:uid="{E875373C-1B0B-43D0-A773-DDE237C86B1A}" name="Column5517"/>
    <tableColumn id="5532" xr3:uid="{575038E1-86B8-467E-9AC4-006716A940A4}" name="Column5518"/>
    <tableColumn id="5533" xr3:uid="{B3A74890-6820-4DD1-82C9-109F06BB3828}" name="Column5519"/>
    <tableColumn id="5534" xr3:uid="{D62C6CCD-B2A7-46EC-A56F-119505E61CAE}" name="Column5520"/>
    <tableColumn id="5535" xr3:uid="{CEF50F3B-CA08-4FA4-B6D7-49684C4A9278}" name="Column5521"/>
    <tableColumn id="5536" xr3:uid="{836F976E-5A78-4DA3-8715-DB172DCE07D3}" name="Column5522"/>
    <tableColumn id="5537" xr3:uid="{6A44CB27-CDD1-49F8-B4C4-61832EF3C82B}" name="Column5523"/>
    <tableColumn id="5538" xr3:uid="{799A0AC7-503F-41C1-B1BB-A6BE0B045CAE}" name="Column5524"/>
    <tableColumn id="5539" xr3:uid="{FE7D6553-FC3F-4CEA-967E-B9E7973B5575}" name="Column5525"/>
    <tableColumn id="5540" xr3:uid="{B76D25DB-5B0F-45F9-85AF-E51AA2390A0B}" name="Column5526"/>
    <tableColumn id="5541" xr3:uid="{85E89A04-8048-4DB8-A3B9-407500D4EE69}" name="Column5527"/>
    <tableColumn id="5542" xr3:uid="{B785E3AE-099C-49AA-991D-01BE65E4C486}" name="Column5528"/>
    <tableColumn id="5543" xr3:uid="{29451A98-19B2-4C3C-B571-53E9DA257689}" name="Column5529"/>
    <tableColumn id="5544" xr3:uid="{4C06FAC1-4975-4619-AD76-5184A9F8A1A5}" name="Column5530"/>
    <tableColumn id="5545" xr3:uid="{EE4CBB6C-9F5A-4309-AE52-594988E95CE2}" name="Column5531"/>
    <tableColumn id="5546" xr3:uid="{4FC490F2-01C4-438A-89A3-C339F2FA5387}" name="Column5532"/>
    <tableColumn id="5547" xr3:uid="{704D090B-ACEF-406F-8B7D-8C31B3946DA6}" name="Column5533"/>
    <tableColumn id="5548" xr3:uid="{DC6B144C-7CBE-4122-8FE2-6DF8407C1EF4}" name="Column5534"/>
    <tableColumn id="5549" xr3:uid="{54230FFC-5655-4BC4-95D1-898BFC30B2DF}" name="Column5535"/>
    <tableColumn id="5550" xr3:uid="{35958080-A8A0-4958-A02B-8A5156FB2FC5}" name="Column5536"/>
    <tableColumn id="5551" xr3:uid="{B3295CFD-A920-4977-9F63-730EDA7BCE76}" name="Column5537"/>
    <tableColumn id="5552" xr3:uid="{AF0CF818-1D41-468C-BC3D-D4D2A371F0EF}" name="Column5538"/>
    <tableColumn id="5553" xr3:uid="{63B84EF5-91DB-4078-86EA-54702DA41DDB}" name="Column5539"/>
    <tableColumn id="5554" xr3:uid="{2769EB58-36D5-4FDE-AC70-B7A7447DE23D}" name="Column5540"/>
    <tableColumn id="5555" xr3:uid="{2CD72F9D-5704-4073-B7B2-E7A80B51CD8B}" name="Column5541"/>
    <tableColumn id="5556" xr3:uid="{285BA0C0-78C0-4069-A10C-D854D8330835}" name="Column5542"/>
    <tableColumn id="5557" xr3:uid="{C3F1A4A4-39E1-4B6B-89F7-098D7C5C2233}" name="Column5543"/>
    <tableColumn id="5558" xr3:uid="{10D022A7-67AE-4234-A0C5-46EDFD5142A5}" name="Column5544"/>
    <tableColumn id="5559" xr3:uid="{17E7B303-7C66-4480-AB7A-AED884FC8236}" name="Column5545"/>
    <tableColumn id="5560" xr3:uid="{E0DD4105-B0AE-48DF-AC64-09DAEDF39B28}" name="Column5546"/>
    <tableColumn id="5561" xr3:uid="{D905E48B-152B-45E8-A8C3-D31235289642}" name="Column5547"/>
    <tableColumn id="5562" xr3:uid="{E6551B37-A091-49E8-BB49-2CEC7C235D0B}" name="Column5548"/>
    <tableColumn id="5563" xr3:uid="{2C041409-B296-42B6-A176-54C002D286A1}" name="Column5549"/>
    <tableColumn id="5564" xr3:uid="{1697A171-F87F-4A1A-944D-B52A4F8FF157}" name="Column5550"/>
    <tableColumn id="5565" xr3:uid="{E2785947-4903-445F-B559-558A349544D2}" name="Column5551"/>
    <tableColumn id="5566" xr3:uid="{BDCC0B24-E101-4698-8D8F-71F30AE63C9B}" name="Column5552"/>
    <tableColumn id="5567" xr3:uid="{D27E9FD7-DF2A-4785-B3BA-546A88C2664F}" name="Column5553"/>
    <tableColumn id="5568" xr3:uid="{9B08CEFE-E31C-43BB-A10E-7EBD0B5AEEB0}" name="Column5554"/>
    <tableColumn id="5569" xr3:uid="{1B02BD15-A7A9-4559-82A5-1ED83C2E2A96}" name="Column5555"/>
    <tableColumn id="5570" xr3:uid="{82E91AC4-CBF3-454C-95E1-2EED871196F5}" name="Column5556"/>
    <tableColumn id="5571" xr3:uid="{D46A8B3E-BE13-40A5-AD35-1CD9B7C10EDE}" name="Column5557"/>
    <tableColumn id="5572" xr3:uid="{2ABD7C72-E528-450E-B2BC-F4810B38F47A}" name="Column5558"/>
    <tableColumn id="5573" xr3:uid="{8306A7F9-4A72-4954-8F7C-DE6FEE2BA748}" name="Column5559"/>
    <tableColumn id="5574" xr3:uid="{01317F8E-E12F-48F3-B8FA-08E6BFC1C4A6}" name="Column5560"/>
    <tableColumn id="5575" xr3:uid="{068C7718-22C7-4BC5-BDCE-32401A442F03}" name="Column5561"/>
    <tableColumn id="5576" xr3:uid="{46193453-6C6E-41BA-A67D-E35AE4904299}" name="Column5562"/>
    <tableColumn id="5577" xr3:uid="{FE41E1E8-5F6B-4E7D-92A2-ABC8440DCA02}" name="Column5563"/>
    <tableColumn id="5578" xr3:uid="{010858E4-0DDE-4701-BC62-79218775CA37}" name="Column5564"/>
    <tableColumn id="5579" xr3:uid="{AE28E8E8-2CBE-4EDF-BA6C-123E1537941C}" name="Column5565"/>
    <tableColumn id="5580" xr3:uid="{99DCDA37-DE34-4140-BE72-174BF584D225}" name="Column5566"/>
    <tableColumn id="5581" xr3:uid="{F58D8B9C-7063-4A54-B711-4281027AD845}" name="Column5567"/>
    <tableColumn id="5582" xr3:uid="{DE277726-1F5C-4FF1-9F57-FA596D526FC1}" name="Column5568"/>
    <tableColumn id="5583" xr3:uid="{54617219-794D-419F-9241-2FD2C0E9600C}" name="Column5569"/>
    <tableColumn id="5584" xr3:uid="{B3FD0568-71D1-4D6F-963D-E295CBD57C56}" name="Column5570"/>
    <tableColumn id="5585" xr3:uid="{E34268C9-D4D3-42E5-BB25-8B822276BA81}" name="Column5571"/>
    <tableColumn id="5586" xr3:uid="{36F231EC-80EF-4C74-9393-379C526A9F0B}" name="Column5572"/>
    <tableColumn id="5587" xr3:uid="{1B5FEF5C-0F54-4654-BCAA-2A7251F6750E}" name="Column5573"/>
    <tableColumn id="5588" xr3:uid="{1A9D624E-AD21-4F01-8937-7969FD715098}" name="Column5574"/>
    <tableColumn id="5589" xr3:uid="{273DFEB0-CF5E-46AB-B6FB-436B8D417173}" name="Column5575"/>
    <tableColumn id="5590" xr3:uid="{3A332F89-C5C3-4ECF-A3EA-EDCF6B4822A5}" name="Column5576"/>
    <tableColumn id="5591" xr3:uid="{99FAF01D-190A-47C7-ADE0-39A78970E6A4}" name="Column5577"/>
    <tableColumn id="5592" xr3:uid="{8E5B01A9-FB92-44D6-8C79-F9092D168229}" name="Column5578"/>
    <tableColumn id="5593" xr3:uid="{6C79F800-CCC7-4B60-943F-EE4CAC1DA493}" name="Column5579"/>
    <tableColumn id="5594" xr3:uid="{B5FD9F5C-16B3-4FAE-A8E6-A8D02C46A1BA}" name="Column5580"/>
    <tableColumn id="5595" xr3:uid="{ACA4A951-428E-43DA-9B65-9FF657D5D7AA}" name="Column5581"/>
    <tableColumn id="5596" xr3:uid="{66AD4D3F-908C-41B0-961B-20B9C5995777}" name="Column5582"/>
    <tableColumn id="5597" xr3:uid="{C1C1928B-6B7E-4E73-83B7-E284B75F39F7}" name="Column5583"/>
    <tableColumn id="5598" xr3:uid="{43694EB3-D2CA-495D-B6B1-288DB7E08CD9}" name="Column5584"/>
    <tableColumn id="5599" xr3:uid="{93192C3B-6909-4131-A917-FBFE2439B633}" name="Column5585"/>
    <tableColumn id="5600" xr3:uid="{435ACE73-ABCB-4BA8-BC63-E60B736446A5}" name="Column5586"/>
    <tableColumn id="5601" xr3:uid="{20346B62-257F-4B63-9BF8-B05DA75781CC}" name="Column5587"/>
    <tableColumn id="5602" xr3:uid="{6616851A-C956-459E-91D8-060695656867}" name="Column5588"/>
    <tableColumn id="5603" xr3:uid="{4A3B984C-E9CF-40C9-8525-9120072730A0}" name="Column5589"/>
    <tableColumn id="5604" xr3:uid="{8607007C-EE1B-4476-83E8-0D49C33648CC}" name="Column5590"/>
    <tableColumn id="5605" xr3:uid="{B0C05A23-2B14-403F-9C62-305B35F12EED}" name="Column5591"/>
    <tableColumn id="5606" xr3:uid="{26AC605F-3458-4FA1-9AA6-45C70566DF51}" name="Column5592"/>
    <tableColumn id="5607" xr3:uid="{2770BFC0-2135-4632-8F8E-E9EA4E6889D2}" name="Column5593"/>
    <tableColumn id="5608" xr3:uid="{50E1666B-95D7-4EC6-A804-5EA8C1FEA10B}" name="Column5594"/>
    <tableColumn id="5609" xr3:uid="{9DA068A3-D8C0-4486-BC4C-8FCDF03E528C}" name="Column5595"/>
    <tableColumn id="5610" xr3:uid="{DD3D5C26-AFD6-4708-8617-343481F4F8C3}" name="Column5596"/>
    <tableColumn id="5611" xr3:uid="{212B8FF9-0C1D-4DA0-947E-F6CD91ED9285}" name="Column5597"/>
    <tableColumn id="5612" xr3:uid="{E1A3CD20-D08B-42B5-8A64-476039E3B0A4}" name="Column5598"/>
    <tableColumn id="5613" xr3:uid="{57EB3E28-3D1B-49ED-B9FF-967F74C18852}" name="Column5599"/>
    <tableColumn id="5614" xr3:uid="{7CF1B7F3-B950-400B-85FF-1B144F73E727}" name="Column5600"/>
    <tableColumn id="5615" xr3:uid="{753AF922-DFA0-4B2F-BEA6-98AB23E62710}" name="Column5601"/>
    <tableColumn id="5616" xr3:uid="{602392C9-202C-43A4-BB2A-A43A4FEE69C7}" name="Column5602"/>
    <tableColumn id="5617" xr3:uid="{33DBA715-99DD-41C3-86CB-8B36067CCEF0}" name="Column5603"/>
    <tableColumn id="5618" xr3:uid="{982ADC55-F27B-4295-BAE7-18F39A00B3E4}" name="Column5604"/>
    <tableColumn id="5619" xr3:uid="{63F4DC62-6116-4D44-B9C0-3F56C3300276}" name="Column5605"/>
    <tableColumn id="5620" xr3:uid="{7970D6E8-7B48-4B2B-870D-2F626C7D30C8}" name="Column5606"/>
    <tableColumn id="5621" xr3:uid="{36A98092-D7D2-4437-8199-35DA3267EE1A}" name="Column5607"/>
    <tableColumn id="5622" xr3:uid="{EE2154E2-5359-4C38-A2F5-BC7253382530}" name="Column5608"/>
    <tableColumn id="5623" xr3:uid="{D7256697-A691-48CB-AFE0-2BB21493637F}" name="Column5609"/>
    <tableColumn id="5624" xr3:uid="{66F841D8-4D85-41C8-9870-689D2B1FA914}" name="Column5610"/>
    <tableColumn id="5625" xr3:uid="{EB2A93C6-3CC2-4CA3-B1EB-BFAEAF8F872B}" name="Column5611"/>
    <tableColumn id="5626" xr3:uid="{F44FA4FF-2D1B-4C81-9070-627D131176FB}" name="Column5612"/>
    <tableColumn id="5627" xr3:uid="{C74CA3F2-35C1-4ACB-954F-6030DA6ADF14}" name="Column5613"/>
    <tableColumn id="5628" xr3:uid="{DBE7B8C5-CB14-4027-AA2A-D843DF62029F}" name="Column5614"/>
    <tableColumn id="5629" xr3:uid="{EF99CD01-CA7A-4143-97C5-F84F562C29B0}" name="Column5615"/>
    <tableColumn id="5630" xr3:uid="{35F9192E-68B9-45E1-8647-36701251BEB5}" name="Column5616"/>
    <tableColumn id="5631" xr3:uid="{3EF9A9C3-51AF-4F88-B593-6488A4713A5D}" name="Column5617"/>
    <tableColumn id="5632" xr3:uid="{8E1159E6-78F3-4617-A6F7-AC8064A2EEA5}" name="Column5618"/>
    <tableColumn id="5633" xr3:uid="{771BA277-5542-4A34-9F27-1D3B4B02C583}" name="Column5619"/>
    <tableColumn id="5634" xr3:uid="{2F22C8C6-83BA-4E8D-A088-B363D7385A8D}" name="Column5620"/>
    <tableColumn id="5635" xr3:uid="{3D4EE87C-F4EE-4A19-94E1-44418421B91E}" name="Column5621"/>
    <tableColumn id="5636" xr3:uid="{5B3B5148-11F1-414C-9A00-B12575136212}" name="Column5622"/>
    <tableColumn id="5637" xr3:uid="{15529F41-9E8B-460E-A270-9BC364157A12}" name="Column5623"/>
    <tableColumn id="5638" xr3:uid="{8BCB2972-7316-4F66-87FA-A28B541D7F8F}" name="Column5624"/>
    <tableColumn id="5639" xr3:uid="{CAFB0C10-7FC7-484F-8BA5-52C3272126D7}" name="Column5625"/>
    <tableColumn id="5640" xr3:uid="{D00C02E0-7378-483A-B90C-3A9DD7BBA11C}" name="Column5626"/>
    <tableColumn id="5641" xr3:uid="{855425D9-B768-4312-8627-515CAC059A5A}" name="Column5627"/>
    <tableColumn id="5642" xr3:uid="{78CA9B30-22AA-4354-8684-CC753BF96573}" name="Column5628"/>
    <tableColumn id="5643" xr3:uid="{A54CCF59-B520-411C-8F0D-E36A094FAD74}" name="Column5629"/>
    <tableColumn id="5644" xr3:uid="{B7ABA035-F07D-44CA-A907-C3BF076618F4}" name="Column5630"/>
    <tableColumn id="5645" xr3:uid="{A2AB3776-DE86-477F-A4D0-480ACEE501C7}" name="Column5631"/>
    <tableColumn id="5646" xr3:uid="{4651195A-E02F-411A-B092-583F3B4609AA}" name="Column5632"/>
    <tableColumn id="5647" xr3:uid="{427A9FFE-C172-44C7-86AF-4393FD76F7D0}" name="Column5633"/>
    <tableColumn id="5648" xr3:uid="{B2DD122C-C5ED-465F-BCAF-87DD1C0E8E1D}" name="Column5634"/>
    <tableColumn id="5649" xr3:uid="{1D9C4B3B-83D3-4B11-B4A7-98A557A884CA}" name="Column5635"/>
    <tableColumn id="5650" xr3:uid="{C3CF49F0-62D5-4467-947D-EAEF6CDC98A3}" name="Column5636"/>
    <tableColumn id="5651" xr3:uid="{B357919A-92DA-4427-8BC5-C7363B98B0F7}" name="Column5637"/>
    <tableColumn id="5652" xr3:uid="{2776086D-F00E-4B4D-9E08-DB589C0742C7}" name="Column5638"/>
    <tableColumn id="5653" xr3:uid="{676C5F4B-631B-4C5C-B53F-2CB67BFEF949}" name="Column5639"/>
    <tableColumn id="5654" xr3:uid="{313226EA-FF2D-4C14-966A-89E141E188CB}" name="Column5640"/>
    <tableColumn id="5655" xr3:uid="{55541ECD-4797-41D7-AADE-DD50EFF29197}" name="Column5641"/>
    <tableColumn id="5656" xr3:uid="{B955C38D-8537-463D-8B72-0BAE811901B0}" name="Column5642"/>
    <tableColumn id="5657" xr3:uid="{562C505B-136D-4724-A988-F1642C649938}" name="Column5643"/>
    <tableColumn id="5658" xr3:uid="{F64B8456-AA20-4986-809B-60E54B29B799}" name="Column5644"/>
    <tableColumn id="5659" xr3:uid="{45E79839-AEFA-4FC3-B244-4D431502FD6B}" name="Column5645"/>
    <tableColumn id="5660" xr3:uid="{7C8791CE-663E-4F40-9366-9845A0AF79B9}" name="Column5646"/>
    <tableColumn id="5661" xr3:uid="{1129842D-4960-4FA7-B67F-6E366E818341}" name="Column5647"/>
    <tableColumn id="5662" xr3:uid="{B348BCBB-ED8A-4F92-8B4E-7E5C5B12852C}" name="Column5648"/>
    <tableColumn id="5663" xr3:uid="{B2764280-C559-4C51-BFFC-DE36F81EC282}" name="Column5649"/>
    <tableColumn id="5664" xr3:uid="{2F2FD478-A2E1-43F0-ABD9-5EA89EAC545F}" name="Column5650"/>
    <tableColumn id="5665" xr3:uid="{15227489-01BA-4819-90A5-F8A489660994}" name="Column5651"/>
    <tableColumn id="5666" xr3:uid="{260EED7D-071C-441F-A047-18130988A0B8}" name="Column5652"/>
    <tableColumn id="5667" xr3:uid="{6D55C292-FBB9-4C95-8A6A-4D8BB095889B}" name="Column5653"/>
    <tableColumn id="5668" xr3:uid="{BC2AD17D-4EF0-4D6D-9207-63A5E9D9C9C6}" name="Column5654"/>
    <tableColumn id="5669" xr3:uid="{4E255BC8-486A-4D47-95F0-0923C669617C}" name="Column5655"/>
    <tableColumn id="5670" xr3:uid="{1439257D-7060-47EF-B6BC-03E683600424}" name="Column5656"/>
    <tableColumn id="5671" xr3:uid="{7102C3AA-094B-4E21-8BE6-4DA901047879}" name="Column5657"/>
    <tableColumn id="5672" xr3:uid="{46C3D433-8515-456D-8A7A-EF2653AC2E75}" name="Column5658"/>
    <tableColumn id="5673" xr3:uid="{42385B26-E4A9-4B51-9764-5AD59FDFD494}" name="Column5659"/>
    <tableColumn id="5674" xr3:uid="{392C688C-2DEB-409A-9375-1B1CD74E32B0}" name="Column5660"/>
    <tableColumn id="5675" xr3:uid="{474E87B2-B860-458C-B2ED-29AFFC3C50C1}" name="Column5661"/>
    <tableColumn id="5676" xr3:uid="{6A5C7370-47F7-48F1-A42F-59ACF51DDA71}" name="Column5662"/>
    <tableColumn id="5677" xr3:uid="{0BC2C64F-D776-4437-9F8C-CD1261A3F113}" name="Column5663"/>
    <tableColumn id="5678" xr3:uid="{608A0F64-3DED-4095-90CF-746AC32F8098}" name="Column5664"/>
    <tableColumn id="5679" xr3:uid="{BDDCC983-689F-4514-ACC0-DF2748610C97}" name="Column5665"/>
    <tableColumn id="5680" xr3:uid="{45CCDCAA-5546-444F-9A32-4696996445DB}" name="Column5666"/>
    <tableColumn id="5681" xr3:uid="{8469B40B-A67F-48C7-9EB5-45E66BC09C26}" name="Column5667"/>
    <tableColumn id="5682" xr3:uid="{E1538BF5-B105-4F9C-B09D-D3CFE41FC288}" name="Column5668"/>
    <tableColumn id="5683" xr3:uid="{A7752B9D-88E9-48F7-997C-3CD6BA154ED1}" name="Column5669"/>
    <tableColumn id="5684" xr3:uid="{DE35F304-E888-4F38-B516-BBC3D9EE4F54}" name="Column5670"/>
    <tableColumn id="5685" xr3:uid="{5AA3B894-9111-4A84-B82E-8452D924B2C3}" name="Column5671"/>
    <tableColumn id="5686" xr3:uid="{B5939F00-C495-4C1C-A61D-4F7AAF1B98EA}" name="Column5672"/>
    <tableColumn id="5687" xr3:uid="{AE3CD177-9372-43CE-8A71-0BE554DF2480}" name="Column5673"/>
    <tableColumn id="5688" xr3:uid="{7F139421-CBFD-4AF0-BF60-76208FCEDEDF}" name="Column5674"/>
    <tableColumn id="5689" xr3:uid="{5B2941F7-50D4-4A96-8676-45926C46FA0B}" name="Column5675"/>
    <tableColumn id="5690" xr3:uid="{B09FA28B-7303-4363-A123-4BCBF42D8A8E}" name="Column5676"/>
    <tableColumn id="5691" xr3:uid="{F186E1D2-34FC-4A95-9DCE-E3489D258C1E}" name="Column5677"/>
    <tableColumn id="5692" xr3:uid="{A6EFBBA5-2B76-4566-BC8C-2D76DF07BC43}" name="Column5678"/>
    <tableColumn id="5693" xr3:uid="{42061473-273E-418F-9938-CAF97CD8B924}" name="Column5679"/>
    <tableColumn id="5694" xr3:uid="{C00E0978-76CA-44CE-922F-71BC9AB69210}" name="Column5680"/>
    <tableColumn id="5695" xr3:uid="{80FA98F5-A4A8-4A7E-94F3-70E0DF9DDDFA}" name="Column5681"/>
    <tableColumn id="5696" xr3:uid="{94A5F148-7260-42D5-AE16-A4D05B2D1556}" name="Column5682"/>
    <tableColumn id="5697" xr3:uid="{705FEF36-FD19-4DB8-B63A-ECE517A525A8}" name="Column5683"/>
    <tableColumn id="5698" xr3:uid="{C9212A4C-D71A-4B68-99AE-6632B58EBE66}" name="Column5684"/>
    <tableColumn id="5699" xr3:uid="{A4FD1639-E6A0-4846-9534-61C18CE038EB}" name="Column5685"/>
    <tableColumn id="5700" xr3:uid="{85ECD4EE-F10A-4585-9EC8-6E1FE9E3EC53}" name="Column5686"/>
    <tableColumn id="5701" xr3:uid="{241CA87F-75F3-4AF8-BC28-F61ABB753149}" name="Column5687"/>
    <tableColumn id="5702" xr3:uid="{56B2CA45-272B-4D8C-AE2D-8745DFCD378C}" name="Column5688"/>
    <tableColumn id="5703" xr3:uid="{B4E620C0-35EF-41F5-A708-0A973CD2EC31}" name="Column5689"/>
    <tableColumn id="5704" xr3:uid="{E2576B32-F3F1-4338-AEDE-4B2A735662BC}" name="Column5690"/>
    <tableColumn id="5705" xr3:uid="{4AD62BE5-64E0-4BBB-A19B-AA15C1EF756F}" name="Column5691"/>
    <tableColumn id="5706" xr3:uid="{3DF6BC66-B503-4256-9044-34F08E65A6CB}" name="Column5692"/>
    <tableColumn id="5707" xr3:uid="{2BE1586F-5F68-409C-A55B-FDB511C9D278}" name="Column5693"/>
    <tableColumn id="5708" xr3:uid="{36D01D5B-7A09-4658-AD08-A2F0F5F9F1A7}" name="Column5694"/>
    <tableColumn id="5709" xr3:uid="{2743BBFF-96AE-49F2-BB43-44B99D227ED7}" name="Column5695"/>
    <tableColumn id="5710" xr3:uid="{B5F9D134-C1D6-4351-A6BC-EB4F7C70EFFF}" name="Column5696"/>
    <tableColumn id="5711" xr3:uid="{925BC41D-BA7E-4E55-95E8-42805CFD3783}" name="Column5697"/>
    <tableColumn id="5712" xr3:uid="{825DE8B3-D21B-4E77-AD42-C6EB62A4E7C9}" name="Column5698"/>
    <tableColumn id="5713" xr3:uid="{05AEE1A8-1060-43F2-B066-23B458D748AB}" name="Column5699"/>
    <tableColumn id="5714" xr3:uid="{C6EBAF8D-3430-4C5E-92CD-949F5177CB78}" name="Column5700"/>
    <tableColumn id="5715" xr3:uid="{48E77345-C04B-44EB-945F-675BA9BE7E30}" name="Column5701"/>
    <tableColumn id="5716" xr3:uid="{E48594AE-3797-4D97-8373-8F68A5CC3F59}" name="Column5702"/>
    <tableColumn id="5717" xr3:uid="{D03D95D2-5AA5-40E4-9436-B3AA633BF54E}" name="Column5703"/>
    <tableColumn id="5718" xr3:uid="{CDAE33CA-0BA6-4779-8EFF-C49526C14E40}" name="Column5704"/>
    <tableColumn id="5719" xr3:uid="{7F2B27E2-0309-47C2-A6F4-F350E1625D38}" name="Column5705"/>
    <tableColumn id="5720" xr3:uid="{14E29E12-F13A-4DC6-90AE-B47062EE9444}" name="Column5706"/>
    <tableColumn id="5721" xr3:uid="{4592BAF8-C26F-4525-B0C4-F3CBAA2207AA}" name="Column5707"/>
    <tableColumn id="5722" xr3:uid="{422B924B-A78E-4947-82B5-97B72B47683C}" name="Column5708"/>
    <tableColumn id="5723" xr3:uid="{306ED57E-814E-4290-8141-7AA969EB322C}" name="Column5709"/>
    <tableColumn id="5724" xr3:uid="{0E5A0F6F-4C35-4C40-9A34-AAEB5422A048}" name="Column5710"/>
    <tableColumn id="5725" xr3:uid="{DA28CBB9-07AF-413D-8DC8-B53AC9CA70A7}" name="Column5711"/>
    <tableColumn id="5726" xr3:uid="{79B66F6B-3F1C-4B4A-8655-A082C30CB34E}" name="Column5712"/>
    <tableColumn id="5727" xr3:uid="{65B15963-8659-46C7-AE01-C0817616D6FC}" name="Column5713"/>
    <tableColumn id="5728" xr3:uid="{8861C838-A8A9-4CB2-BD69-814A44EC7896}" name="Column5714"/>
    <tableColumn id="5729" xr3:uid="{637B4857-4132-410B-81F6-A410166D06A2}" name="Column5715"/>
    <tableColumn id="5730" xr3:uid="{7FFD801B-581B-49FC-AAD6-EB521935A452}" name="Column5716"/>
    <tableColumn id="5731" xr3:uid="{7F36E74D-687E-4380-A88C-99778D02A192}" name="Column5717"/>
    <tableColumn id="5732" xr3:uid="{C57583CF-9EA6-47D9-A943-D806581C3728}" name="Column5718"/>
    <tableColumn id="5733" xr3:uid="{47827DE4-18EA-49D7-A392-1782AC213CA0}" name="Column5719"/>
    <tableColumn id="5734" xr3:uid="{A77FFEF1-A5B7-4C39-9FB2-E1CDC812B44F}" name="Column5720"/>
    <tableColumn id="5735" xr3:uid="{9B0D457E-4088-4F60-8AAD-AF365A951A6F}" name="Column5721"/>
    <tableColumn id="5736" xr3:uid="{F753C14A-89B1-4CA5-BC23-8322EEDAE3DE}" name="Column5722"/>
    <tableColumn id="5737" xr3:uid="{19EFAD18-9F36-4057-9357-18CFECAEAD41}" name="Column5723"/>
    <tableColumn id="5738" xr3:uid="{19BB9DE6-F6DB-4569-B165-4067EF2394B6}" name="Column5724"/>
    <tableColumn id="5739" xr3:uid="{99403271-3ED9-453B-890E-E444CB8487C6}" name="Column5725"/>
    <tableColumn id="5740" xr3:uid="{0CCDEDA8-3AEF-42BF-A6F3-9B7750873C67}" name="Column5726"/>
    <tableColumn id="5741" xr3:uid="{3A682E9B-0A24-404F-B2DD-44AAD32EE474}" name="Column5727"/>
    <tableColumn id="5742" xr3:uid="{D53ED05E-902F-44E0-8D27-15EA6C96DB2F}" name="Column5728"/>
    <tableColumn id="5743" xr3:uid="{2A3112A5-391D-42EB-88F5-AF96A8F65B45}" name="Column5729"/>
    <tableColumn id="5744" xr3:uid="{ED952DD9-F494-4233-AAB4-83C61380F8D9}" name="Column5730"/>
    <tableColumn id="5745" xr3:uid="{FE450855-07B6-4998-A2BD-3A33BFA6229D}" name="Column5731"/>
    <tableColumn id="5746" xr3:uid="{5314C38A-6BE7-4E95-B026-50BC328262E5}" name="Column5732"/>
    <tableColumn id="5747" xr3:uid="{C3D029E9-34FF-4325-A18F-01ECB9EA1C79}" name="Column5733"/>
    <tableColumn id="5748" xr3:uid="{E4A16837-0D06-4C79-96AD-51629DAECA3C}" name="Column5734"/>
    <tableColumn id="5749" xr3:uid="{9EAD5734-EEEC-4EA5-BCA4-AC2A8D531D37}" name="Column5735"/>
    <tableColumn id="5750" xr3:uid="{558A0372-6846-409A-A238-76D1383D2D4E}" name="Column5736"/>
    <tableColumn id="5751" xr3:uid="{12CEBE35-5AFE-4016-BEEE-D438F6B53ACA}" name="Column5737"/>
    <tableColumn id="5752" xr3:uid="{4E00C570-6A32-4CF8-89BA-49557C4C093A}" name="Column5738"/>
    <tableColumn id="5753" xr3:uid="{05CC5CCD-F343-49FB-8D3A-B3C0114C1FFC}" name="Column5739"/>
    <tableColumn id="5754" xr3:uid="{8EE9F48D-D8EF-4E11-85B8-EAEE17A4A081}" name="Column5740"/>
    <tableColumn id="5755" xr3:uid="{DD9915DE-1FA1-41F4-9B2C-732A7AD00CEC}" name="Column5741"/>
    <tableColumn id="5756" xr3:uid="{79469812-D9BF-472F-8CA1-421FFB89A6B4}" name="Column5742"/>
    <tableColumn id="5757" xr3:uid="{9314903A-07F3-46C5-B754-A3FB9EC5E207}" name="Column5743"/>
    <tableColumn id="5758" xr3:uid="{D4A38E20-6798-414D-B077-DD423812DD02}" name="Column5744"/>
    <tableColumn id="5759" xr3:uid="{EDE8F52C-1024-4E8E-9251-CFC915C39FC2}" name="Column5745"/>
    <tableColumn id="5760" xr3:uid="{F6522921-C384-4EA8-A937-F7017FE99BE5}" name="Column5746"/>
    <tableColumn id="5761" xr3:uid="{32AE4273-088A-48BC-980E-06E7E0214E4B}" name="Column5747"/>
    <tableColumn id="5762" xr3:uid="{EF5BD2C9-993A-45B0-B3F5-D53B458C23A5}" name="Column5748"/>
    <tableColumn id="5763" xr3:uid="{D2197754-4701-43D0-98A7-657CAECF7351}" name="Column5749"/>
    <tableColumn id="5764" xr3:uid="{C8929EA1-B156-42BF-BFF9-B5D06CD6DDE9}" name="Column5750"/>
    <tableColumn id="5765" xr3:uid="{8260DCC3-DDED-488E-999A-EF6EF8D88C00}" name="Column5751"/>
    <tableColumn id="5766" xr3:uid="{325B71B2-C642-422B-9EA8-56FAAFB210EC}" name="Column5752"/>
    <tableColumn id="5767" xr3:uid="{6FD3BF2E-58BE-4A63-A405-DB64F1A54DF1}" name="Column5753"/>
    <tableColumn id="5768" xr3:uid="{0AA18231-530E-446D-873B-393846283151}" name="Column5754"/>
    <tableColumn id="5769" xr3:uid="{7509E109-D04D-40BD-A8B1-999FC299AC17}" name="Column5755"/>
    <tableColumn id="5770" xr3:uid="{02B1E2D8-9832-4CE1-BC4C-7304DCE5A792}" name="Column5756"/>
    <tableColumn id="5771" xr3:uid="{36D79997-26B5-4D6D-B85F-D592563A726A}" name="Column5757"/>
    <tableColumn id="5772" xr3:uid="{28B7E444-005E-4FCF-A9D7-03F95203AC39}" name="Column5758"/>
    <tableColumn id="5773" xr3:uid="{EE1DED9A-44A2-4D11-AEC6-CBCA71C31F13}" name="Column5759"/>
    <tableColumn id="5774" xr3:uid="{CDE1B7DA-E019-4FC0-80CB-AF77E681CA91}" name="Column5760"/>
    <tableColumn id="5775" xr3:uid="{991A43BC-E799-48BB-B2AD-03783D3F8BAA}" name="Column5761"/>
    <tableColumn id="5776" xr3:uid="{59603080-F97A-433A-B6AC-399D18BB5B42}" name="Column5762"/>
    <tableColumn id="5777" xr3:uid="{F7B6ABCF-6F49-4B8F-B6E2-FD2B47234F94}" name="Column5763"/>
    <tableColumn id="5778" xr3:uid="{B835E7BE-69D6-4F55-B1C5-1A143F87F230}" name="Column5764"/>
    <tableColumn id="5779" xr3:uid="{9BDD6131-7747-4E03-95AF-9D453C272DCD}" name="Column5765"/>
    <tableColumn id="5780" xr3:uid="{CF9C713C-B5ED-4D54-8BC2-794286C64468}" name="Column5766"/>
    <tableColumn id="5781" xr3:uid="{FEB5A7D0-7573-47BC-9A4F-375CD0C82B66}" name="Column5767"/>
    <tableColumn id="5782" xr3:uid="{7A237BF2-B8A1-461A-8E06-7811EE259305}" name="Column5768"/>
    <tableColumn id="5783" xr3:uid="{4E644A7B-DF22-4FED-B913-0D42B3CBA281}" name="Column5769"/>
    <tableColumn id="5784" xr3:uid="{E98E1B96-965B-411E-9EE8-21544E52C5A8}" name="Column5770"/>
    <tableColumn id="5785" xr3:uid="{030105A5-3BC6-43C5-94D1-A86C9C1E82F1}" name="Column5771"/>
    <tableColumn id="5786" xr3:uid="{F01EEA29-EE97-4CD3-A1B0-43697A321B6E}" name="Column5772"/>
    <tableColumn id="5787" xr3:uid="{136B608E-3E3A-4148-A71A-39AA770BF99E}" name="Column5773"/>
    <tableColumn id="5788" xr3:uid="{158D5FFC-CA79-442D-B893-01EF2AEC3D12}" name="Column5774"/>
    <tableColumn id="5789" xr3:uid="{D6C55B24-2AD9-4D92-9348-853F6E624374}" name="Column5775"/>
    <tableColumn id="5790" xr3:uid="{3C1D4A4C-FB7F-4951-9D04-41529EE3497B}" name="Column5776"/>
    <tableColumn id="5791" xr3:uid="{284486C6-6FDE-4399-96A5-1C3A199015D7}" name="Column5777"/>
    <tableColumn id="5792" xr3:uid="{168413DE-1705-47D7-8406-08477A625FEC}" name="Column5778"/>
    <tableColumn id="5793" xr3:uid="{2B1D6F66-1D69-47BB-A175-DD46884796EE}" name="Column5779"/>
    <tableColumn id="5794" xr3:uid="{9C85E2DB-E146-42A8-B57B-B0FCA7037B29}" name="Column5780"/>
    <tableColumn id="5795" xr3:uid="{091094FD-C779-4D0F-8261-7A153F0808B9}" name="Column5781"/>
    <tableColumn id="5796" xr3:uid="{B13A70A5-57B1-4322-A3FE-3C222C4F2D3D}" name="Column5782"/>
    <tableColumn id="5797" xr3:uid="{7BABC0E4-34F0-409D-A182-B76C34F29369}" name="Column5783"/>
    <tableColumn id="5798" xr3:uid="{A5B0BB3A-C593-44CA-A887-EE3C5CB19EA0}" name="Column5784"/>
    <tableColumn id="5799" xr3:uid="{570D8331-7318-47D9-AAD7-37A2C96685C9}" name="Column5785"/>
    <tableColumn id="5800" xr3:uid="{603BDC7D-5B1A-4E7C-9CBD-DC1AA35F0003}" name="Column5786"/>
    <tableColumn id="5801" xr3:uid="{4DC82E6A-248D-4AED-9B31-D1C319534563}" name="Column5787"/>
    <tableColumn id="5802" xr3:uid="{AD5CD187-F91D-457D-85F5-2F366FCF6118}" name="Column5788"/>
    <tableColumn id="5803" xr3:uid="{3C3B2B30-2E6D-4F7E-B786-98810612DE3E}" name="Column5789"/>
    <tableColumn id="5804" xr3:uid="{8D072F00-850E-4715-B372-4F469B3ABB50}" name="Column5790"/>
    <tableColumn id="5805" xr3:uid="{18263C82-99EA-4C79-A132-A3223950CE99}" name="Column5791"/>
    <tableColumn id="5806" xr3:uid="{17CDEE9E-AD8B-4D13-BDC0-03312F3C86CA}" name="Column5792"/>
    <tableColumn id="5807" xr3:uid="{AE620A9B-F850-4AAB-8F3E-4348266D5072}" name="Column5793"/>
    <tableColumn id="5808" xr3:uid="{66675CE6-DB92-4923-8C0C-D9ED953EAB74}" name="Column5794"/>
    <tableColumn id="5809" xr3:uid="{898A5415-C7F2-4C9E-AF6F-F7C0DCB5EB2D}" name="Column5795"/>
    <tableColumn id="5810" xr3:uid="{0BA2F0E8-2C53-428F-BA1F-0D4A89E1C440}" name="Column5796"/>
    <tableColumn id="5811" xr3:uid="{F24643C7-10FB-4F75-BCF4-F54A445D800F}" name="Column5797"/>
    <tableColumn id="5812" xr3:uid="{3385B5A7-0E2A-489A-9B5C-FD8E71B5ADA3}" name="Column5798"/>
    <tableColumn id="5813" xr3:uid="{BB42BBF1-22F6-49DB-AAE2-84FC14266CDF}" name="Column5799"/>
    <tableColumn id="5814" xr3:uid="{3AC6D63F-3817-4311-89A9-96E559DF8F5C}" name="Column5800"/>
    <tableColumn id="5815" xr3:uid="{B48CC009-42CC-43B6-B247-0CA8744FA765}" name="Column5801"/>
    <tableColumn id="5816" xr3:uid="{88E6C710-D532-4A48-8093-5383DAB9BEE1}" name="Column5802"/>
    <tableColumn id="5817" xr3:uid="{1252F719-EA1C-4B90-871A-26E9CFAD0E6B}" name="Column5803"/>
    <tableColumn id="5818" xr3:uid="{48173C11-EB7D-41A8-9E85-0D4F2F4BB795}" name="Column5804"/>
    <tableColumn id="5819" xr3:uid="{3B43DBFA-ED25-4380-ACD7-B0F13DEE2F59}" name="Column5805"/>
    <tableColumn id="5820" xr3:uid="{D2FD0F54-8B55-427B-9F1F-17B7CC6165ED}" name="Column5806"/>
    <tableColumn id="5821" xr3:uid="{4410E6E2-916A-46CE-A368-E146B2A704D4}" name="Column5807"/>
    <tableColumn id="5822" xr3:uid="{5029D045-3AB8-479A-8511-E2D716050CAB}" name="Column5808"/>
    <tableColumn id="5823" xr3:uid="{F3142D9F-493E-4C83-95A2-0843CEE8B8F8}" name="Column5809"/>
    <tableColumn id="5824" xr3:uid="{6C61FBDD-66D6-47B4-8EE6-CBED3747A3DA}" name="Column5810"/>
    <tableColumn id="5825" xr3:uid="{D2FC3DAF-C19A-433D-86B2-1693A759FFC8}" name="Column5811"/>
    <tableColumn id="5826" xr3:uid="{6BA789E3-E0CC-4E09-9ADC-FC029318EAA3}" name="Column5812"/>
    <tableColumn id="5827" xr3:uid="{6541D330-6DB3-4847-8559-CC804AC28E78}" name="Column5813"/>
    <tableColumn id="5828" xr3:uid="{A9D79314-9AE1-4E10-A659-E3C028156884}" name="Column5814"/>
    <tableColumn id="5829" xr3:uid="{8A3FBBD2-2D5F-412E-9628-9F936031038D}" name="Column5815"/>
    <tableColumn id="5830" xr3:uid="{C148A8A7-7A99-4EB2-933E-111904F78F50}" name="Column5816"/>
    <tableColumn id="5831" xr3:uid="{8D3FE567-4D9E-4B27-A9AC-7401B3448E15}" name="Column5817"/>
    <tableColumn id="5832" xr3:uid="{1710FEAE-B7CD-46EE-8595-0EFD9681E1A7}" name="Column5818"/>
    <tableColumn id="5833" xr3:uid="{DF27344A-D77A-4A4D-9857-826894A84C49}" name="Column5819"/>
    <tableColumn id="5834" xr3:uid="{B6A77DFE-E6A4-4BB7-BBF5-A587F0CD275C}" name="Column5820"/>
    <tableColumn id="5835" xr3:uid="{6458B050-F6F0-41F5-8CCB-EA4122BF3C8A}" name="Column5821"/>
    <tableColumn id="5836" xr3:uid="{C0ED189B-60B7-4F20-AFE0-BF518B918D9D}" name="Column5822"/>
    <tableColumn id="5837" xr3:uid="{1A4AFD69-D4A6-4DBA-979F-FC2CED1E2E8D}" name="Column5823"/>
    <tableColumn id="5838" xr3:uid="{122B03A5-7299-4F4D-AD4D-33D2B4896433}" name="Column5824"/>
    <tableColumn id="5839" xr3:uid="{6CABA09D-5F1F-4F10-8E8F-E7C692DB6F3C}" name="Column5825"/>
    <tableColumn id="5840" xr3:uid="{3B255F64-62BD-4973-BFEA-72EE51766F0D}" name="Column5826"/>
    <tableColumn id="5841" xr3:uid="{A913E6BA-B0CE-4DE1-9710-7167254A8A00}" name="Column5827"/>
    <tableColumn id="5842" xr3:uid="{6D499DFC-B389-4F28-942E-13940270C8D2}" name="Column5828"/>
    <tableColumn id="5843" xr3:uid="{93E7664F-ACAF-46A3-9A1B-7D9AA85183B6}" name="Column5829"/>
    <tableColumn id="5844" xr3:uid="{33583931-FF5F-4370-88FB-18CF6E6EB118}" name="Column5830"/>
    <tableColumn id="5845" xr3:uid="{60BE17B7-F413-49CC-AF69-82B7B948061C}" name="Column5831"/>
    <tableColumn id="5846" xr3:uid="{69DCA9DC-5D20-4F3D-A2F0-4F6A6C91E18F}" name="Column5832"/>
    <tableColumn id="5847" xr3:uid="{3CBFBE14-5620-4204-B4DA-0BA030570D21}" name="Column5833"/>
    <tableColumn id="5848" xr3:uid="{3077C09E-E469-4F48-A100-B65681827258}" name="Column5834"/>
    <tableColumn id="5849" xr3:uid="{837D35AD-6F8E-409D-B832-3451E107E2E7}" name="Column5835"/>
    <tableColumn id="5850" xr3:uid="{405FE903-C321-4C44-B125-E16FFAF0CB3D}" name="Column5836"/>
    <tableColumn id="5851" xr3:uid="{48F5E382-6792-44C7-8DB4-B8C6B7E88A64}" name="Column5837"/>
    <tableColumn id="5852" xr3:uid="{5F5772B7-E238-4D85-B48B-3383E621A0BA}" name="Column5838"/>
    <tableColumn id="5853" xr3:uid="{6C65C651-45AC-4419-B2CB-5D127129CB3A}" name="Column5839"/>
    <tableColumn id="5854" xr3:uid="{E13B4E86-7DAC-4EB0-A3F2-55C92C065743}" name="Column5840"/>
    <tableColumn id="5855" xr3:uid="{295FA18F-78D2-4499-90E3-4F86E92B26F3}" name="Column5841"/>
    <tableColumn id="5856" xr3:uid="{74FA9994-2774-4E83-A146-E758AF2B4610}" name="Column5842"/>
    <tableColumn id="5857" xr3:uid="{B127D7C7-A36C-4E7E-AF04-109D58D2C08D}" name="Column5843"/>
    <tableColumn id="5858" xr3:uid="{744DC3B6-847A-4428-8582-B2B8255D783F}" name="Column5844"/>
    <tableColumn id="5859" xr3:uid="{CC3E9784-650F-437D-BB8B-2DA59F1AF125}" name="Column5845"/>
    <tableColumn id="5860" xr3:uid="{9AC53E3B-6EBC-49C1-9D30-E521377A6E5B}" name="Column5846"/>
    <tableColumn id="5861" xr3:uid="{1E65DA43-4F11-4ECC-A9D1-3CFF9BEBED2F}" name="Column5847"/>
    <tableColumn id="5862" xr3:uid="{AFD7D0E0-FE57-4E4D-BD16-CD3B986D2EE9}" name="Column5848"/>
    <tableColumn id="5863" xr3:uid="{928E2563-0E54-4B15-8A11-83A6A440B232}" name="Column5849"/>
    <tableColumn id="5864" xr3:uid="{D6A8F112-00B2-4BFA-8DDB-885FC6BD780C}" name="Column5850"/>
    <tableColumn id="5865" xr3:uid="{140D8169-B254-42E3-A7D5-6CF78474C0D9}" name="Column5851"/>
    <tableColumn id="5866" xr3:uid="{162409CD-CF7D-4835-95F1-924AB904FDE5}" name="Column5852"/>
    <tableColumn id="5867" xr3:uid="{6181F763-840D-48BB-AC44-5F64AC71A202}" name="Column5853"/>
    <tableColumn id="5868" xr3:uid="{F74F80E5-AE3F-4F6D-BEE9-59971A4839D7}" name="Column5854"/>
    <tableColumn id="5869" xr3:uid="{EA29A6C3-45A8-4F91-AA4D-396AD22C3C40}" name="Column5855"/>
    <tableColumn id="5870" xr3:uid="{4C93ABAC-D855-4E3F-99EC-F1B4F2B4AD69}" name="Column5856"/>
    <tableColumn id="5871" xr3:uid="{2B1AAC5C-D9FA-4C96-BDB3-24EE3A5D69FC}" name="Column5857"/>
    <tableColumn id="5872" xr3:uid="{64FB6006-B203-4D47-989E-1BC4C6B99FB1}" name="Column5858"/>
    <tableColumn id="5873" xr3:uid="{49FF2619-73DE-44CF-8AC6-50995FF6FD42}" name="Column5859"/>
    <tableColumn id="5874" xr3:uid="{D4A35F06-C535-440C-B0A3-46E2CD3E1299}" name="Column5860"/>
    <tableColumn id="5875" xr3:uid="{8AA5CFFF-FADB-4187-A5DF-67615F95B8D4}" name="Column5861"/>
    <tableColumn id="5876" xr3:uid="{01E76A89-E64C-427C-96B7-B7D30F444893}" name="Column5862"/>
    <tableColumn id="5877" xr3:uid="{D77C1DE8-AD78-45DA-B8C7-B855F76CF7A0}" name="Column5863"/>
    <tableColumn id="5878" xr3:uid="{527AAD10-A5DF-45C8-AB6D-03DC91D21608}" name="Column5864"/>
    <tableColumn id="5879" xr3:uid="{2670C1B7-EC69-41F5-8DBD-33B555ACA91C}" name="Column5865"/>
    <tableColumn id="5880" xr3:uid="{5AEA7F5F-A2B5-47E4-A425-06216E1A91CA}" name="Column5866"/>
    <tableColumn id="5881" xr3:uid="{2865BF30-AC00-4AA2-8913-132DA536A4E6}" name="Column5867"/>
    <tableColumn id="5882" xr3:uid="{25877EEC-9D3D-4C69-9666-1F3C2D2D0D91}" name="Column5868"/>
    <tableColumn id="5883" xr3:uid="{A6551B36-4573-480D-AA30-5BBC648379F7}" name="Column5869"/>
    <tableColumn id="5884" xr3:uid="{BF097F00-F69F-4BE6-B6D2-1B605D5F8795}" name="Column5870"/>
    <tableColumn id="5885" xr3:uid="{A08802B8-B5BB-4792-B802-BE4BA7651045}" name="Column5871"/>
    <tableColumn id="5886" xr3:uid="{CAAF699B-540A-4C8F-A674-304AD0A90985}" name="Column5872"/>
    <tableColumn id="5887" xr3:uid="{194D3503-5E08-4749-97F4-67647B71BED9}" name="Column5873"/>
    <tableColumn id="5888" xr3:uid="{1F6471A0-6577-49E5-B5F9-9BE5056CB3A9}" name="Column5874"/>
    <tableColumn id="5889" xr3:uid="{146CD44F-A070-416E-8214-246A1186E56F}" name="Column5875"/>
    <tableColumn id="5890" xr3:uid="{99B47D3F-84DE-45D4-B86D-844FF8B2EC44}" name="Column5876"/>
    <tableColumn id="5891" xr3:uid="{D19D8CC0-19D8-479D-AF79-7A6361079EAF}" name="Column5877"/>
    <tableColumn id="5892" xr3:uid="{08922AFC-23B4-4402-A354-1AAEC4178A4F}" name="Column5878"/>
    <tableColumn id="5893" xr3:uid="{7EEE0E05-6776-4232-9C0A-FF424B3A3F6D}" name="Column5879"/>
    <tableColumn id="5894" xr3:uid="{610CF82A-D572-4446-A9B7-204CE06F859D}" name="Column5880"/>
    <tableColumn id="5895" xr3:uid="{05FB8A67-7318-4516-BEA3-AC215EA5EFB1}" name="Column5881"/>
    <tableColumn id="5896" xr3:uid="{98E092CB-DFC3-4BD9-9E91-5C3EFB8B70D8}" name="Column5882"/>
    <tableColumn id="5897" xr3:uid="{2945D556-A750-4152-A651-E65C923EAF8F}" name="Column5883"/>
    <tableColumn id="5898" xr3:uid="{9C988B54-A21C-4FC5-8A6D-B30C4320C2D8}" name="Column5884"/>
    <tableColumn id="5899" xr3:uid="{B836C8F5-78CA-45C1-BF54-971554B8D391}" name="Column5885"/>
    <tableColumn id="5900" xr3:uid="{CD8019D6-F0DB-4C51-9864-9D43AC7C2E8A}" name="Column5886"/>
    <tableColumn id="5901" xr3:uid="{83402999-B287-4A28-9423-15D666961BA4}" name="Column5887"/>
    <tableColumn id="5902" xr3:uid="{7F777191-2EEF-4627-8B89-ECAAC37B2536}" name="Column5888"/>
    <tableColumn id="5903" xr3:uid="{30AC9BE2-0015-4F94-97D3-E28DBA653E15}" name="Column5889"/>
    <tableColumn id="5904" xr3:uid="{5CE46F70-EC1A-4134-9A3F-44B60F7B61D5}" name="Column5890"/>
    <tableColumn id="5905" xr3:uid="{2DDC2640-25E6-48BD-A567-7155B1778856}" name="Column5891"/>
    <tableColumn id="5906" xr3:uid="{4F2BC29F-1A0D-4BF8-9BFA-10DFEC898725}" name="Column5892"/>
    <tableColumn id="5907" xr3:uid="{BA6F30DB-F363-4C64-8464-54FF22DCECF4}" name="Column5893"/>
    <tableColumn id="5908" xr3:uid="{8FB71AFA-2EE4-4AEA-A5B6-9DFF49F0C59B}" name="Column5894"/>
    <tableColumn id="5909" xr3:uid="{0A265106-01D3-4DDD-85F3-F5C8E89CD92E}" name="Column5895"/>
    <tableColumn id="5910" xr3:uid="{39405C05-D832-4FDD-A051-897A8169506B}" name="Column5896"/>
    <tableColumn id="5911" xr3:uid="{B68C628F-7199-4CEB-8D89-C10E1BF964A5}" name="Column5897"/>
    <tableColumn id="5912" xr3:uid="{65325992-5C1C-4DCE-BAA2-670FC068E7D6}" name="Column5898"/>
    <tableColumn id="5913" xr3:uid="{D6110E37-5B8B-4CD4-98E9-FC368D5361D7}" name="Column5899"/>
    <tableColumn id="5914" xr3:uid="{3BBC738E-BD4D-43AC-9116-B9B52F286540}" name="Column5900"/>
    <tableColumn id="5915" xr3:uid="{C63EF63E-4666-43F0-B718-CAEA631F24DB}" name="Column5901"/>
    <tableColumn id="5916" xr3:uid="{282D7F28-43B0-4793-BCC7-F85DE08C0C7A}" name="Column5902"/>
    <tableColumn id="5917" xr3:uid="{1EE99840-3EBE-446F-81C7-2F40009374C5}" name="Column5903"/>
    <tableColumn id="5918" xr3:uid="{278D4D62-CFC6-4191-91E8-D43CE5CD4CC9}" name="Column5904"/>
    <tableColumn id="5919" xr3:uid="{6E4487D0-CC5B-4583-AC00-9B720CF3ECB9}" name="Column5905"/>
    <tableColumn id="5920" xr3:uid="{BB2285FA-14D5-44D1-B179-9169E482F12E}" name="Column5906"/>
    <tableColumn id="5921" xr3:uid="{9B5AA23F-1E1C-4297-A944-3209BA9F45EA}" name="Column5907"/>
    <tableColumn id="5922" xr3:uid="{DEAECB8D-DA04-4F02-9EF1-1D928AB65AA1}" name="Column5908"/>
    <tableColumn id="5923" xr3:uid="{9C4F2B73-FC6D-4898-B80D-883BA19952C7}" name="Column5909"/>
    <tableColumn id="5924" xr3:uid="{067D2F01-3447-47F3-B0C5-885F638EBD47}" name="Column5910"/>
    <tableColumn id="5925" xr3:uid="{D424DBB0-7252-45A3-A473-5C0EA5ED894F}" name="Column5911"/>
    <tableColumn id="5926" xr3:uid="{BDA4CF98-D192-47DB-A0DA-3E65C8C2867F}" name="Column5912"/>
    <tableColumn id="5927" xr3:uid="{CC3AC7F5-B120-4926-B2FB-FBEB7A9268BF}" name="Column5913"/>
    <tableColumn id="5928" xr3:uid="{4F8F9BD9-0D5F-4C6A-B796-8BB0F886C2CC}" name="Column5914"/>
    <tableColumn id="5929" xr3:uid="{560D8CFF-C74A-4E57-8368-0AC089D02100}" name="Column5915"/>
    <tableColumn id="5930" xr3:uid="{C37DE152-2909-4735-BECA-4C3991DD52ED}" name="Column5916"/>
    <tableColumn id="5931" xr3:uid="{B063596B-5630-481A-B5A1-3BD7567B9D8E}" name="Column5917"/>
    <tableColumn id="5932" xr3:uid="{B8DB9682-0522-4CA7-AB96-8E2CD6BA4D4B}" name="Column5918"/>
    <tableColumn id="5933" xr3:uid="{542C2646-59C1-4152-AFAB-298DB613483E}" name="Column5919"/>
    <tableColumn id="5934" xr3:uid="{7A558B83-3AB3-4F91-B313-859232F447CE}" name="Column5920"/>
    <tableColumn id="5935" xr3:uid="{32BB5122-A69E-4020-AB81-F4FD2CAE02CC}" name="Column5921"/>
    <tableColumn id="5936" xr3:uid="{A49DCF07-C3AD-4AA0-A0BA-F3FBFB614A2B}" name="Column5922"/>
    <tableColumn id="5937" xr3:uid="{278446A7-5215-40E9-A6C1-B30B16837B17}" name="Column5923"/>
    <tableColumn id="5938" xr3:uid="{1B2F66C7-10FE-45C7-86CA-BD5F5264B561}" name="Column5924"/>
    <tableColumn id="5939" xr3:uid="{530B3201-000D-4267-A4FE-BD838E8FAF72}" name="Column5925"/>
    <tableColumn id="5940" xr3:uid="{2EC80ED4-7C13-45FA-9A63-F708946637A3}" name="Column5926"/>
    <tableColumn id="5941" xr3:uid="{D0EA3921-0312-4FD6-8406-BDF43D7ECF47}" name="Column5927"/>
    <tableColumn id="5942" xr3:uid="{82BE1D6C-70B6-45F1-A6C4-0B97AACE6C25}" name="Column5928"/>
    <tableColumn id="5943" xr3:uid="{DF0196C7-6801-45C5-B25C-A9E543CC2D09}" name="Column5929"/>
    <tableColumn id="5944" xr3:uid="{17C07A95-698E-4532-83FE-680C5DBBC0B9}" name="Column5930"/>
    <tableColumn id="5945" xr3:uid="{048478AF-92DD-4473-AB3F-604E0133F27B}" name="Column5931"/>
    <tableColumn id="5946" xr3:uid="{BBA4A33F-E1CA-458E-9FCC-A7012150EEFE}" name="Column5932"/>
    <tableColumn id="5947" xr3:uid="{C58C196D-138B-4348-9BE9-306F4AB65041}" name="Column5933"/>
    <tableColumn id="5948" xr3:uid="{1D3F0335-093D-4258-8267-4D50B8FB4D4D}" name="Column5934"/>
    <tableColumn id="5949" xr3:uid="{09367861-229F-44CF-A044-2F36AE968059}" name="Column5935"/>
    <tableColumn id="5950" xr3:uid="{44F71725-2FFE-4B05-8A72-46BB26C7CD2F}" name="Column5936"/>
    <tableColumn id="5951" xr3:uid="{178AEDA7-6784-42F8-8125-A70848EF045D}" name="Column5937"/>
    <tableColumn id="5952" xr3:uid="{40F4E993-849B-4A1E-BA94-E5C1B4D198DB}" name="Column5938"/>
    <tableColumn id="5953" xr3:uid="{BD8AD86A-F0AC-4325-BA58-BBE8466497FF}" name="Column5939"/>
    <tableColumn id="5954" xr3:uid="{A517CD05-F085-4DA2-A5A9-9C6FD9AE8FD2}" name="Column5940"/>
    <tableColumn id="5955" xr3:uid="{D2F4700A-8596-4FE3-B988-277FF4AFB77C}" name="Column5941"/>
    <tableColumn id="5956" xr3:uid="{66F842FB-C4D9-4815-85F5-7D3FB7E6C0D3}" name="Column5942"/>
    <tableColumn id="5957" xr3:uid="{470F52AF-0FC8-43DA-B159-BD58F4CB73A2}" name="Column5943"/>
    <tableColumn id="5958" xr3:uid="{34E0D745-674B-4314-B96C-6CAD83B438C5}" name="Column5944"/>
    <tableColumn id="5959" xr3:uid="{CC847EFD-FFA4-4D0F-BE80-DFB09BCCEE04}" name="Column5945"/>
    <tableColumn id="5960" xr3:uid="{02CABEAA-3526-4BF9-B152-F765C6FFFDFA}" name="Column5946"/>
    <tableColumn id="5961" xr3:uid="{0D7EBF4B-0203-4AF8-95D0-4476989ECE03}" name="Column5947"/>
    <tableColumn id="5962" xr3:uid="{3F1CFF37-D636-44FA-B072-67BDB56866DE}" name="Column5948"/>
    <tableColumn id="5963" xr3:uid="{2E39C29F-826E-4F99-9437-CA588D0BCC8F}" name="Column5949"/>
    <tableColumn id="5964" xr3:uid="{47189AD2-2A02-4D96-98C7-8BBB023D4FC2}" name="Column5950"/>
    <tableColumn id="5965" xr3:uid="{2797135D-FCA7-42AE-84D7-FC6A840BA280}" name="Column5951"/>
    <tableColumn id="5966" xr3:uid="{95AD4DC3-4624-49A3-BFC2-06BBA085B7C5}" name="Column5952"/>
    <tableColumn id="5967" xr3:uid="{A3D27CA8-2597-4259-A0BA-4DD3483F6221}" name="Column5953"/>
    <tableColumn id="5968" xr3:uid="{0C651EEF-72B8-4D3F-8B40-488D2DA1443F}" name="Column5954"/>
    <tableColumn id="5969" xr3:uid="{6A345889-E52A-4B72-A3B3-35B400525540}" name="Column5955"/>
    <tableColumn id="5970" xr3:uid="{0151AF1E-182A-492A-82A0-8C1897A88747}" name="Column5956"/>
    <tableColumn id="5971" xr3:uid="{75F2C691-D4BA-422D-AAF1-44EEB9576C4B}" name="Column5957"/>
    <tableColumn id="5972" xr3:uid="{BF51BAC8-4B04-4848-80F6-BB702A015BE1}" name="Column5958"/>
    <tableColumn id="5973" xr3:uid="{F881C678-4104-4046-8CCF-83B4DCE223B0}" name="Column5959"/>
    <tableColumn id="5974" xr3:uid="{69B690CF-C182-4B12-8325-9AA8CA8338FC}" name="Column5960"/>
    <tableColumn id="5975" xr3:uid="{19A93F2C-4CA2-46D6-9233-AF96F5DA72D5}" name="Column5961"/>
    <tableColumn id="5976" xr3:uid="{66A8CC65-5197-4489-98EF-0047C3351A15}" name="Column5962"/>
    <tableColumn id="5977" xr3:uid="{264D045F-E24D-4C76-8A62-FCD44F54BECB}" name="Column5963"/>
    <tableColumn id="5978" xr3:uid="{06917578-9931-4C59-A9FF-76A76E684A33}" name="Column5964"/>
    <tableColumn id="5979" xr3:uid="{0B936842-DB9E-465F-AFB6-1CEAE3A16CD0}" name="Column5965"/>
    <tableColumn id="5980" xr3:uid="{A7ECC471-D3D7-4BC0-A0C8-39CFDC1FE864}" name="Column5966"/>
    <tableColumn id="5981" xr3:uid="{D9F3727E-7E97-4C12-9F8C-BECD745A0A08}" name="Column5967"/>
    <tableColumn id="5982" xr3:uid="{60C23384-3D0F-4920-A79B-F4A0D6EDE8BA}" name="Column5968"/>
    <tableColumn id="5983" xr3:uid="{704D0F6D-F834-425B-97A5-5F54A443EA4B}" name="Column5969"/>
    <tableColumn id="5984" xr3:uid="{58FD8E79-0CC9-4887-B875-044D25DC0379}" name="Column5970"/>
    <tableColumn id="5985" xr3:uid="{836CB7CB-3951-4EBE-B87F-702FD13DDC1C}" name="Column5971"/>
    <tableColumn id="5986" xr3:uid="{76CE531A-84CB-4B0A-B52A-6B85E5D7D847}" name="Column5972"/>
    <tableColumn id="5987" xr3:uid="{2B1E7F11-B7C6-49E6-911C-CD7819974734}" name="Column5973"/>
    <tableColumn id="5988" xr3:uid="{47A33A1F-4C46-4FDF-BCA8-C4905042BD87}" name="Column5974"/>
    <tableColumn id="5989" xr3:uid="{71C4F1E2-D2DF-47D3-AB33-32B364CD9901}" name="Column5975"/>
    <tableColumn id="5990" xr3:uid="{156F05DA-EA95-4B8A-BFC5-9B2980ECEE7A}" name="Column5976"/>
    <tableColumn id="5991" xr3:uid="{738B1CE6-5543-4E64-B37D-CFA88A26A880}" name="Column5977"/>
    <tableColumn id="5992" xr3:uid="{0B7B59ED-35B6-4F9A-B49F-889EBC096782}" name="Column5978"/>
    <tableColumn id="5993" xr3:uid="{8920C9F3-5B5E-4C90-94CF-957E8A0C3E0A}" name="Column5979"/>
    <tableColumn id="5994" xr3:uid="{FB73F99A-E881-455B-875F-8C7EFD5CCF34}" name="Column5980"/>
    <tableColumn id="5995" xr3:uid="{73618169-64EE-45D0-A2B4-1F71DDDB4310}" name="Column5981"/>
    <tableColumn id="5996" xr3:uid="{1B667C10-B3CA-4FF5-BA0C-85236F28F369}" name="Column5982"/>
    <tableColumn id="5997" xr3:uid="{F59A378A-AADE-40C5-9D1D-7BA3F2389247}" name="Column5983"/>
    <tableColumn id="5998" xr3:uid="{B88DCDD7-07F8-4F50-AC95-83CD82108A14}" name="Column5984"/>
    <tableColumn id="5999" xr3:uid="{47ED35FF-A07B-4C8D-941D-36F8F7C1073A}" name="Column5985"/>
    <tableColumn id="6000" xr3:uid="{3E8C84B5-5677-4B54-8C19-16C1BF66549D}" name="Column5986"/>
    <tableColumn id="6001" xr3:uid="{DB93151A-A0FB-4B68-A188-E337AB179FB2}" name="Column5987"/>
    <tableColumn id="6002" xr3:uid="{71403A45-988B-4F87-A786-8949693FAA5A}" name="Column5988"/>
    <tableColumn id="6003" xr3:uid="{96C60EB9-0A0F-4478-956B-E446FE2DC70A}" name="Column5989"/>
    <tableColumn id="6004" xr3:uid="{A17A10EF-1F24-4F85-961D-2E80EE087F61}" name="Column5990"/>
    <tableColumn id="6005" xr3:uid="{CCAD6E06-1A0E-4B1B-8600-18A457023A91}" name="Column5991"/>
    <tableColumn id="6006" xr3:uid="{A773D689-9BFB-4BA9-AC1E-E2EE9E9BC24B}" name="Column5992"/>
    <tableColumn id="6007" xr3:uid="{4E846C63-5E4D-4D4C-B9C6-8053358DADCF}" name="Column5993"/>
    <tableColumn id="6008" xr3:uid="{4C45BC5A-0B6B-4DD2-8D6B-A2F01746C080}" name="Column5994"/>
    <tableColumn id="6009" xr3:uid="{9841D3EC-983D-433B-9EFC-CC179DB6CD15}" name="Column5995"/>
    <tableColumn id="6010" xr3:uid="{8E40681B-0104-4F02-9BC8-126E54B989CB}" name="Column5996"/>
    <tableColumn id="6011" xr3:uid="{79400585-8C0D-49AA-8470-EEDE637E1C97}" name="Column5997"/>
    <tableColumn id="6012" xr3:uid="{C6535D0B-024A-4EA6-8593-87D373DA7B1B}" name="Column5998"/>
    <tableColumn id="6013" xr3:uid="{DC248E96-E12A-4E1F-89CD-193303BDB767}" name="Column5999"/>
    <tableColumn id="6014" xr3:uid="{A2924B95-B8FA-41BC-AAAB-5F368872E199}" name="Column6000"/>
    <tableColumn id="6015" xr3:uid="{7DF81C0B-E123-4326-AD7B-48903B7CE61B}" name="Column6001"/>
    <tableColumn id="6016" xr3:uid="{C615B5D6-7E0D-4F37-A3C6-88186FB535C7}" name="Column6002"/>
    <tableColumn id="6017" xr3:uid="{DCD05503-CDD2-4FD0-8799-3670631FB8D1}" name="Column6003"/>
    <tableColumn id="6018" xr3:uid="{11B4809B-A2FA-48F8-ADB3-298C90669879}" name="Column6004"/>
    <tableColumn id="6019" xr3:uid="{46248A45-21C3-477E-8113-A47C2EDA5F7E}" name="Column6005"/>
    <tableColumn id="6020" xr3:uid="{96C9F76B-130E-428F-AD53-29C0BE3BCC5D}" name="Column6006"/>
    <tableColumn id="6021" xr3:uid="{63734F89-D154-48A0-9915-FB078EA26F5A}" name="Column6007"/>
    <tableColumn id="6022" xr3:uid="{38A19249-E644-4395-B75E-0D9411A7EA5C}" name="Column6008"/>
    <tableColumn id="6023" xr3:uid="{3AB111A7-C988-489E-B701-D0ED00C3E4DA}" name="Column6009"/>
    <tableColumn id="6024" xr3:uid="{D120226F-5774-4D12-830B-8013345F2154}" name="Column6010"/>
    <tableColumn id="6025" xr3:uid="{E9E08770-DB57-44EE-BEFD-10D1C2E60E38}" name="Column6011"/>
    <tableColumn id="6026" xr3:uid="{9B82BD83-D0E4-423B-9425-5320B25FA857}" name="Column6012"/>
    <tableColumn id="6027" xr3:uid="{CF7941E0-99F0-4E9F-9CF4-63BD66770806}" name="Column6013"/>
    <tableColumn id="6028" xr3:uid="{788F8880-5094-43C7-B698-89851F2B2E36}" name="Column6014"/>
    <tableColumn id="6029" xr3:uid="{C38DB387-7FFC-4667-846C-CF1F67FCA236}" name="Column6015"/>
    <tableColumn id="6030" xr3:uid="{25FBA2DB-318E-42A9-8B6D-23561D04C7B0}" name="Column6016"/>
    <tableColumn id="6031" xr3:uid="{0E0E322A-18F8-4BD4-9669-DEC5F79A0A95}" name="Column6017"/>
    <tableColumn id="6032" xr3:uid="{7B52C582-87E3-42CD-A6ED-AABA9B437B41}" name="Column6018"/>
    <tableColumn id="6033" xr3:uid="{12495173-E3CC-482B-B948-CBFD15ED63CA}" name="Column6019"/>
    <tableColumn id="6034" xr3:uid="{56D2BA9E-E072-4387-B4E1-50A8B5B6A31C}" name="Column6020"/>
    <tableColumn id="6035" xr3:uid="{5A34A632-1032-4E95-B481-A13865AC67D0}" name="Column6021"/>
    <tableColumn id="6036" xr3:uid="{0FEBE351-6B22-4477-9466-70E4F7A1461D}" name="Column6022"/>
    <tableColumn id="6037" xr3:uid="{7B59CA71-93FD-4690-A325-8EA8ACD52EF4}" name="Column6023"/>
    <tableColumn id="6038" xr3:uid="{9B94ECCE-365C-40F3-9656-46B3E0878925}" name="Column6024"/>
    <tableColumn id="6039" xr3:uid="{9F95F264-A710-493B-91A6-D9A09D067971}" name="Column6025"/>
    <tableColumn id="6040" xr3:uid="{7C506996-628B-4E62-A103-4D85E86D33B4}" name="Column6026"/>
    <tableColumn id="6041" xr3:uid="{C2A834F2-672E-4048-B441-9F9B86AA2F54}" name="Column6027"/>
    <tableColumn id="6042" xr3:uid="{7C150E35-3A12-46E9-BB41-6D21225E4C1F}" name="Column6028"/>
    <tableColumn id="6043" xr3:uid="{A723AABF-C491-4E60-95E0-1B69E2A3474F}" name="Column6029"/>
    <tableColumn id="6044" xr3:uid="{43EE6AAE-B673-4F83-A858-444992767490}" name="Column6030"/>
    <tableColumn id="6045" xr3:uid="{9B3130F1-9EAD-432B-85F0-BACFB9C69689}" name="Column6031"/>
    <tableColumn id="6046" xr3:uid="{7372E4D8-4660-4DFE-BFFF-8175E9F59A97}" name="Column6032"/>
    <tableColumn id="6047" xr3:uid="{EC2A035B-C94B-4BA7-9FD9-5886F1EF9455}" name="Column6033"/>
    <tableColumn id="6048" xr3:uid="{7BB00A5D-2D27-4F24-960C-C291FA294E94}" name="Column6034"/>
    <tableColumn id="6049" xr3:uid="{C22B4A39-0D47-4C26-AEDA-2F57BA3A04B4}" name="Column6035"/>
    <tableColumn id="6050" xr3:uid="{10AA467A-1A40-4A3C-BEF2-52D170BC7A58}" name="Column6036"/>
    <tableColumn id="6051" xr3:uid="{99AF93C0-FA1B-44EE-B99E-BB37E7888774}" name="Column6037"/>
    <tableColumn id="6052" xr3:uid="{B923657A-D9E3-4025-A9CD-129EB4AF1FCB}" name="Column6038"/>
    <tableColumn id="6053" xr3:uid="{7D682D23-A3BE-4425-BB09-1091AA6BEC2C}" name="Column6039"/>
    <tableColumn id="6054" xr3:uid="{4D92E662-58D4-4AC7-8836-3720397CA1B3}" name="Column6040"/>
    <tableColumn id="6055" xr3:uid="{5FAE7303-7460-4D7A-A484-89C891C56C33}" name="Column6041"/>
    <tableColumn id="6056" xr3:uid="{C725D213-1639-43F3-9B4A-C1CDD5263D42}" name="Column6042"/>
    <tableColumn id="6057" xr3:uid="{48DF9A89-5B77-4095-A3ED-291D02BF8C37}" name="Column6043"/>
    <tableColumn id="6058" xr3:uid="{78B61A6D-DCB7-479E-9FBB-1E4288261F18}" name="Column6044"/>
    <tableColumn id="6059" xr3:uid="{1D5EC1BB-2810-4825-927A-639B4BB532BC}" name="Column6045"/>
    <tableColumn id="6060" xr3:uid="{34ECC652-A5D8-46EB-B04A-9AF464A8C3A2}" name="Column6046"/>
    <tableColumn id="6061" xr3:uid="{AE2AF1A9-0E64-4BDE-BAF1-93B626907074}" name="Column6047"/>
    <tableColumn id="6062" xr3:uid="{E36DF8C3-B38D-4A48-9DDE-4EABB4728FE7}" name="Column6048"/>
    <tableColumn id="6063" xr3:uid="{F15523D6-503C-4496-8D5A-3FD8B62167B8}" name="Column6049"/>
    <tableColumn id="6064" xr3:uid="{ED8C6D1E-8CE2-4FE0-A345-0EB16427CE36}" name="Column6050"/>
    <tableColumn id="6065" xr3:uid="{69DE5115-D335-46D6-85BD-861A8743B3A2}" name="Column6051"/>
    <tableColumn id="6066" xr3:uid="{93FA1F7E-E069-40CE-827F-84EAB7D7A3CD}" name="Column6052"/>
    <tableColumn id="6067" xr3:uid="{1FAAAE81-F67F-4B7D-A1DA-F5FEA7CFAFD1}" name="Column6053"/>
    <tableColumn id="6068" xr3:uid="{16BB74D4-BD3D-46DD-9E9B-E392EBB87672}" name="Column6054"/>
    <tableColumn id="6069" xr3:uid="{E69EBB27-6CB0-46B8-BCC7-ECE2CD8C8632}" name="Column6055"/>
    <tableColumn id="6070" xr3:uid="{17577A6C-CF5D-46A5-A801-013BB6674C23}" name="Column6056"/>
    <tableColumn id="6071" xr3:uid="{B5F688B5-D8B4-4746-9B6F-051FCB42B584}" name="Column6057"/>
    <tableColumn id="6072" xr3:uid="{C93CC33F-A923-48AC-B2DB-BB50E7BB8DE5}" name="Column6058"/>
    <tableColumn id="6073" xr3:uid="{1D5CD59A-F329-4973-9645-BDC73DB7D5E9}" name="Column6059"/>
    <tableColumn id="6074" xr3:uid="{97F2C69A-D577-4B77-915E-2002C9B9317D}" name="Column6060"/>
    <tableColumn id="6075" xr3:uid="{9267DBE8-75D5-4B14-9BAC-2119CED06E81}" name="Column6061"/>
    <tableColumn id="6076" xr3:uid="{4F44E66E-625C-4CDB-8EFD-A18C0CCDAE56}" name="Column6062"/>
    <tableColumn id="6077" xr3:uid="{F273A909-A62F-4682-9C5E-F0D3F87668DA}" name="Column6063"/>
    <tableColumn id="6078" xr3:uid="{11AFA737-20F7-42FE-BFD5-D6950378C01B}" name="Column6064"/>
    <tableColumn id="6079" xr3:uid="{39FE3EAA-B3FF-4CF6-976E-A1BE3DB5EDCB}" name="Column6065"/>
    <tableColumn id="6080" xr3:uid="{CB273B1D-2E28-49CD-B8CD-392C44DAB837}" name="Column6066"/>
    <tableColumn id="6081" xr3:uid="{EC689000-1E78-464F-A5DC-AD387578762D}" name="Column6067"/>
    <tableColumn id="6082" xr3:uid="{3C23927C-72F4-42E7-AF43-D4C8CFF88031}" name="Column6068"/>
    <tableColumn id="6083" xr3:uid="{A9C4A3AA-9D1C-4265-9787-CCBD844685AC}" name="Column6069"/>
    <tableColumn id="6084" xr3:uid="{EDEC4B94-830D-4E7E-AE2F-0876C9B1A8DC}" name="Column6070"/>
    <tableColumn id="6085" xr3:uid="{98D08B60-BDF9-466A-8CE5-91188F182574}" name="Column6071"/>
    <tableColumn id="6086" xr3:uid="{BC79818A-0330-4238-B5FA-3C740B7D1664}" name="Column6072"/>
    <tableColumn id="6087" xr3:uid="{404583B6-2881-483E-B9AF-C9103FF3F6C4}" name="Column6073"/>
    <tableColumn id="6088" xr3:uid="{AD082D99-CFF8-4DC8-AED5-1B5173510AE8}" name="Column6074"/>
    <tableColumn id="6089" xr3:uid="{BA21EEFF-DB6E-4C75-A29C-5A13913F8B9F}" name="Column6075"/>
    <tableColumn id="6090" xr3:uid="{590CF8E6-2A30-409A-83CC-0DC61BA1EA63}" name="Column6076"/>
    <tableColumn id="6091" xr3:uid="{11413540-068B-4544-A84A-EE5683D26C1C}" name="Column6077"/>
    <tableColumn id="6092" xr3:uid="{3489B233-B21C-4E56-8B15-DCDAE6690031}" name="Column6078"/>
    <tableColumn id="6093" xr3:uid="{A97A8DFB-F763-453B-A041-12A5961BED02}" name="Column6079"/>
    <tableColumn id="6094" xr3:uid="{8ECE8BE0-51F7-4CE5-A659-6AD3A62B1EA3}" name="Column6080"/>
    <tableColumn id="6095" xr3:uid="{02B3BFA0-2E3B-445C-AA78-F14DD567EC92}" name="Column6081"/>
    <tableColumn id="6096" xr3:uid="{2131A7AD-ABDA-4AAB-9FA2-6053F5A22EB0}" name="Column6082"/>
    <tableColumn id="6097" xr3:uid="{5D9226CD-C3A0-4F9E-90A5-25612726CDE5}" name="Column6083"/>
    <tableColumn id="6098" xr3:uid="{98674977-EE63-43D3-BA05-3596E62848B8}" name="Column6084"/>
    <tableColumn id="6099" xr3:uid="{F74C772C-0191-44E2-B04A-7658F67247AC}" name="Column6085"/>
    <tableColumn id="6100" xr3:uid="{00F2240C-E951-46F5-AB94-E70EB53D0ADF}" name="Column6086"/>
    <tableColumn id="6101" xr3:uid="{08E914EF-FD7F-497E-A859-E7AEFC29CC67}" name="Column6087"/>
    <tableColumn id="6102" xr3:uid="{D7AC94D3-B436-4C1E-B559-95016B773B29}" name="Column6088"/>
    <tableColumn id="6103" xr3:uid="{EA813819-AEF9-4F7E-8CE7-666288DB59F3}" name="Column6089"/>
    <tableColumn id="6104" xr3:uid="{A725ECF7-B1AB-4761-8D27-D52A146A0A7B}" name="Column6090"/>
    <tableColumn id="6105" xr3:uid="{6EFAE9D1-A8B9-431A-9325-74D93481F3C6}" name="Column6091"/>
    <tableColumn id="6106" xr3:uid="{47C97443-5E21-479A-89D7-A45DC230B407}" name="Column6092"/>
    <tableColumn id="6107" xr3:uid="{DA7CEA4C-E354-4514-B230-F52077AFB9A6}" name="Column6093"/>
    <tableColumn id="6108" xr3:uid="{B2C936DF-BF71-4C3D-AB70-412DB4D44722}" name="Column6094"/>
    <tableColumn id="6109" xr3:uid="{7B108277-4152-4A0F-89C3-2B89418F4214}" name="Column6095"/>
    <tableColumn id="6110" xr3:uid="{521B099B-AAD4-4693-B370-9B41C925BAF8}" name="Column6096"/>
    <tableColumn id="6111" xr3:uid="{29C617D4-C3E6-4CBD-A05C-FFEF5DFAE3C8}" name="Column6097"/>
    <tableColumn id="6112" xr3:uid="{3922BA1C-F9D9-4F80-AD4D-2151F1FFD587}" name="Column6098"/>
    <tableColumn id="6113" xr3:uid="{A5CA6041-8657-4D18-9F39-41F72EBA9097}" name="Column6099"/>
    <tableColumn id="6114" xr3:uid="{8DDB71FD-A6B4-4FBB-9662-C5CECD5ABB2A}" name="Column6100"/>
    <tableColumn id="6115" xr3:uid="{E12720D7-2BA7-4CF7-B161-325D06D47265}" name="Column6101"/>
    <tableColumn id="6116" xr3:uid="{6D4FCF96-0FFA-4E64-A4DF-3A9BDA48330F}" name="Column6102"/>
    <tableColumn id="6117" xr3:uid="{F2C8A150-C1FE-4AA7-A2F5-612148A07A33}" name="Column6103"/>
    <tableColumn id="6118" xr3:uid="{A8A7BDF7-D845-4EAC-B6BF-F4F0F7CE1943}" name="Column6104"/>
    <tableColumn id="6119" xr3:uid="{73D8E1CF-9E65-4E05-8037-3EA0E35F8E7C}" name="Column6105"/>
    <tableColumn id="6120" xr3:uid="{DB0A91CA-FFC7-41A8-9219-9E02EE5734D5}" name="Column6106"/>
    <tableColumn id="6121" xr3:uid="{BBD769DF-067D-4920-8BE7-719507AB6A56}" name="Column6107"/>
    <tableColumn id="6122" xr3:uid="{6E406DA8-C96F-4E66-A310-3357A1835610}" name="Column6108"/>
    <tableColumn id="6123" xr3:uid="{9789B909-4550-4781-BEB4-3E0D1D28B882}" name="Column6109"/>
    <tableColumn id="6124" xr3:uid="{708BB13A-3618-4A34-A291-76484C145D49}" name="Column6110"/>
    <tableColumn id="6125" xr3:uid="{9474695F-29FD-4ADD-A50F-9B09FDED1421}" name="Column6111"/>
    <tableColumn id="6126" xr3:uid="{203E9BC0-EFF7-4F44-A023-B467AFBD8A7B}" name="Column6112"/>
    <tableColumn id="6127" xr3:uid="{E2E0AE6A-F8E9-4835-969F-2FF54A6BA3AF}" name="Column6113"/>
    <tableColumn id="6128" xr3:uid="{97A3E444-50B5-473A-B4C4-1997E2B015A3}" name="Column6114"/>
    <tableColumn id="6129" xr3:uid="{F74F177A-0FBC-4F80-B081-8B52A04D1D71}" name="Column6115"/>
    <tableColumn id="6130" xr3:uid="{915A63DC-CC2B-44FF-9360-6E8B6BF2FD26}" name="Column6116"/>
    <tableColumn id="6131" xr3:uid="{BBC555E2-B799-4E70-9EBE-7027540BC788}" name="Column6117"/>
    <tableColumn id="6132" xr3:uid="{8C3C6DFF-454D-447C-B116-E8616440B1A7}" name="Column6118"/>
    <tableColumn id="6133" xr3:uid="{38E5655C-CD5F-4EAB-9AC0-9CBF6F364D2B}" name="Column6119"/>
    <tableColumn id="6134" xr3:uid="{2039F1AA-EDCD-4DF9-AD6B-97A3B497B6A7}" name="Column6120"/>
    <tableColumn id="6135" xr3:uid="{930D75FE-71A7-4ECD-BF15-FD39C2619D23}" name="Column6121"/>
    <tableColumn id="6136" xr3:uid="{80649819-F068-4F7C-90AB-0370D9173D91}" name="Column6122"/>
    <tableColumn id="6137" xr3:uid="{E07D4543-4B3A-4D07-A982-41E10D73CDF1}" name="Column6123"/>
    <tableColumn id="6138" xr3:uid="{EC8C8449-BB25-4CC2-85A8-15BA27B5589A}" name="Column6124"/>
    <tableColumn id="6139" xr3:uid="{2A16542F-7BD2-40B7-996A-340DED4A688E}" name="Column6125"/>
    <tableColumn id="6140" xr3:uid="{24E07F2E-C733-4344-AA88-E08EC7B55A90}" name="Column6126"/>
    <tableColumn id="6141" xr3:uid="{533E1323-85DB-46C6-944B-DEF3306AB858}" name="Column6127"/>
    <tableColumn id="6142" xr3:uid="{7D026DC2-1E7F-4E48-AD32-03A642254089}" name="Column6128"/>
    <tableColumn id="6143" xr3:uid="{A1F28215-D6F4-4DA0-BE0B-B524BB64C51F}" name="Column6129"/>
    <tableColumn id="6144" xr3:uid="{542576AC-7C16-46E8-B2EE-3107CDA93953}" name="Column6130"/>
    <tableColumn id="6145" xr3:uid="{05478B8D-030B-4693-8033-274F67071146}" name="Column6131"/>
    <tableColumn id="6146" xr3:uid="{3925D938-4399-46FF-A8CC-50630D733DB1}" name="Column6132"/>
    <tableColumn id="6147" xr3:uid="{03026B0D-4B3F-4C0A-B9BF-1BACA36DAA54}" name="Column6133"/>
    <tableColumn id="6148" xr3:uid="{10B4BF6E-ACEA-4B04-937C-61A3DCF24B65}" name="Column6134"/>
    <tableColumn id="6149" xr3:uid="{EB46C9A9-D873-42FB-82C9-DBD1A82FD8D3}" name="Column6135"/>
    <tableColumn id="6150" xr3:uid="{9969FBB3-5712-46DA-8F85-D4114A4DAB82}" name="Column6136"/>
    <tableColumn id="6151" xr3:uid="{2A8A1F8C-BD7E-4C34-9DF3-4EF54CE9B9F7}" name="Column6137"/>
    <tableColumn id="6152" xr3:uid="{E87078FF-123A-4A41-81D1-897073337DEE}" name="Column6138"/>
    <tableColumn id="6153" xr3:uid="{5050D72C-FE8A-4E90-AF5D-5E3FD5D3558A}" name="Column6139"/>
    <tableColumn id="6154" xr3:uid="{24A8815A-85F2-479A-A79D-BF94DE82758C}" name="Column6140"/>
    <tableColumn id="6155" xr3:uid="{60E5A715-899E-4C83-B215-0BABAE674C37}" name="Column6141"/>
    <tableColumn id="6156" xr3:uid="{C99AA7E4-7E4F-494E-94E0-E88488152EC4}" name="Column6142"/>
    <tableColumn id="6157" xr3:uid="{A01F5BCD-74A7-477D-83FE-FE1826428F2D}" name="Column6143"/>
    <tableColumn id="6158" xr3:uid="{4564E0FF-EE30-4E99-BC65-9227F5937A3E}" name="Column6144"/>
    <tableColumn id="6159" xr3:uid="{7616B0C6-7662-402B-A778-392F940B8761}" name="Column6145"/>
    <tableColumn id="6160" xr3:uid="{96E5E080-09EA-4A2C-9718-962BD9E1E0B4}" name="Column6146"/>
    <tableColumn id="6161" xr3:uid="{A13ABAE7-AAE2-4AFF-BC6F-2C3D0B3C3D3E}" name="Column6147"/>
    <tableColumn id="6162" xr3:uid="{AB6DDD2A-9036-4A0E-93FB-C0BA531FD025}" name="Column6148"/>
    <tableColumn id="6163" xr3:uid="{34E86447-B41B-49BD-8153-3F52A78A707F}" name="Column6149"/>
    <tableColumn id="6164" xr3:uid="{7CBC0020-983B-429E-A0A1-AD42B18793A1}" name="Column6150"/>
    <tableColumn id="6165" xr3:uid="{79B94CEA-927D-4D5D-A4FA-EFF73458E67E}" name="Column6151"/>
    <tableColumn id="6166" xr3:uid="{2D7668A9-1582-410B-9DFD-17A00898E458}" name="Column6152"/>
    <tableColumn id="6167" xr3:uid="{7A17C93D-AC67-4A09-900C-BD730D02F3E6}" name="Column6153"/>
    <tableColumn id="6168" xr3:uid="{01A72E4C-3FCE-42CB-BDEE-F4BAB40F2EEA}" name="Column6154"/>
    <tableColumn id="6169" xr3:uid="{0A63E77F-3D95-4AD9-9956-A9697C91CCEA}" name="Column6155"/>
    <tableColumn id="6170" xr3:uid="{7D28B564-0ACE-41CB-A988-0F75E704BA8B}" name="Column6156"/>
    <tableColumn id="6171" xr3:uid="{C6AE3409-EB23-4528-907E-31A2944310EE}" name="Column6157"/>
    <tableColumn id="6172" xr3:uid="{B8A17AC7-0F0F-4A30-8BAA-974382371D3F}" name="Column6158"/>
    <tableColumn id="6173" xr3:uid="{044C685C-83AB-41F8-A0C8-33E2F69F4382}" name="Column6159"/>
    <tableColumn id="6174" xr3:uid="{E2615567-EA49-457F-A00A-2C5634A0B1D4}" name="Column6160"/>
    <tableColumn id="6175" xr3:uid="{3878D5A9-BF5C-4E82-A893-3E28FBA71D8B}" name="Column6161"/>
    <tableColumn id="6176" xr3:uid="{E9A57323-3ADD-4E5C-8E71-6248B1ECD218}" name="Column6162"/>
    <tableColumn id="6177" xr3:uid="{5462AFCB-5DBA-4545-AB19-0D4F5185DF34}" name="Column6163"/>
    <tableColumn id="6178" xr3:uid="{9C56458C-45D5-43ED-9949-730DD06E4CFE}" name="Column6164"/>
    <tableColumn id="6179" xr3:uid="{6E5D927D-65ED-48C1-817A-347A749B8F1B}" name="Column6165"/>
    <tableColumn id="6180" xr3:uid="{0ECDE376-A34A-4DE2-942B-419A1B312799}" name="Column6166"/>
    <tableColumn id="6181" xr3:uid="{1841DA64-2983-45DD-B9E6-D3FFA726B03A}" name="Column6167"/>
    <tableColumn id="6182" xr3:uid="{AD1D0167-6525-4E0C-8FF1-109B61A15E24}" name="Column6168"/>
    <tableColumn id="6183" xr3:uid="{B8254633-EE22-44D4-83D3-651171C0DD0F}" name="Column6169"/>
    <tableColumn id="6184" xr3:uid="{97B4F71E-C81F-439D-A55B-CD13A4E20217}" name="Column6170"/>
    <tableColumn id="6185" xr3:uid="{68F6D808-3C0F-40E5-A958-E7D3E3CF3D3B}" name="Column6171"/>
    <tableColumn id="6186" xr3:uid="{82866BE7-FD12-4905-AEF4-35D50C8B51C9}" name="Column6172"/>
    <tableColumn id="6187" xr3:uid="{3C21DF39-C20C-4A23-87D9-7330220AC34A}" name="Column6173"/>
    <tableColumn id="6188" xr3:uid="{698910AE-EB9D-465E-AD5B-BD01952B9613}" name="Column6174"/>
    <tableColumn id="6189" xr3:uid="{34BF36E2-D27F-4DC0-AD03-7E149DE9C7F3}" name="Column6175"/>
    <tableColumn id="6190" xr3:uid="{2C1A0583-6226-410A-A947-AEF3943E276B}" name="Column6176"/>
    <tableColumn id="6191" xr3:uid="{2480083F-86E0-4842-BA55-B6AFDEC7E652}" name="Column6177"/>
    <tableColumn id="6192" xr3:uid="{B8CC2006-C236-4156-A39D-D7C0C109D68E}" name="Column6178"/>
    <tableColumn id="6193" xr3:uid="{A5CF1A2A-5EA3-4071-A310-0425B0D58A95}" name="Column6179"/>
    <tableColumn id="6194" xr3:uid="{D2E308AE-7F93-4C74-8ADF-0C5672F1F56C}" name="Column6180"/>
    <tableColumn id="6195" xr3:uid="{07669E5F-694B-4305-A897-F9B2C3D519F4}" name="Column6181"/>
    <tableColumn id="6196" xr3:uid="{0F05F5D4-DBB6-4BA5-866C-DCA17CEF3A22}" name="Column6182"/>
    <tableColumn id="6197" xr3:uid="{13B41435-46E0-4154-A2CD-03FF623252A1}" name="Column6183"/>
    <tableColumn id="6198" xr3:uid="{398E1666-7DB2-4970-B27C-6227E9F64DA8}" name="Column6184"/>
    <tableColumn id="6199" xr3:uid="{D59DF100-4382-44F4-8CE9-EE9803FE5E00}" name="Column6185"/>
    <tableColumn id="6200" xr3:uid="{AA0F9F2A-9C8F-403F-8AA6-A5C6FB0A4143}" name="Column6186"/>
    <tableColumn id="6201" xr3:uid="{8BCB0D3A-5FF2-4806-A482-ABF1503E0D57}" name="Column6187"/>
    <tableColumn id="6202" xr3:uid="{45F9AFDA-D598-4F04-ADE8-E4DDB52F6CEA}" name="Column6188"/>
    <tableColumn id="6203" xr3:uid="{EFC70AF1-438F-4DAC-9CC8-65A238628B38}" name="Column6189"/>
    <tableColumn id="6204" xr3:uid="{DBE2C4EC-6904-4067-97F6-6ED369E9B3FF}" name="Column6190"/>
    <tableColumn id="6205" xr3:uid="{736E4E21-96B3-4A20-821F-39D451DA5E61}" name="Column6191"/>
    <tableColumn id="6206" xr3:uid="{D5ACB8D2-8800-45C2-8801-42C9E1D5A34C}" name="Column6192"/>
    <tableColumn id="6207" xr3:uid="{C33EEF51-356F-4948-BC6E-0EB8BCE57EE4}" name="Column6193"/>
    <tableColumn id="6208" xr3:uid="{9613FAAF-2C32-4CF1-B144-FFF5F442DFEF}" name="Column6194"/>
    <tableColumn id="6209" xr3:uid="{30DB49E5-21F7-44EC-AD90-766C0C1F87F8}" name="Column6195"/>
    <tableColumn id="6210" xr3:uid="{D3B57B8D-F62D-4E80-A52F-F601AA772F3A}" name="Column6196"/>
    <tableColumn id="6211" xr3:uid="{110BAA47-8A1F-473B-8EC9-508368B13F44}" name="Column6197"/>
    <tableColumn id="6212" xr3:uid="{7BA2F6BB-D156-4D30-AEE8-255A9E753A0B}" name="Column6198"/>
    <tableColumn id="6213" xr3:uid="{0383C094-0153-4509-880B-AFC7B28202A9}" name="Column6199"/>
    <tableColumn id="6214" xr3:uid="{AB164215-A03E-43E1-822E-0A51BA88CB2D}" name="Column6200"/>
    <tableColumn id="6215" xr3:uid="{D739F5FB-42C2-4A3E-B50E-6BD86003A973}" name="Column6201"/>
    <tableColumn id="6216" xr3:uid="{4475C564-5CCD-4F34-A11A-BDC49531399B}" name="Column6202"/>
    <tableColumn id="6217" xr3:uid="{22D6C8C5-9CAA-4D1E-9AD2-C68E3327BD08}" name="Column6203"/>
    <tableColumn id="6218" xr3:uid="{FAB95908-4914-49BF-B6EA-DBBAEFCB8F50}" name="Column6204"/>
    <tableColumn id="6219" xr3:uid="{2E9C5149-4F48-4824-A980-9A4376C48B7B}" name="Column6205"/>
    <tableColumn id="6220" xr3:uid="{0C556208-A7E5-4086-83DD-D9855D505D98}" name="Column6206"/>
    <tableColumn id="6221" xr3:uid="{0337FCAB-B4E5-4CA0-9AAE-D26DF55C9768}" name="Column6207"/>
    <tableColumn id="6222" xr3:uid="{282EB077-EE97-409F-BA3E-551C1F22B175}" name="Column6208"/>
    <tableColumn id="6223" xr3:uid="{1EF1A34A-262E-4E19-89BB-9DD8680DB611}" name="Column6209"/>
    <tableColumn id="6224" xr3:uid="{0F792360-7085-4764-A0A0-4AC5E15FA66F}" name="Column6210"/>
    <tableColumn id="6225" xr3:uid="{3AC3535F-D167-4490-814A-EE2C9D2EB134}" name="Column6211"/>
    <tableColumn id="6226" xr3:uid="{3C093990-BE94-4497-82EF-CDE36E301DAC}" name="Column6212"/>
    <tableColumn id="6227" xr3:uid="{76746780-B23B-46B0-9702-C59F485965BB}" name="Column6213"/>
    <tableColumn id="6228" xr3:uid="{AE356CD5-7265-41CA-91A3-21145B84B5FC}" name="Column6214"/>
    <tableColumn id="6229" xr3:uid="{7046980D-A8F0-4D4F-9BB8-6D535A74BD0A}" name="Column6215"/>
    <tableColumn id="6230" xr3:uid="{8A311060-2ED4-426F-8300-3842FE8C7566}" name="Column6216"/>
    <tableColumn id="6231" xr3:uid="{AD096182-68FF-4C23-9C22-21946DA84EE5}" name="Column6217"/>
    <tableColumn id="6232" xr3:uid="{3CFC94BE-4C76-4DE4-9E61-08563A171035}" name="Column6218"/>
    <tableColumn id="6233" xr3:uid="{543D4165-2A49-43DA-A532-2EB6BDECB76E}" name="Column6219"/>
    <tableColumn id="6234" xr3:uid="{CBEDF802-4559-4259-A839-70D73CE7970A}" name="Column6220"/>
    <tableColumn id="6235" xr3:uid="{3DDB8C65-82D5-4E13-9AEF-2EC93F605148}" name="Column6221"/>
    <tableColumn id="6236" xr3:uid="{5B98B45E-76F8-42C3-8F43-97434AFD14AC}" name="Column6222"/>
    <tableColumn id="6237" xr3:uid="{6D6AF0E3-281C-424C-A336-B463500E2CF0}" name="Column6223"/>
    <tableColumn id="6238" xr3:uid="{77385731-1E38-4AE7-A0A2-07CCCB2F4960}" name="Column6224"/>
    <tableColumn id="6239" xr3:uid="{EB7ADA1F-4BF3-46D1-A077-88FBDECD0C30}" name="Column6225"/>
    <tableColumn id="6240" xr3:uid="{F4E06BEF-14C6-4C54-91D9-15B81219A3CD}" name="Column6226"/>
    <tableColumn id="6241" xr3:uid="{1F9FA27F-D6E3-4375-BF47-1336CFFB1B93}" name="Column6227"/>
    <tableColumn id="6242" xr3:uid="{D33B527A-F3E2-4C86-B492-35F100A65329}" name="Column6228"/>
    <tableColumn id="6243" xr3:uid="{91F9A12D-AA1C-403F-83ED-89A3C16FCC97}" name="Column6229"/>
    <tableColumn id="6244" xr3:uid="{26012085-1278-4364-8F3A-08211F9A0928}" name="Column6230"/>
    <tableColumn id="6245" xr3:uid="{F47AC433-957A-4B72-A2C5-25EC9B1ED1C9}" name="Column6231"/>
    <tableColumn id="6246" xr3:uid="{6013916F-4C64-4445-8D5C-3E2ECC204C4E}" name="Column6232"/>
    <tableColumn id="6247" xr3:uid="{DE4E3C38-7BB2-4551-9845-E5EE6815637A}" name="Column6233"/>
    <tableColumn id="6248" xr3:uid="{BD14318C-7F6D-4BE3-850E-FCDE03A8C785}" name="Column6234"/>
    <tableColumn id="6249" xr3:uid="{13D36BAF-A0FE-4457-8408-D8E4663A731B}" name="Column6235"/>
    <tableColumn id="6250" xr3:uid="{4026C438-DDD2-49FE-9C30-621DFA31AC88}" name="Column6236"/>
    <tableColumn id="6251" xr3:uid="{F049E10B-B3C8-4CFB-AC7B-99E670AADC36}" name="Column6237"/>
    <tableColumn id="6252" xr3:uid="{8E6DEB83-C86F-4323-BA4D-7CBF53F130CD}" name="Column6238"/>
    <tableColumn id="6253" xr3:uid="{4EAEEA78-6166-4D84-A3FB-9EFF079DD17E}" name="Column6239"/>
    <tableColumn id="6254" xr3:uid="{2EAEC4E7-B4A1-4E39-BD1E-B291D70B3679}" name="Column6240"/>
    <tableColumn id="6255" xr3:uid="{B49196B2-1DDB-4329-826D-973E4775314C}" name="Column6241"/>
    <tableColumn id="6256" xr3:uid="{67C448A9-E441-41FF-8D72-E67FF0985653}" name="Column6242"/>
    <tableColumn id="6257" xr3:uid="{B4803B97-5F84-4182-9DEF-A8AA01AF1F4B}" name="Column6243"/>
    <tableColumn id="6258" xr3:uid="{C9FAACF0-23A1-4CDD-AC1A-890C5BE48AAC}" name="Column6244"/>
    <tableColumn id="6259" xr3:uid="{18EDAF35-A6DB-4F95-A8CC-6D412AD07222}" name="Column6245"/>
    <tableColumn id="6260" xr3:uid="{FF634D63-173C-4D52-AFED-FFD349ECC58D}" name="Column6246"/>
    <tableColumn id="6261" xr3:uid="{7818E696-6236-4C4D-9FF7-C9B70FFD0314}" name="Column6247"/>
    <tableColumn id="6262" xr3:uid="{E734299E-1896-4684-A816-62CF54F4DD3B}" name="Column6248"/>
    <tableColumn id="6263" xr3:uid="{87BA383D-373A-4821-8116-5A85BF1CE99C}" name="Column6249"/>
    <tableColumn id="6264" xr3:uid="{D5452EF8-7428-4DB1-A109-2F72209DE6A5}" name="Column6250"/>
    <tableColumn id="6265" xr3:uid="{F2240F94-03C0-4613-B455-6CBBEA0D7224}" name="Column6251"/>
    <tableColumn id="6266" xr3:uid="{CCD72269-A675-474B-99BD-25FF64CB5F63}" name="Column6252"/>
    <tableColumn id="6267" xr3:uid="{E27B9D23-74B1-40E3-A65B-AB7675F2C50F}" name="Column6253"/>
    <tableColumn id="6268" xr3:uid="{E991BE3F-E373-49DF-96A5-ED9E5261AC60}" name="Column6254"/>
    <tableColumn id="6269" xr3:uid="{B59B5D61-9CF7-4243-97A6-6BCDC4BA09CF}" name="Column6255"/>
    <tableColumn id="6270" xr3:uid="{93026CD1-79EB-432B-94EC-479CABF9A75C}" name="Column6256"/>
    <tableColumn id="6271" xr3:uid="{FDDE449C-B73D-4FF5-9374-DF59A2F1E031}" name="Column6257"/>
    <tableColumn id="6272" xr3:uid="{CCBA171C-2509-47BA-90D7-42D48EB88AFC}" name="Column6258"/>
    <tableColumn id="6273" xr3:uid="{44C99D47-8AEB-4FA5-8625-930EDA70E186}" name="Column6259"/>
    <tableColumn id="6274" xr3:uid="{3524B5DA-6922-4AE6-9D31-E5E96D166CB7}" name="Column6260"/>
    <tableColumn id="6275" xr3:uid="{4529F3A9-904A-4D28-9801-E9D07A5E43B6}" name="Column6261"/>
    <tableColumn id="6276" xr3:uid="{C8A184BF-1088-49B7-B4B6-81BE7AA076DA}" name="Column6262"/>
    <tableColumn id="6277" xr3:uid="{D1D84BEF-B1EB-4AA7-BEE7-783E8FC0C7F4}" name="Column6263"/>
    <tableColumn id="6278" xr3:uid="{7CE393AF-EAA9-4BED-AFA5-5DF1C69B4041}" name="Column6264"/>
    <tableColumn id="6279" xr3:uid="{E25B6E74-9F77-4E96-9C42-2E46098DC751}" name="Column6265"/>
    <tableColumn id="6280" xr3:uid="{ACD3C8BF-BCBE-4375-8F3A-FC9568028994}" name="Column6266"/>
    <tableColumn id="6281" xr3:uid="{CA8B914A-2B2B-45A9-BB42-8A7AFDAE04D4}" name="Column6267"/>
    <tableColumn id="6282" xr3:uid="{945CAEA0-E2FB-4132-BACC-DC81770DC479}" name="Column6268"/>
    <tableColumn id="6283" xr3:uid="{B5CE5D1F-E2A7-4867-B9C5-2E9BA1A1F34F}" name="Column6269"/>
    <tableColumn id="6284" xr3:uid="{1ADCF0EA-B6B9-42C7-AFEC-248219472D44}" name="Column6270"/>
    <tableColumn id="6285" xr3:uid="{526AB62D-36DB-453A-A343-9085ABA3768B}" name="Column6271"/>
    <tableColumn id="6286" xr3:uid="{FB061E61-086F-438D-8BFB-235E4C95D0E2}" name="Column6272"/>
    <tableColumn id="6287" xr3:uid="{83E6802B-0524-4C47-A870-4EEF9D886DD9}" name="Column6273"/>
    <tableColumn id="6288" xr3:uid="{A07DD30D-58DE-49BC-8281-AB5A29E25E80}" name="Column6274"/>
    <tableColumn id="6289" xr3:uid="{C09620D0-809B-4923-95DA-21D75D69A56C}" name="Column6275"/>
    <tableColumn id="6290" xr3:uid="{D212ADCC-1052-4949-A06D-26528A3A4AB8}" name="Column6276"/>
    <tableColumn id="6291" xr3:uid="{332545B6-E4E2-4937-BF8E-77FC6AF9A5B0}" name="Column6277"/>
    <tableColumn id="6292" xr3:uid="{2AD14866-CCB4-4FCA-84FF-7744E04197EC}" name="Column6278"/>
    <tableColumn id="6293" xr3:uid="{5A6877C6-C5F7-437F-A6EA-6A479B285E5D}" name="Column6279"/>
    <tableColumn id="6294" xr3:uid="{A4E11096-03A8-4C74-BEC6-DD9CD78EDCB4}" name="Column6280"/>
    <tableColumn id="6295" xr3:uid="{12AFB271-1F3D-4BD1-BCD7-E47C3F1DC781}" name="Column6281"/>
    <tableColumn id="6296" xr3:uid="{56755B9A-CC4F-429B-82AA-0A54C91BA85B}" name="Column6282"/>
    <tableColumn id="6297" xr3:uid="{25A01EC2-2295-4F01-A8FA-8C3B91F6BB2B}" name="Column6283"/>
    <tableColumn id="6298" xr3:uid="{0E1CF9D6-02C2-4DF5-825E-7D52CBD6B153}" name="Column6284"/>
    <tableColumn id="6299" xr3:uid="{7B488915-7646-4DA8-B4B0-6724DF6E0148}" name="Column6285"/>
    <tableColumn id="6300" xr3:uid="{F935C612-510F-47EC-875E-166DD0215AFC}" name="Column6286"/>
    <tableColumn id="6301" xr3:uid="{F559C5E3-7A20-47AB-B041-97EA6A3FB566}" name="Column6287"/>
    <tableColumn id="6302" xr3:uid="{658D9AC2-EE59-4BA7-B7B4-0FC60ED2D23E}" name="Column6288"/>
    <tableColumn id="6303" xr3:uid="{08716F76-0660-4A5F-8500-12955FD9D21E}" name="Column6289"/>
    <tableColumn id="6304" xr3:uid="{B54084DC-0EB4-4D6D-95AD-06515ABCEBF5}" name="Column6290"/>
    <tableColumn id="6305" xr3:uid="{8317EF96-78EF-4919-914D-36B1CA2E5CC9}" name="Column6291"/>
    <tableColumn id="6306" xr3:uid="{8BE0AFA9-CD52-4CAC-B0C8-AEA0A7A8DA15}" name="Column6292"/>
    <tableColumn id="6307" xr3:uid="{0A4BACF4-8B3C-4CCA-B5AC-82166E106362}" name="Column6293"/>
    <tableColumn id="6308" xr3:uid="{DBE8867D-F977-4C3F-90A6-AE07DF5D1473}" name="Column6294"/>
    <tableColumn id="6309" xr3:uid="{F0CF4FE9-5F40-410A-805E-ADB4F22DD275}" name="Column6295"/>
    <tableColumn id="6310" xr3:uid="{54EC2233-A74B-486F-BDE1-33CF0B89E250}" name="Column6296"/>
    <tableColumn id="6311" xr3:uid="{28547E58-F2BD-42B0-A9FF-55BA4943AC3E}" name="Column6297"/>
    <tableColumn id="6312" xr3:uid="{AD67B3C0-CA30-40C1-9329-F76DA7FC2191}" name="Column6298"/>
    <tableColumn id="6313" xr3:uid="{680339E5-04FD-49D3-ADAD-A15FEE00DF43}" name="Column6299"/>
    <tableColumn id="6314" xr3:uid="{13B3B5CD-2242-463D-A229-555579BD5070}" name="Column6300"/>
    <tableColumn id="6315" xr3:uid="{C3991249-D928-410C-8E07-7F1D7BD88440}" name="Column6301"/>
    <tableColumn id="6316" xr3:uid="{8985FA50-5F71-4BEE-96A9-B30FFF0FD9EE}" name="Column6302"/>
    <tableColumn id="6317" xr3:uid="{5D2439AA-FBB5-496B-A9B8-C0C638D46432}" name="Column6303"/>
    <tableColumn id="6318" xr3:uid="{752FDA3E-B601-41E7-9D8F-454A20816720}" name="Column6304"/>
    <tableColumn id="6319" xr3:uid="{1F90A794-47DB-4964-B5B3-61FF8DB7A8E6}" name="Column6305"/>
    <tableColumn id="6320" xr3:uid="{1A7C6230-9220-44F0-A457-F304FA3807E1}" name="Column6306"/>
    <tableColumn id="6321" xr3:uid="{77F95DBE-46DC-4057-A499-D08CFE4276B5}" name="Column6307"/>
    <tableColumn id="6322" xr3:uid="{B6543085-DD47-4B0F-83BE-0B80987C19FB}" name="Column6308"/>
    <tableColumn id="6323" xr3:uid="{BE0ABF39-70D9-4447-B608-F5BE8BB18CBF}" name="Column6309"/>
    <tableColumn id="6324" xr3:uid="{F0F7BD29-D498-4A6C-A888-CAEE8D787F57}" name="Column6310"/>
    <tableColumn id="6325" xr3:uid="{112B94E1-C71F-4FB3-8C18-47773B81CFDD}" name="Column6311"/>
    <tableColumn id="6326" xr3:uid="{42C6D33C-70CB-45BC-87EE-D9820AAC4387}" name="Column6312"/>
    <tableColumn id="6327" xr3:uid="{9C111C47-1893-445A-A457-60975313917F}" name="Column6313"/>
    <tableColumn id="6328" xr3:uid="{A122BF94-FF75-4F37-BAB8-6C8C4BC6F838}" name="Column6314"/>
    <tableColumn id="6329" xr3:uid="{73455DFC-6824-4E19-A0C2-E692A8BA6424}" name="Column6315"/>
    <tableColumn id="6330" xr3:uid="{52563AD9-7AF3-4B1C-A2A3-19BA85902F5D}" name="Column6316"/>
    <tableColumn id="6331" xr3:uid="{377B0A64-F493-4B26-AAFA-C2A0276FE811}" name="Column6317"/>
    <tableColumn id="6332" xr3:uid="{11A11FDA-C6CE-49E9-AE62-A689BE54F607}" name="Column6318"/>
    <tableColumn id="6333" xr3:uid="{FB146E6A-9A6C-459B-8687-FF622DC48CCF}" name="Column6319"/>
    <tableColumn id="6334" xr3:uid="{F27B89EE-5965-4137-B4ED-968AE3AB9DF8}" name="Column6320"/>
    <tableColumn id="6335" xr3:uid="{D96D0E6D-ADD3-4000-9D38-E3FCC422868C}" name="Column6321"/>
    <tableColumn id="6336" xr3:uid="{BBD69889-45A9-4F52-A36B-E83B09DB395C}" name="Column6322"/>
    <tableColumn id="6337" xr3:uid="{4880C16F-A08A-4774-A181-C3E446B0C094}" name="Column6323"/>
    <tableColumn id="6338" xr3:uid="{5C6F1B1B-1CBB-40E4-A8DC-C66BF1E406A5}" name="Column6324"/>
    <tableColumn id="6339" xr3:uid="{C6E311EF-525F-402E-A3E1-D317F4C6DC34}" name="Column6325"/>
    <tableColumn id="6340" xr3:uid="{9BAD3F46-DDA4-4EE6-B3EB-324F01B9B083}" name="Column6326"/>
    <tableColumn id="6341" xr3:uid="{031DDF48-2BC8-4B3A-B69A-3937099715C2}" name="Column6327"/>
    <tableColumn id="6342" xr3:uid="{FF487B3F-F190-4D9D-B26F-8BAA281596E4}" name="Column6328"/>
    <tableColumn id="6343" xr3:uid="{78A9111D-9A4A-41CF-BDDB-D27F6AEA05BD}" name="Column6329"/>
    <tableColumn id="6344" xr3:uid="{FB1C9247-F044-48E4-BC40-3A412AFD8BB5}" name="Column6330"/>
    <tableColumn id="6345" xr3:uid="{3E0EBA2D-959B-4CEB-AFC4-49277BA46950}" name="Column6331"/>
    <tableColumn id="6346" xr3:uid="{EE1C6682-CF6B-4777-A274-018D3F8A7135}" name="Column6332"/>
    <tableColumn id="6347" xr3:uid="{1BB62248-98AB-453B-A058-726A7BA33A8D}" name="Column6333"/>
    <tableColumn id="6348" xr3:uid="{C8FC4BC2-5652-460F-92A2-E4156C8B495B}" name="Column6334"/>
    <tableColumn id="6349" xr3:uid="{D963EB88-19AD-41D0-B4F3-6D0E712A3963}" name="Column6335"/>
    <tableColumn id="6350" xr3:uid="{EBDB99C7-B6DB-4665-9546-B008DDF14961}" name="Column6336"/>
    <tableColumn id="6351" xr3:uid="{11322FAB-F837-4BDF-BCDF-8E7A6F6F805A}" name="Column6337"/>
    <tableColumn id="6352" xr3:uid="{A594F8C5-3D97-4317-85EC-536F33DFAFF2}" name="Column6338"/>
    <tableColumn id="6353" xr3:uid="{1DA0756F-9039-414D-A060-1EA719FC6FA1}" name="Column6339"/>
    <tableColumn id="6354" xr3:uid="{5364632F-B7D1-41B8-8892-4E840B3AB563}" name="Column6340"/>
    <tableColumn id="6355" xr3:uid="{BD4412A8-5A01-45E4-92EA-22A0BF1A0664}" name="Column6341"/>
    <tableColumn id="6356" xr3:uid="{2F850E4A-94D2-41BA-B18F-08C4B475C3C9}" name="Column6342"/>
    <tableColumn id="6357" xr3:uid="{68AD90CC-20CE-4851-9035-20B9F0A9D1B4}" name="Column6343"/>
    <tableColumn id="6358" xr3:uid="{803681BF-0E76-4F2E-9249-60B353796446}" name="Column6344"/>
    <tableColumn id="6359" xr3:uid="{43B3F7AD-BEF3-4EF8-997D-2E0B5089F334}" name="Column6345"/>
    <tableColumn id="6360" xr3:uid="{55F22A67-18CD-45FE-BC04-9D1D0257E468}" name="Column6346"/>
    <tableColumn id="6361" xr3:uid="{C3CF4746-9840-472D-9973-1C271588434B}" name="Column6347"/>
    <tableColumn id="6362" xr3:uid="{44A44551-021B-4F1B-8370-D2A3DAEC3504}" name="Column6348"/>
    <tableColumn id="6363" xr3:uid="{C25E4188-A1A1-4370-886C-E367487AA3DF}" name="Column6349"/>
    <tableColumn id="6364" xr3:uid="{EE2352D6-3BB1-471B-84DF-D05A281615B0}" name="Column6350"/>
    <tableColumn id="6365" xr3:uid="{69C1F069-7BFF-4D36-B3D1-D89B2DFC8203}" name="Column6351"/>
    <tableColumn id="6366" xr3:uid="{53D930D8-179A-48B2-947C-2E2C2788A604}" name="Column6352"/>
    <tableColumn id="6367" xr3:uid="{6CAFB60A-319F-4D0D-B20F-CDA6A937F484}" name="Column6353"/>
    <tableColumn id="6368" xr3:uid="{98819101-DD98-43FA-B2F9-5DA0C507107F}" name="Column6354"/>
    <tableColumn id="6369" xr3:uid="{7015E159-686E-42AF-B5A8-ED2A34E698E7}" name="Column6355"/>
    <tableColumn id="6370" xr3:uid="{9A7DF092-ECAA-422E-BB19-0C388B9DB2E5}" name="Column6356"/>
    <tableColumn id="6371" xr3:uid="{DEA9D7FD-9F76-4A75-8C26-B6FDDC0FC4AB}" name="Column6357"/>
    <tableColumn id="6372" xr3:uid="{93EE9E11-BBCF-4FBA-A293-2B717975C336}" name="Column6358"/>
    <tableColumn id="6373" xr3:uid="{890AD36A-C557-46C7-86F4-415F6F8D5A4F}" name="Column6359"/>
    <tableColumn id="6374" xr3:uid="{93B08177-8521-4D7E-BEAE-59D178F88F9D}" name="Column6360"/>
    <tableColumn id="6375" xr3:uid="{17C7D06E-E8E0-428D-8652-E7BD959EE006}" name="Column6361"/>
    <tableColumn id="6376" xr3:uid="{A14B4D10-3E01-41D6-B781-96F8BB810755}" name="Column6362"/>
    <tableColumn id="6377" xr3:uid="{5B4EED46-FB07-4818-ABD9-8398A6820626}" name="Column6363"/>
    <tableColumn id="6378" xr3:uid="{BFB02056-402F-46D9-A7F9-DEFC2FA2FF06}" name="Column6364"/>
    <tableColumn id="6379" xr3:uid="{8E8EB06D-6305-4F63-AF81-EE836D22C81E}" name="Column6365"/>
    <tableColumn id="6380" xr3:uid="{F3B8CD4A-9AD7-4BC4-88EA-A4BB30118A22}" name="Column6366"/>
    <tableColumn id="6381" xr3:uid="{1604ABFE-0B95-4BDC-98D9-3E53D10EFD86}" name="Column6367"/>
    <tableColumn id="6382" xr3:uid="{5ECBAFB5-6CDA-42AF-A1A3-178B4EFA9998}" name="Column6368"/>
    <tableColumn id="6383" xr3:uid="{91A8C86C-DAF5-4899-9108-DA5A65813511}" name="Column6369"/>
    <tableColumn id="6384" xr3:uid="{1881D29C-EF78-4817-AF88-26D6442ED51E}" name="Column6370"/>
    <tableColumn id="6385" xr3:uid="{34571492-0559-46DB-BA08-C5E26B5DBB12}" name="Column6371"/>
    <tableColumn id="6386" xr3:uid="{D71430EF-3B3E-49EE-8A53-62203227B502}" name="Column6372"/>
    <tableColumn id="6387" xr3:uid="{97E0374A-8DE5-4204-9714-BB8920B9BCF9}" name="Column6373"/>
    <tableColumn id="6388" xr3:uid="{35938A2B-F3DC-4FDF-8764-2A673A627FEA}" name="Column6374"/>
    <tableColumn id="6389" xr3:uid="{C2A2A898-1F17-46E0-A512-EF1EA04AD359}" name="Column6375"/>
    <tableColumn id="6390" xr3:uid="{9A87AEE5-AFB8-4BAD-99B5-08C6973C68F9}" name="Column6376"/>
    <tableColumn id="6391" xr3:uid="{63E98B7A-DA13-4F7B-835B-ABA728E168D2}" name="Column6377"/>
    <tableColumn id="6392" xr3:uid="{C0919A97-3D19-4A9A-8EF1-40053263305C}" name="Column6378"/>
    <tableColumn id="6393" xr3:uid="{2C7AEAAE-EFAC-4C4A-940E-D8B952AA365C}" name="Column6379"/>
    <tableColumn id="6394" xr3:uid="{32DBE5A6-FDA7-4CBF-BE00-6DF632FC2922}" name="Column6380"/>
    <tableColumn id="6395" xr3:uid="{058077D7-53D0-4794-BDDF-00253C6A5A63}" name="Column6381"/>
    <tableColumn id="6396" xr3:uid="{671C6DC9-7533-4616-8D32-299B0F789029}" name="Column6382"/>
    <tableColumn id="6397" xr3:uid="{9AB93A5A-E87B-4D6F-90D8-3C098A314713}" name="Column6383"/>
    <tableColumn id="6398" xr3:uid="{5EB01E35-29B4-4C1E-AF50-B5154F2BEAF8}" name="Column6384"/>
    <tableColumn id="6399" xr3:uid="{CA0D5DEF-8882-480D-A935-FB7B17F3076C}" name="Column6385"/>
    <tableColumn id="6400" xr3:uid="{78F73189-7377-4A05-A5AA-8B4D9033488F}" name="Column6386"/>
    <tableColumn id="6401" xr3:uid="{06320F5F-082A-4F13-84EA-5A1CDF9682F3}" name="Column6387"/>
    <tableColumn id="6402" xr3:uid="{06F0442E-8E50-44C3-9953-6C08B476E2A1}" name="Column6388"/>
    <tableColumn id="6403" xr3:uid="{EACB21CE-25C7-409D-9258-8B88F22804B5}" name="Column6389"/>
    <tableColumn id="6404" xr3:uid="{6E40D27A-EF4F-4A20-8E40-4C200DFC28C8}" name="Column6390"/>
    <tableColumn id="6405" xr3:uid="{73FAD384-BEA6-4C79-8398-DC68211274B1}" name="Column6391"/>
    <tableColumn id="6406" xr3:uid="{02432093-79B6-47B8-B7B0-86FF57D929C7}" name="Column6392"/>
    <tableColumn id="6407" xr3:uid="{BD7CEC22-1BF3-441F-B4F9-EA96C9276F04}" name="Column6393"/>
    <tableColumn id="6408" xr3:uid="{8DB7AEBF-AFCB-44D3-A3BB-6ADF576E0163}" name="Column6394"/>
    <tableColumn id="6409" xr3:uid="{1B8926A7-6B2F-45BA-AD0D-0C49A0B35AEE}" name="Column6395"/>
    <tableColumn id="6410" xr3:uid="{2BC1F353-F7AE-43A8-949C-52C3EFA75641}" name="Column6396"/>
    <tableColumn id="6411" xr3:uid="{7DF88B25-F254-49CC-889E-E7238A6D65BA}" name="Column6397"/>
    <tableColumn id="6412" xr3:uid="{73C9D37C-AE28-42B2-A719-5A65532CC6A2}" name="Column6398"/>
    <tableColumn id="6413" xr3:uid="{45422F98-AAB9-48B9-86A3-A781DA551E63}" name="Column6399"/>
    <tableColumn id="6414" xr3:uid="{BAAACEBC-2765-4335-8E41-164A921FD783}" name="Column6400"/>
    <tableColumn id="6415" xr3:uid="{9BE626F6-2E19-4770-B006-4C3FEB9AD0D2}" name="Column6401"/>
    <tableColumn id="6416" xr3:uid="{029B68F0-C638-466B-B61D-C9D55A7BB198}" name="Column6402"/>
    <tableColumn id="6417" xr3:uid="{2880AE90-7161-4505-9062-2C8F12EB077C}" name="Column6403"/>
    <tableColumn id="6418" xr3:uid="{679FC4C8-8603-4772-ADAC-53C6A257FF3A}" name="Column6404"/>
    <tableColumn id="6419" xr3:uid="{A51B8D4E-8483-4C9B-AF1B-B0AD9B9BADE4}" name="Column6405"/>
    <tableColumn id="6420" xr3:uid="{79FC7FFC-D04D-48AA-BFFB-F36EE2FEA7B2}" name="Column6406"/>
    <tableColumn id="6421" xr3:uid="{E26CC80A-BF39-4125-BD84-6BE83378800E}" name="Column6407"/>
    <tableColumn id="6422" xr3:uid="{850513E8-2704-40AC-B7B6-9D75855B09BC}" name="Column6408"/>
    <tableColumn id="6423" xr3:uid="{1DAA380D-0609-4BBD-B30C-82ECF737D7E9}" name="Column6409"/>
    <tableColumn id="6424" xr3:uid="{8377B64F-B4B6-4FB4-92ED-9C053E43118E}" name="Column6410"/>
    <tableColumn id="6425" xr3:uid="{82808B0C-F998-4A31-B535-CBA40FD6BB0A}" name="Column6411"/>
    <tableColumn id="6426" xr3:uid="{A6362605-ED47-4076-B157-47115AC829EC}" name="Column6412"/>
    <tableColumn id="6427" xr3:uid="{82BDB995-C85A-4163-94D8-DAF8C2D9D585}" name="Column6413"/>
    <tableColumn id="6428" xr3:uid="{2F831F3B-3AAB-4C1B-9A1F-8CA8FAC59353}" name="Column6414"/>
    <tableColumn id="6429" xr3:uid="{69133280-7159-460D-B09E-341FED9349DE}" name="Column6415"/>
    <tableColumn id="6430" xr3:uid="{388A9A6F-991C-4E6B-B601-62E046117DCA}" name="Column6416"/>
    <tableColumn id="6431" xr3:uid="{A2E7E805-09E7-43BB-AA0A-517CBD66EFEB}" name="Column6417"/>
    <tableColumn id="6432" xr3:uid="{448C7130-D3FB-435F-9ECC-1351F5EA7BCD}" name="Column6418"/>
    <tableColumn id="6433" xr3:uid="{AC27EB5C-2DE9-40C9-8D6F-54EF298DDE5F}" name="Column6419"/>
    <tableColumn id="6434" xr3:uid="{07EA4FDF-EC34-458C-AAD5-CCABC4422E4F}" name="Column6420"/>
    <tableColumn id="6435" xr3:uid="{FEF5D13E-5295-40A6-9448-1E367ADAEC3F}" name="Column6421"/>
    <tableColumn id="6436" xr3:uid="{07D9FD29-FA43-4435-8E81-85DB3C269006}" name="Column6422"/>
    <tableColumn id="6437" xr3:uid="{B508A282-8D7A-42EE-9BA6-865140566375}" name="Column6423"/>
    <tableColumn id="6438" xr3:uid="{682C7807-CA6D-493C-9F8F-3DF322569E14}" name="Column6424"/>
    <tableColumn id="6439" xr3:uid="{C6859F20-CBB8-4E13-9267-523B8C886B23}" name="Column6425"/>
    <tableColumn id="6440" xr3:uid="{77A0633D-35A1-439A-8C1F-365C99F00CA8}" name="Column6426"/>
    <tableColumn id="6441" xr3:uid="{1CE0BDC6-1FD1-4E5E-9624-F316B9411180}" name="Column6427"/>
    <tableColumn id="6442" xr3:uid="{7170FF6B-935E-4F56-8B18-AC4CC0B4BCF8}" name="Column6428"/>
    <tableColumn id="6443" xr3:uid="{E477C9D6-F331-4896-83D7-A558C6B0F10E}" name="Column6429"/>
    <tableColumn id="6444" xr3:uid="{7120B5BF-2CDA-4A03-8957-EB2BEF232379}" name="Column6430"/>
    <tableColumn id="6445" xr3:uid="{3F09B4B6-0C71-4397-A005-269656EA6DF9}" name="Column6431"/>
    <tableColumn id="6446" xr3:uid="{3485C1FC-71ED-4937-88DE-DA2B4CEB88C4}" name="Column6432"/>
    <tableColumn id="6447" xr3:uid="{1D9EB8CD-BEB4-49C4-8E6E-C1502FDE2AED}" name="Column6433"/>
    <tableColumn id="6448" xr3:uid="{5D35740F-0F3B-45C6-A118-EE655B950F6A}" name="Column6434"/>
    <tableColumn id="6449" xr3:uid="{A49A1CFC-DB10-4D4E-9AD2-C87E87595AF5}" name="Column6435"/>
    <tableColumn id="6450" xr3:uid="{FC074454-D44F-4427-AFB3-DACA21347F2D}" name="Column6436"/>
    <tableColumn id="6451" xr3:uid="{F0600C31-F761-4A52-84A9-5240D95EE173}" name="Column6437"/>
    <tableColumn id="6452" xr3:uid="{BC88659F-D863-42AD-859F-4D3BB4694BC6}" name="Column6438"/>
    <tableColumn id="6453" xr3:uid="{A0F7A19C-B194-447E-B3BA-6C38605FAA77}" name="Column6439"/>
    <tableColumn id="6454" xr3:uid="{BBA77DE9-62CF-46E1-91F2-9CD684F82064}" name="Column6440"/>
    <tableColumn id="6455" xr3:uid="{98730B67-70F5-4F87-9049-C1A276E125A5}" name="Column6441"/>
    <tableColumn id="6456" xr3:uid="{F2DC3DEA-86E6-4D09-86F8-690BE7D97489}" name="Column6442"/>
    <tableColumn id="6457" xr3:uid="{BB2A2414-220E-4A29-AFE8-712645637F2B}" name="Column6443"/>
    <tableColumn id="6458" xr3:uid="{E348ADB9-8D13-47ED-9E16-56982394E730}" name="Column6444"/>
    <tableColumn id="6459" xr3:uid="{BE00F3A4-4897-49F4-895E-8641C221E656}" name="Column6445"/>
    <tableColumn id="6460" xr3:uid="{4D667B93-EC05-4AD1-A7D6-E2C1438D9572}" name="Column6446"/>
    <tableColumn id="6461" xr3:uid="{684A2DB5-0F7B-4B60-85CE-5DFBAC5F7736}" name="Column6447"/>
    <tableColumn id="6462" xr3:uid="{0C8C713D-7795-4944-BE79-9A7B5DC172F6}" name="Column6448"/>
    <tableColumn id="6463" xr3:uid="{59870A94-33A5-4842-8FA1-006C83F9A1B1}" name="Column6449"/>
    <tableColumn id="6464" xr3:uid="{F0380403-BB73-4D3A-ABAC-83A00E26C369}" name="Column6450"/>
    <tableColumn id="6465" xr3:uid="{332D744C-2B41-466F-870F-FF87866A1DEE}" name="Column6451"/>
    <tableColumn id="6466" xr3:uid="{1817EBD7-CFA8-4466-B71D-CCE0FE78E4E6}" name="Column6452"/>
    <tableColumn id="6467" xr3:uid="{BD7964DD-39F6-4EC2-A74E-95CCD2D9FF64}" name="Column6453"/>
    <tableColumn id="6468" xr3:uid="{168B8E81-9092-4B4E-A621-288FB5D22B48}" name="Column6454"/>
    <tableColumn id="6469" xr3:uid="{CD750964-448B-4510-B420-E685C592C713}" name="Column6455"/>
    <tableColumn id="6470" xr3:uid="{993126B3-445E-44C7-9F64-5556A43E1F8E}" name="Column6456"/>
    <tableColumn id="6471" xr3:uid="{189EBE96-4866-48C0-8CA3-9DA4C45B6C0B}" name="Column6457"/>
    <tableColumn id="6472" xr3:uid="{97FD65C7-16D8-4190-8073-5E5F2352DADC}" name="Column6458"/>
    <tableColumn id="6473" xr3:uid="{D44F3EF7-ADE8-404D-9793-E3D940307AFE}" name="Column6459"/>
    <tableColumn id="6474" xr3:uid="{31F195FE-0A62-48EE-A4B9-C2C05FA8636A}" name="Column6460"/>
    <tableColumn id="6475" xr3:uid="{54F421BD-2D1F-443C-913A-7E0465B86904}" name="Column6461"/>
    <tableColumn id="6476" xr3:uid="{25650169-9940-41DD-A8F8-8CA6951E6F51}" name="Column6462"/>
    <tableColumn id="6477" xr3:uid="{C55A1675-C4AE-4D13-B2BC-2836C089B3C8}" name="Column6463"/>
    <tableColumn id="6478" xr3:uid="{87A11AE8-0346-4D82-8D86-49358C57E97E}" name="Column6464"/>
    <tableColumn id="6479" xr3:uid="{3BFDA361-8F73-4693-B98A-33EE7055ACA5}" name="Column6465"/>
    <tableColumn id="6480" xr3:uid="{F81540F2-DF7B-4E3C-BCA4-2A534BB66C06}" name="Column6466"/>
    <tableColumn id="6481" xr3:uid="{872EBB79-0D16-4C0D-8C89-1A81F4FE4899}" name="Column6467"/>
    <tableColumn id="6482" xr3:uid="{A3575E7E-DB3B-4E77-9D26-94412F0E4E6E}" name="Column6468"/>
    <tableColumn id="6483" xr3:uid="{BFD68873-BC97-4118-9B9B-D1566571BC6C}" name="Column6469"/>
    <tableColumn id="6484" xr3:uid="{B61E12B2-C111-405B-9CD7-53BC1587239B}" name="Column6470"/>
    <tableColumn id="6485" xr3:uid="{8F9D0AA4-1E76-4F8B-93FF-14CD4898B7FF}" name="Column6471"/>
    <tableColumn id="6486" xr3:uid="{CE0F9026-DF6C-459C-B658-A04AB1F68D18}" name="Column6472"/>
    <tableColumn id="6487" xr3:uid="{F5D52766-D678-417B-80E3-AB03AF94F6B5}" name="Column6473"/>
    <tableColumn id="6488" xr3:uid="{42B92A19-276A-48F5-ADC5-839D1F556477}" name="Column6474"/>
    <tableColumn id="6489" xr3:uid="{E6BD63DC-A4B3-4229-81AA-D46C212EF2AB}" name="Column6475"/>
    <tableColumn id="6490" xr3:uid="{596CD665-5289-4F2D-BCE5-55E4EC0A47FF}" name="Column6476"/>
    <tableColumn id="6491" xr3:uid="{B7FF9F6E-17B9-469E-A98F-AB593ACE696C}" name="Column6477"/>
    <tableColumn id="6492" xr3:uid="{68B7B71A-413D-4067-B3E8-DD1D45B8EDA5}" name="Column6478"/>
    <tableColumn id="6493" xr3:uid="{A263556F-89AE-45A1-AE7E-823048D7E481}" name="Column6479"/>
    <tableColumn id="6494" xr3:uid="{F061C0BF-4CC5-4748-8FC4-8E7DC32F2282}" name="Column6480"/>
    <tableColumn id="6495" xr3:uid="{46ECC371-8EC1-46E5-9B3D-D693B47975C6}" name="Column6481"/>
    <tableColumn id="6496" xr3:uid="{1444C59C-FADF-4B28-9D3E-933C7CC2BD3A}" name="Column6482"/>
    <tableColumn id="6497" xr3:uid="{122CF2B3-F0E6-4EED-AB25-648724533A96}" name="Column6483"/>
    <tableColumn id="6498" xr3:uid="{144C23FE-63F7-43F4-86C3-AF74476FCCD4}" name="Column6484"/>
    <tableColumn id="6499" xr3:uid="{06FAEC03-4629-4089-88A9-AC7C0FD97A99}" name="Column6485"/>
    <tableColumn id="6500" xr3:uid="{C76B2750-1520-4228-9042-BED6E28598E7}" name="Column6486"/>
    <tableColumn id="6501" xr3:uid="{D48F981E-4F3C-4273-B808-69A033CC4B31}" name="Column6487"/>
    <tableColumn id="6502" xr3:uid="{2EBC5CC5-8A74-4291-AC85-DE9B5C4EF605}" name="Column6488"/>
    <tableColumn id="6503" xr3:uid="{0B8D2C80-692D-48DE-A1EF-5FE8E2B40A63}" name="Column6489"/>
    <tableColumn id="6504" xr3:uid="{9C04DF05-B4FF-439D-A32F-02FBD53F8D5A}" name="Column6490"/>
    <tableColumn id="6505" xr3:uid="{DE2A9CA3-C8C6-452D-9046-9BD3E369FAA3}" name="Column6491"/>
    <tableColumn id="6506" xr3:uid="{CBFAD1EA-A3F2-4F36-9B33-1A3D938BEFB3}" name="Column6492"/>
    <tableColumn id="6507" xr3:uid="{C7EB7F35-8679-4D3B-AFEB-FBCD31D0943B}" name="Column6493"/>
    <tableColumn id="6508" xr3:uid="{391FBFEA-C117-45B1-8C06-34F30208F518}" name="Column6494"/>
    <tableColumn id="6509" xr3:uid="{D7122902-7739-4269-9548-E5122B0649F8}" name="Column6495"/>
    <tableColumn id="6510" xr3:uid="{0F5D84E7-2810-4275-B701-3E76400BF1EC}" name="Column6496"/>
    <tableColumn id="6511" xr3:uid="{CA46FDC8-75AF-4457-A319-C9F65C9F7FE8}" name="Column6497"/>
    <tableColumn id="6512" xr3:uid="{2EFD0A4D-AA58-481F-8AED-F5D19C555FBA}" name="Column6498"/>
    <tableColumn id="6513" xr3:uid="{BF28D59E-AF61-4160-9136-5215ABFAC2BF}" name="Column6499"/>
    <tableColumn id="6514" xr3:uid="{96FDE2C1-CA90-4933-B5AA-14A357574D49}" name="Column6500"/>
    <tableColumn id="6515" xr3:uid="{D404D498-E9BF-4F6E-87D3-FE04C0A4F48C}" name="Column6501"/>
    <tableColumn id="6516" xr3:uid="{121C6ADF-6194-4EE0-BA4A-FAF779F232D3}" name="Column6502"/>
    <tableColumn id="6517" xr3:uid="{29C7F2B9-73B9-469A-85F9-C21C33483E48}" name="Column6503"/>
    <tableColumn id="6518" xr3:uid="{5710FF35-C749-4E20-8EF1-FDEBF568C126}" name="Column6504"/>
    <tableColumn id="6519" xr3:uid="{308D3EE8-E4C0-49BC-A66E-3CF8E8BE4F4A}" name="Column6505"/>
    <tableColumn id="6520" xr3:uid="{E8316DC6-8646-4BA1-8A58-A4E6BD709BD4}" name="Column6506"/>
    <tableColumn id="6521" xr3:uid="{3C20853C-692D-4C4E-8CED-A99A306884F2}" name="Column6507"/>
    <tableColumn id="6522" xr3:uid="{79BBE81B-599A-40CB-9DDB-14E6A4CE6841}" name="Column6508"/>
    <tableColumn id="6523" xr3:uid="{8089E89C-A352-408B-9036-3D3C07B796CC}" name="Column6509"/>
    <tableColumn id="6524" xr3:uid="{27D3FA29-F51E-4ECF-BB06-10EA34F71DC8}" name="Column6510"/>
    <tableColumn id="6525" xr3:uid="{879BFA29-AC54-428E-B154-354BD3EDCF57}" name="Column6511"/>
    <tableColumn id="6526" xr3:uid="{04823A13-5415-476E-9062-0355B87CA274}" name="Column6512"/>
    <tableColumn id="6527" xr3:uid="{2347BA67-AA4F-4D0B-BF39-DCF57C5421FF}" name="Column6513"/>
    <tableColumn id="6528" xr3:uid="{5B46797F-3A7F-48DA-8123-BEBC8AC44B37}" name="Column6514"/>
    <tableColumn id="6529" xr3:uid="{F5A34857-CB88-42A6-A1B7-021E1B850E4C}" name="Column6515"/>
    <tableColumn id="6530" xr3:uid="{F10DD8DE-E094-4AB7-8C4B-15B89CDE38B6}" name="Column6516"/>
    <tableColumn id="6531" xr3:uid="{ED73EE3B-0921-4F3A-BE6A-100FEF07C07E}" name="Column6517"/>
    <tableColumn id="6532" xr3:uid="{29C6708E-BF01-4E21-AE04-DBF2CE51D426}" name="Column6518"/>
    <tableColumn id="6533" xr3:uid="{0FC9248A-0541-4195-AA31-A22DA3348E5A}" name="Column6519"/>
    <tableColumn id="6534" xr3:uid="{B0B97F01-9252-4A01-A65D-A75949C54436}" name="Column6520"/>
    <tableColumn id="6535" xr3:uid="{886E439B-3DD9-42C1-A868-AD1006F8C927}" name="Column6521"/>
    <tableColumn id="6536" xr3:uid="{D40E8DE4-E0A0-4FBE-9ACA-E5E5B2F0659A}" name="Column6522"/>
    <tableColumn id="6537" xr3:uid="{598DCF4F-9AD7-4861-AE1C-BCE3570FB427}" name="Column6523"/>
    <tableColumn id="6538" xr3:uid="{1F961F76-091D-4302-88EB-ABA9CA4F22AF}" name="Column6524"/>
    <tableColumn id="6539" xr3:uid="{232A43DA-C3BE-48F3-84F7-9DDE0563F878}" name="Column6525"/>
    <tableColumn id="6540" xr3:uid="{491E6188-4526-467C-AA9C-D56094BCDCB2}" name="Column6526"/>
    <tableColumn id="6541" xr3:uid="{4C1E2C89-A958-49DE-B2D3-03399917DEF3}" name="Column6527"/>
    <tableColumn id="6542" xr3:uid="{A180C4F3-7BD4-4C00-9E38-B112641C50C5}" name="Column6528"/>
    <tableColumn id="6543" xr3:uid="{E3ADC87E-2EA7-4A2B-8371-79A1BF091A03}" name="Column6529"/>
    <tableColumn id="6544" xr3:uid="{FBBE9E7B-508F-4427-AB06-861BA0C006DA}" name="Column6530"/>
    <tableColumn id="6545" xr3:uid="{AA12E538-D893-4C97-8187-C893CFB35982}" name="Column6531"/>
    <tableColumn id="6546" xr3:uid="{B27EB11E-66DB-474B-9D4E-611C427DF198}" name="Column6532"/>
    <tableColumn id="6547" xr3:uid="{C9B0E26D-7504-4893-9B3E-7EB399E833CE}" name="Column6533"/>
    <tableColumn id="6548" xr3:uid="{C196C89E-F85E-4635-B023-02C0E3A526EC}" name="Column6534"/>
    <tableColumn id="6549" xr3:uid="{F1A5911A-F41B-47BA-9752-23152623BC70}" name="Column6535"/>
    <tableColumn id="6550" xr3:uid="{83A49D0D-A524-45A4-BA3C-E64A05BF31BD}" name="Column6536"/>
    <tableColumn id="6551" xr3:uid="{3A632D65-8A88-4CA8-8EAE-2355E61447FA}" name="Column6537"/>
    <tableColumn id="6552" xr3:uid="{F951205E-07D9-47E3-9C75-10F9BF3B7313}" name="Column6538"/>
    <tableColumn id="6553" xr3:uid="{D47E720D-6441-4F9B-9DCD-527F13DC6F27}" name="Column6539"/>
    <tableColumn id="6554" xr3:uid="{6D53A44C-D2DC-424A-A606-7ECED0B04E89}" name="Column6540"/>
    <tableColumn id="6555" xr3:uid="{F1A7AB0F-AFF2-4249-A435-8A79DFFF8394}" name="Column6541"/>
    <tableColumn id="6556" xr3:uid="{DE74350A-23A9-47BB-991F-038022097277}" name="Column6542"/>
    <tableColumn id="6557" xr3:uid="{BE0A07A5-2CB4-45BF-8074-6B66BFD06130}" name="Column6543"/>
    <tableColumn id="6558" xr3:uid="{537C6BB1-EB67-4FD9-95C1-CDA97883AA14}" name="Column6544"/>
    <tableColumn id="6559" xr3:uid="{7CB9DEEB-5D2F-4508-8865-6B4EDD86B2B8}" name="Column6545"/>
    <tableColumn id="6560" xr3:uid="{BFB4CD67-AC2B-42E4-A0AD-FF20936DB7B5}" name="Column6546"/>
    <tableColumn id="6561" xr3:uid="{A740FB05-8688-4941-BC45-F9C113B361A7}" name="Column6547"/>
    <tableColumn id="6562" xr3:uid="{923B527E-DB3D-467D-B52D-3AEEC049FF41}" name="Column6548"/>
    <tableColumn id="6563" xr3:uid="{2CA93CDE-1064-4E3C-8049-6659D4BC4798}" name="Column6549"/>
    <tableColumn id="6564" xr3:uid="{A1DD7246-5B7B-4917-9C1C-0CA4E4A581CF}" name="Column6550"/>
    <tableColumn id="6565" xr3:uid="{42428376-ECC1-423F-85A6-810B9E087EF1}" name="Column6551"/>
    <tableColumn id="6566" xr3:uid="{D9F747B1-830D-4D33-B8DA-778E028E726D}" name="Column6552"/>
    <tableColumn id="6567" xr3:uid="{3868EB2F-7EB8-4BA0-B4DD-0EC6C1F61C0A}" name="Column6553"/>
    <tableColumn id="6568" xr3:uid="{5AF43C29-CB81-4810-99A1-0FFC5AD22CD6}" name="Column6554"/>
    <tableColumn id="6569" xr3:uid="{547F5EC0-68B8-4AEA-AA6B-F8603F7D2E7F}" name="Column6555"/>
    <tableColumn id="6570" xr3:uid="{7F507B5B-0AE7-4D8D-8AAE-C4EA5A4CE11F}" name="Column6556"/>
    <tableColumn id="6571" xr3:uid="{23B296BF-9113-466B-BBB6-0CBABFF851FB}" name="Column6557"/>
    <tableColumn id="6572" xr3:uid="{21070E3E-56C6-471D-BD1B-E0A4A6C49506}" name="Column6558"/>
    <tableColumn id="6573" xr3:uid="{B94340F6-8C4F-4F44-A814-163359295B8E}" name="Column6559"/>
    <tableColumn id="6574" xr3:uid="{C3A0405D-972D-4B09-89FE-CEBE4D5031F7}" name="Column6560"/>
    <tableColumn id="6575" xr3:uid="{681C7438-8EF8-47B0-B05B-5B5ADC1182B3}" name="Column6561"/>
    <tableColumn id="6576" xr3:uid="{AB5A34F4-2E84-40EB-95C1-F6E36FBDEA93}" name="Column6562"/>
    <tableColumn id="6577" xr3:uid="{4F7F69C9-8AFB-4A6D-A9FB-FA4B756401C3}" name="Column6563"/>
    <tableColumn id="6578" xr3:uid="{C31CC9A8-9731-42E8-B659-7294C9D8841B}" name="Column6564"/>
    <tableColumn id="6579" xr3:uid="{0C5861A7-AABE-49CC-911E-0B13F8163186}" name="Column6565"/>
    <tableColumn id="6580" xr3:uid="{942A9F58-29B0-4D9C-AC3B-9B1BA1437F43}" name="Column6566"/>
    <tableColumn id="6581" xr3:uid="{9DD16951-B329-4588-90A0-282ABDE966CF}" name="Column6567"/>
    <tableColumn id="6582" xr3:uid="{45D7B941-77BA-4760-B53A-F32C92CE9156}" name="Column6568"/>
    <tableColumn id="6583" xr3:uid="{5A23B217-3BCF-4D97-94D2-5789410B0CB9}" name="Column6569"/>
    <tableColumn id="6584" xr3:uid="{17956B0E-FEE2-48B8-9FBA-FBA2B76E088F}" name="Column6570"/>
    <tableColumn id="6585" xr3:uid="{9CA875C1-285F-4858-AAAC-0C5808229A77}" name="Column6571"/>
    <tableColumn id="6586" xr3:uid="{D4CE0DBD-9C79-4CF0-A735-B8149F831FDB}" name="Column6572"/>
    <tableColumn id="6587" xr3:uid="{BF6DB35E-BDA3-44C4-9989-D229FE8ED32E}" name="Column6573"/>
    <tableColumn id="6588" xr3:uid="{02B9998A-D1F9-4395-9D50-1C56A39E9BC4}" name="Column6574"/>
    <tableColumn id="6589" xr3:uid="{345FB32B-1C0D-4DC1-A467-114DA8C1C579}" name="Column6575"/>
    <tableColumn id="6590" xr3:uid="{28CA3F36-A967-45DA-9DC7-3B8ECEFA7CFC}" name="Column6576"/>
    <tableColumn id="6591" xr3:uid="{4EE03D86-4382-4874-A50C-1F21669A8C19}" name="Column6577"/>
    <tableColumn id="6592" xr3:uid="{CBEF3546-AB1E-43D3-930B-C6367C6D2ECC}" name="Column6578"/>
    <tableColumn id="6593" xr3:uid="{54434F21-551C-45AF-9FEF-C548A8AF6954}" name="Column6579"/>
    <tableColumn id="6594" xr3:uid="{026A0B95-CE14-4E01-8060-306678951A20}" name="Column6580"/>
    <tableColumn id="6595" xr3:uid="{B47BAC35-AC43-4C1B-BF24-A70F9E95A691}" name="Column6581"/>
    <tableColumn id="6596" xr3:uid="{A341B733-66AF-4740-A46A-0CA63F2EAF68}" name="Column6582"/>
    <tableColumn id="6597" xr3:uid="{058D6A3F-5F44-4EEC-A32C-483206E2D280}" name="Column6583"/>
    <tableColumn id="6598" xr3:uid="{8A0A6211-C7CA-4373-9B63-5F801A513E0C}" name="Column6584"/>
    <tableColumn id="6599" xr3:uid="{A1D848F1-71F7-4E50-84E2-237F83CC2AF7}" name="Column6585"/>
    <tableColumn id="6600" xr3:uid="{F9D041BF-3D01-4FDA-AB9A-CCCBBABB8812}" name="Column6586"/>
    <tableColumn id="6601" xr3:uid="{9DBCC32E-59A6-4984-9DE8-ED89893EDCF9}" name="Column6587"/>
    <tableColumn id="6602" xr3:uid="{DB31456F-60F7-4014-9370-DAEF43639221}" name="Column6588"/>
    <tableColumn id="6603" xr3:uid="{8C09FB2C-C5B2-4DA5-B1C4-D17CC55B2C8C}" name="Column6589"/>
    <tableColumn id="6604" xr3:uid="{511CEADA-CECA-4993-9D91-E30B7A73472F}" name="Column6590"/>
    <tableColumn id="6605" xr3:uid="{1AB37074-E84F-4A5C-B141-3D3031210931}" name="Column6591"/>
    <tableColumn id="6606" xr3:uid="{4CD96F0C-BB48-478B-BE5B-8235016074EC}" name="Column6592"/>
    <tableColumn id="6607" xr3:uid="{DB095FA9-B915-4F40-BB36-B04144CA55AD}" name="Column6593"/>
    <tableColumn id="6608" xr3:uid="{FD10F16F-0E70-477F-B061-DBE866B2677C}" name="Column6594"/>
    <tableColumn id="6609" xr3:uid="{6D821377-3D8C-481E-B9CC-6B3ADB7F2F63}" name="Column6595"/>
    <tableColumn id="6610" xr3:uid="{197AD70F-6943-4FD0-9116-5BED4283F7B6}" name="Column6596"/>
    <tableColumn id="6611" xr3:uid="{069BF2C5-1F5B-48B0-916D-823F0C073EF3}" name="Column6597"/>
    <tableColumn id="6612" xr3:uid="{208475B2-D80D-45CA-B5A5-5B19221EAD2C}" name="Column6598"/>
    <tableColumn id="6613" xr3:uid="{57221932-4766-48A9-AEE7-72B4129B90B9}" name="Column6599"/>
    <tableColumn id="6614" xr3:uid="{FD767A40-A3A8-4A9C-A52A-004493C4AB61}" name="Column6600"/>
    <tableColumn id="6615" xr3:uid="{6E8076F1-9D22-4B29-9BA5-FDC6DB1C722C}" name="Column6601"/>
    <tableColumn id="6616" xr3:uid="{018BFF12-77B0-462D-963E-684955BF2575}" name="Column6602"/>
    <tableColumn id="6617" xr3:uid="{D55DD47F-6537-4C81-9A89-2CD0D89EB451}" name="Column6603"/>
    <tableColumn id="6618" xr3:uid="{9271BC0A-1366-4A88-9F11-84DBEAD123FA}" name="Column6604"/>
    <tableColumn id="6619" xr3:uid="{4E693C80-6DC0-4D32-A38C-917971C197EE}" name="Column6605"/>
    <tableColumn id="6620" xr3:uid="{95AFF0E9-256B-4115-A54B-D53DD5C96BA4}" name="Column6606"/>
    <tableColumn id="6621" xr3:uid="{F1F2BE6D-B769-4F06-8DDF-98BFDFFC110D}" name="Column6607"/>
    <tableColumn id="6622" xr3:uid="{00F23785-8053-4C59-86FB-4BA9993F429D}" name="Column6608"/>
    <tableColumn id="6623" xr3:uid="{6E1A46AB-9BBB-40DD-BB14-ED15F4E4346B}" name="Column6609"/>
    <tableColumn id="6624" xr3:uid="{3082C7E1-C754-494E-8A86-5A3DDDB6CA9B}" name="Column6610"/>
    <tableColumn id="6625" xr3:uid="{B77F7F85-2E31-4CCB-BDFC-8E305B19E3A6}" name="Column6611"/>
    <tableColumn id="6626" xr3:uid="{362464B7-8D4E-4E55-9D5C-9872F2B9F477}" name="Column6612"/>
    <tableColumn id="6627" xr3:uid="{0A483AFC-192B-40E8-B2DB-BFBDCAFD75B8}" name="Column6613"/>
    <tableColumn id="6628" xr3:uid="{7DF491AA-587D-43A6-8F1A-3647C6DC51C6}" name="Column6614"/>
    <tableColumn id="6629" xr3:uid="{54D2590C-EA43-4A42-B51C-5AA97EE0BB02}" name="Column6615"/>
    <tableColumn id="6630" xr3:uid="{C8CC1138-850F-4D0B-BABC-C14D541795E7}" name="Column6616"/>
    <tableColumn id="6631" xr3:uid="{EC34CE9C-3955-42E0-AAB2-1EC042A9B821}" name="Column6617"/>
    <tableColumn id="6632" xr3:uid="{419469E6-FB56-4D74-9175-F4AFB408D618}" name="Column6618"/>
    <tableColumn id="6633" xr3:uid="{392DDB15-2F74-4CFA-9B7F-E69609093CEC}" name="Column6619"/>
    <tableColumn id="6634" xr3:uid="{3DA47015-5C71-4B87-9BEB-A39B1FDD2601}" name="Column6620"/>
    <tableColumn id="6635" xr3:uid="{C85F07C3-A420-403F-A475-2EA330903798}" name="Column6621"/>
    <tableColumn id="6636" xr3:uid="{1F20BA9A-657F-45B4-9040-BF6BA7D09CCC}" name="Column6622"/>
    <tableColumn id="6637" xr3:uid="{381F3259-DAB0-42D1-BD73-61AB243A75EF}" name="Column6623"/>
    <tableColumn id="6638" xr3:uid="{3D551F68-FD47-4FEE-BB66-7774BF80D0C1}" name="Column6624"/>
    <tableColumn id="6639" xr3:uid="{C65DED4F-85C3-4E65-8F94-43A284FDA779}" name="Column6625"/>
    <tableColumn id="6640" xr3:uid="{A6909F45-1FB9-416B-AD81-7D0D9D0F06F2}" name="Column6626"/>
    <tableColumn id="6641" xr3:uid="{C3731DD8-59BE-47BE-9AA5-37A066F82B8F}" name="Column6627"/>
    <tableColumn id="6642" xr3:uid="{F5F498A8-0D61-4EB6-9F95-E900C87D2AF0}" name="Column6628"/>
    <tableColumn id="6643" xr3:uid="{E109D2E4-1786-4965-9971-778CC861AD98}" name="Column6629"/>
    <tableColumn id="6644" xr3:uid="{737E1A3D-F2DE-4D87-8C25-59514D4D71E1}" name="Column6630"/>
    <tableColumn id="6645" xr3:uid="{BAC548C2-CCF0-44C2-B216-443F0BC8D95F}" name="Column6631"/>
    <tableColumn id="6646" xr3:uid="{B004558A-A885-4CF5-9332-5DB246A9E320}" name="Column6632"/>
    <tableColumn id="6647" xr3:uid="{1DAE3E47-3572-44A1-BC2C-B4503B4C82D0}" name="Column6633"/>
    <tableColumn id="6648" xr3:uid="{4A7A447B-A2B6-4B2C-B95B-F0A085AE7E68}" name="Column6634"/>
    <tableColumn id="6649" xr3:uid="{7EFEC18A-F898-4E5D-93C2-45AA229155D2}" name="Column6635"/>
    <tableColumn id="6650" xr3:uid="{ECE52CB0-447D-4BE7-85EC-2797F2DD8F30}" name="Column6636"/>
    <tableColumn id="6651" xr3:uid="{EE0FA062-9E36-438A-AECC-F762B7521B71}" name="Column6637"/>
    <tableColumn id="6652" xr3:uid="{E2581F90-9AF3-4A30-93B7-E62DCB971E67}" name="Column6638"/>
    <tableColumn id="6653" xr3:uid="{CBCD1020-13CA-4C7D-880C-53D2A55668FA}" name="Column6639"/>
    <tableColumn id="6654" xr3:uid="{A33C4975-480B-4924-B093-665D695228BC}" name="Column6640"/>
    <tableColumn id="6655" xr3:uid="{A7FE5C89-2255-440B-A6B2-5FC3BA9329B1}" name="Column6641"/>
    <tableColumn id="6656" xr3:uid="{27368681-E036-4AF3-B73E-FEB913D55518}" name="Column6642"/>
    <tableColumn id="6657" xr3:uid="{198D97F0-2B72-473D-8A67-87ABFAD0278B}" name="Column6643"/>
    <tableColumn id="6658" xr3:uid="{4BC455A8-6AC3-45F3-A0A6-DF2D98D10690}" name="Column6644"/>
    <tableColumn id="6659" xr3:uid="{5E9D87CB-8B6A-4691-8CB1-4B3B4B7AD759}" name="Column6645"/>
    <tableColumn id="6660" xr3:uid="{16EC1ABB-37CE-4F3F-8960-0472E4D2F068}" name="Column6646"/>
    <tableColumn id="6661" xr3:uid="{0155A1F1-A77F-4352-BAC6-22A6284B3B61}" name="Column6647"/>
    <tableColumn id="6662" xr3:uid="{AE77011B-040C-449B-9FC3-304B8CE47C4B}" name="Column6648"/>
    <tableColumn id="6663" xr3:uid="{BBA27443-36B1-4457-AB73-FCA9603E9112}" name="Column6649"/>
    <tableColumn id="6664" xr3:uid="{8E97A7D5-3710-4FE9-AF75-7205EB1536FE}" name="Column6650"/>
    <tableColumn id="6665" xr3:uid="{BCCD1843-F2A6-4A87-9CC5-5EAE654E0ECC}" name="Column6651"/>
    <tableColumn id="6666" xr3:uid="{AC8A66F7-C7DB-4BBB-9FF6-2616C64342E4}" name="Column6652"/>
    <tableColumn id="6667" xr3:uid="{D2ED290C-5988-480D-8BF1-EF43268A0C1E}" name="Column6653"/>
    <tableColumn id="6668" xr3:uid="{4EEC67EB-F16D-4CD5-B961-0871B2CE32C7}" name="Column6654"/>
    <tableColumn id="6669" xr3:uid="{747624D1-A5FB-4B71-8FED-1F780C87CBE4}" name="Column6655"/>
    <tableColumn id="6670" xr3:uid="{13AE1405-92DE-4013-9918-9ECED60ACFDB}" name="Column6656"/>
    <tableColumn id="6671" xr3:uid="{C4013315-DD75-427A-A187-60CC60B4A72A}" name="Column6657"/>
    <tableColumn id="6672" xr3:uid="{BEBEEBA1-ACC9-498C-A860-B89F5F74782D}" name="Column6658"/>
    <tableColumn id="6673" xr3:uid="{A44EBC07-B801-4C08-9936-253399913ABA}" name="Column6659"/>
    <tableColumn id="6674" xr3:uid="{7A224C61-57B1-4EED-8427-A52E40C4A7A5}" name="Column6660"/>
    <tableColumn id="6675" xr3:uid="{91AE133F-4E67-45BB-96AB-3436E33DEBC1}" name="Column6661"/>
    <tableColumn id="6676" xr3:uid="{5411FBD3-12FF-4376-BA39-06C7566E81CF}" name="Column6662"/>
    <tableColumn id="6677" xr3:uid="{CFC18184-FF91-40B9-8820-93DF0884F73A}" name="Column6663"/>
    <tableColumn id="6678" xr3:uid="{186589F4-4B29-4068-9538-FDB1DE2BD2DF}" name="Column6664"/>
    <tableColumn id="6679" xr3:uid="{54AA5AD2-6A05-422F-B7EA-0B9B2C9C1310}" name="Column6665"/>
    <tableColumn id="6680" xr3:uid="{03EDC599-6396-480C-850C-2F25D9DFF807}" name="Column6666"/>
    <tableColumn id="6681" xr3:uid="{7F37287C-1C89-4F52-8F4D-18B7538B5783}" name="Column6667"/>
    <tableColumn id="6682" xr3:uid="{18A9B998-EB38-4E94-9C86-E89916772B7A}" name="Column6668"/>
    <tableColumn id="6683" xr3:uid="{E7F8775A-4522-47BF-A7BE-E1D9725359D5}" name="Column6669"/>
    <tableColumn id="6684" xr3:uid="{D05922CF-57DE-4DC0-9363-D40D18C5D13E}" name="Column6670"/>
    <tableColumn id="6685" xr3:uid="{D408D53E-7256-4FAE-B4BC-270C5C362C77}" name="Column6671"/>
    <tableColumn id="6686" xr3:uid="{458C7C08-0ACB-4894-84B0-01CC821A0FDD}" name="Column6672"/>
    <tableColumn id="6687" xr3:uid="{EAA1F620-5005-4ED9-8C64-039A872DE4B8}" name="Column6673"/>
    <tableColumn id="6688" xr3:uid="{4EB78F57-73CC-4A81-80C5-47763554872F}" name="Column6674"/>
    <tableColumn id="6689" xr3:uid="{79BC1D3C-0655-4EBE-835D-91FF9F0C0491}" name="Column6675"/>
    <tableColumn id="6690" xr3:uid="{D7F0F93F-AB9E-4142-9016-7BE9197B4663}" name="Column6676"/>
    <tableColumn id="6691" xr3:uid="{7F889421-525C-4B37-AF6E-909F0A429430}" name="Column6677"/>
    <tableColumn id="6692" xr3:uid="{02E51CA8-5958-423E-A905-8113A20DDF3C}" name="Column6678"/>
    <tableColumn id="6693" xr3:uid="{6FDB6706-7F61-43A1-A990-DB8B6BF58C99}" name="Column6679"/>
    <tableColumn id="6694" xr3:uid="{9ED8B158-44DB-4881-9FDA-F42F6389D89B}" name="Column6680"/>
    <tableColumn id="6695" xr3:uid="{00F0756F-12E1-47AC-A2EC-60CEB4933443}" name="Column6681"/>
    <tableColumn id="6696" xr3:uid="{8EFCD166-FB11-4074-AB44-8A715784FEEA}" name="Column6682"/>
    <tableColumn id="6697" xr3:uid="{50708C4D-0F9F-4792-ABAC-1B42B6ECF8B1}" name="Column6683"/>
    <tableColumn id="6698" xr3:uid="{7F4E17D9-778F-4E81-8BB0-9C50D75ADBC7}" name="Column6684"/>
    <tableColumn id="6699" xr3:uid="{C7F785AA-E0E0-4CDA-8D12-09E601AFDCC1}" name="Column6685"/>
    <tableColumn id="6700" xr3:uid="{1E127B40-8FBE-47F4-9CED-8ED903F36505}" name="Column6686"/>
    <tableColumn id="6701" xr3:uid="{EBFD114D-35EF-4C2B-871D-562EB42F7766}" name="Column6687"/>
    <tableColumn id="6702" xr3:uid="{29C48D12-7951-4A84-8019-F5F8C9E0AC65}" name="Column6688"/>
    <tableColumn id="6703" xr3:uid="{4EFF3C4D-B6ED-46C0-B769-0D1CBDFAF00C}" name="Column6689"/>
    <tableColumn id="6704" xr3:uid="{F317E827-93F0-4913-9C07-3CC517DC14F0}" name="Column6690"/>
    <tableColumn id="6705" xr3:uid="{9947545C-7E38-4105-ABAD-8392F7636DC7}" name="Column6691"/>
    <tableColumn id="6706" xr3:uid="{EDACE9BB-13B5-46B9-83C0-E2EC1F18629D}" name="Column6692"/>
    <tableColumn id="6707" xr3:uid="{9D816246-227B-4AA7-957A-552885050803}" name="Column6693"/>
    <tableColumn id="6708" xr3:uid="{2F883AEE-82DB-4F66-9ED0-1DEC2EDE5E93}" name="Column6694"/>
    <tableColumn id="6709" xr3:uid="{647BABE5-3FA8-42E9-B33A-3247FB976273}" name="Column6695"/>
    <tableColumn id="6710" xr3:uid="{1BBA39E5-F6A8-44F5-AE47-E6BEF113A5D2}" name="Column6696"/>
    <tableColumn id="6711" xr3:uid="{759B90AD-E14E-4E2E-A093-630D0EAA8890}" name="Column6697"/>
    <tableColumn id="6712" xr3:uid="{AE5CF693-C816-4DFB-9DA5-185F1BEABA53}" name="Column6698"/>
    <tableColumn id="6713" xr3:uid="{58835710-9DFC-499D-8AEE-815D547C7E6C}" name="Column6699"/>
    <tableColumn id="6714" xr3:uid="{B73B706A-9ACE-44D6-A163-385C73942027}" name="Column6700"/>
    <tableColumn id="6715" xr3:uid="{ABEC327B-BFB3-4417-A503-620E325199C9}" name="Column6701"/>
    <tableColumn id="6716" xr3:uid="{46615C0F-F95C-47BC-97DD-450D28FF6EB1}" name="Column6702"/>
    <tableColumn id="6717" xr3:uid="{FCA4B95F-EDA6-4A25-86F0-A9998DD90013}" name="Column6703"/>
    <tableColumn id="6718" xr3:uid="{9638A291-D796-451C-B31E-827A46ADE92B}" name="Column6704"/>
    <tableColumn id="6719" xr3:uid="{535DF1BA-9ED1-45E7-9E31-295022ED600C}" name="Column6705"/>
    <tableColumn id="6720" xr3:uid="{F6B2B831-18E4-4AB3-8A78-5763DBAFA841}" name="Column6706"/>
    <tableColumn id="6721" xr3:uid="{B47A3377-3F1C-4EDA-BDC7-6AC74BD9FF36}" name="Column6707"/>
    <tableColumn id="6722" xr3:uid="{2942B3FF-1FEF-483F-A3D4-C3A6F75DB599}" name="Column6708"/>
    <tableColumn id="6723" xr3:uid="{2C0E5440-9734-4912-84A1-39DA3A4C0A53}" name="Column6709"/>
    <tableColumn id="6724" xr3:uid="{E30BB14A-BEAD-4D60-B0D4-80FA968254C5}" name="Column6710"/>
    <tableColumn id="6725" xr3:uid="{FB98AC81-9752-4A89-A4A4-D276CE8A6E82}" name="Column6711"/>
    <tableColumn id="6726" xr3:uid="{D4FEF893-C448-4537-A0B1-6087A8C1550F}" name="Column6712"/>
    <tableColumn id="6727" xr3:uid="{9EF5606F-8D63-483F-9D05-3B23D5977DB4}" name="Column6713"/>
    <tableColumn id="6728" xr3:uid="{5191FA20-DE2D-4083-8848-90B2F6DEFE2C}" name="Column6714"/>
    <tableColumn id="6729" xr3:uid="{C911CFE0-D049-4812-8111-9D37E650D014}" name="Column6715"/>
    <tableColumn id="6730" xr3:uid="{23D49FB7-E020-416D-8AB7-DAF8B05E5CAC}" name="Column6716"/>
    <tableColumn id="6731" xr3:uid="{805A9AC1-0975-4BDE-8D16-58D14302B1B8}" name="Column6717"/>
    <tableColumn id="6732" xr3:uid="{5D406E34-B752-4846-8587-FED2F7757688}" name="Column6718"/>
    <tableColumn id="6733" xr3:uid="{124E88AA-AB91-4504-8DF0-0AC180DFE787}" name="Column6719"/>
    <tableColumn id="6734" xr3:uid="{38B4B908-7F7A-478E-99F9-6738A23300AF}" name="Column6720"/>
    <tableColumn id="6735" xr3:uid="{E3BA7EC2-DC76-4E32-B193-D72A44E47F84}" name="Column6721"/>
    <tableColumn id="6736" xr3:uid="{7736B0F5-6691-4EA1-821A-67A5B4EDAADE}" name="Column6722"/>
    <tableColumn id="6737" xr3:uid="{90969EFB-DA6A-4425-9DA7-F24039A19CC6}" name="Column6723"/>
    <tableColumn id="6738" xr3:uid="{6C250B36-F30B-4DF1-A338-360C2158041E}" name="Column6724"/>
    <tableColumn id="6739" xr3:uid="{A8FB56BF-3B4E-40B5-B68B-A8A0D195ED9C}" name="Column6725"/>
    <tableColumn id="6740" xr3:uid="{1154B2A0-3804-4C9D-8AC8-E21516B52AF2}" name="Column6726"/>
    <tableColumn id="6741" xr3:uid="{66818287-0E99-498E-979E-C7350FE71DC3}" name="Column6727"/>
    <tableColumn id="6742" xr3:uid="{D1A3588F-66C9-46DF-A98B-F7FCCB7C6252}" name="Column6728"/>
    <tableColumn id="6743" xr3:uid="{9F256DB3-73A9-483A-A973-187D5CA36C12}" name="Column6729"/>
    <tableColumn id="6744" xr3:uid="{D63866AE-C2DB-4C99-A2B8-AE6160DEBB62}" name="Column6730"/>
    <tableColumn id="6745" xr3:uid="{6BE6CBE9-AA05-4B29-80F4-FF3673DAFEAD}" name="Column6731"/>
    <tableColumn id="6746" xr3:uid="{249989ED-68DF-461F-A93C-F91DB6D1C0C3}" name="Column6732"/>
    <tableColumn id="6747" xr3:uid="{CA3F4FDE-DE23-4990-A98E-FD584DE74342}" name="Column6733"/>
    <tableColumn id="6748" xr3:uid="{89799A0B-001C-4F90-9427-6D67E890C936}" name="Column6734"/>
    <tableColumn id="6749" xr3:uid="{FE117862-E7CD-4FEA-A3F9-876EE7E55826}" name="Column6735"/>
    <tableColumn id="6750" xr3:uid="{54BB9D76-F2A5-468C-967C-8B51D863D827}" name="Column6736"/>
    <tableColumn id="6751" xr3:uid="{7A8B9A25-2085-4A35-8670-0E1C7C02E57F}" name="Column6737"/>
    <tableColumn id="6752" xr3:uid="{BA6E7304-3DF6-4A66-A448-DB8C3404F48E}" name="Column6738"/>
    <tableColumn id="6753" xr3:uid="{79E06819-3AC9-449A-BD67-CD7859EEC517}" name="Column6739"/>
    <tableColumn id="6754" xr3:uid="{471AB013-75F4-4977-8F5D-8961B760467A}" name="Column6740"/>
    <tableColumn id="6755" xr3:uid="{7935E274-3610-4551-8053-035036453E1F}" name="Column6741"/>
    <tableColumn id="6756" xr3:uid="{8DE73422-6FD9-4FCD-AA47-50B5A54DFF12}" name="Column6742"/>
    <tableColumn id="6757" xr3:uid="{20E8627F-35B5-4886-B13B-0A6AF41E6FE0}" name="Column6743"/>
    <tableColumn id="6758" xr3:uid="{1CB7825A-B77A-4CD6-A1A2-13859A46FFB9}" name="Column6744"/>
    <tableColumn id="6759" xr3:uid="{C3DB0374-563D-4318-B727-65CCFACE9DD7}" name="Column6745"/>
    <tableColumn id="6760" xr3:uid="{7A218B7F-89EC-46F9-811D-538C29108A43}" name="Column6746"/>
    <tableColumn id="6761" xr3:uid="{D032FF4E-CDAF-4650-8042-D111F5590718}" name="Column6747"/>
    <tableColumn id="6762" xr3:uid="{1FBF0203-691F-4DCC-8CB0-F7D69C01E1B7}" name="Column6748"/>
    <tableColumn id="6763" xr3:uid="{67315693-6D88-4153-9836-A1C646D8674E}" name="Column6749"/>
    <tableColumn id="6764" xr3:uid="{123F4577-78C9-4B92-8644-E76BA1AAA55C}" name="Column6750"/>
    <tableColumn id="6765" xr3:uid="{0579F770-1701-4776-AFDC-B7ACBA3F4E7A}" name="Column6751"/>
    <tableColumn id="6766" xr3:uid="{BAF13629-DADF-44BA-BDAB-FED35A730F0B}" name="Column6752"/>
    <tableColumn id="6767" xr3:uid="{79069074-1294-4DA2-80EE-B15A599508DC}" name="Column6753"/>
    <tableColumn id="6768" xr3:uid="{15A9B1AA-7151-45A8-AD21-022CD12FD4AF}" name="Column6754"/>
    <tableColumn id="6769" xr3:uid="{C5D1A1F1-3F5A-48A7-8A39-6537F81658AC}" name="Column6755"/>
    <tableColumn id="6770" xr3:uid="{7374F97B-A134-49B7-A0D7-85F70B7FA713}" name="Column6756"/>
    <tableColumn id="6771" xr3:uid="{77D19F21-F87D-40DE-B2ED-11BC9239BAED}" name="Column6757"/>
    <tableColumn id="6772" xr3:uid="{88D16B73-639B-48A8-A135-4FD82ED66C65}" name="Column6758"/>
    <tableColumn id="6773" xr3:uid="{426A5168-F297-4808-8542-59098C1572F4}" name="Column6759"/>
    <tableColumn id="6774" xr3:uid="{34FF8C84-4872-4035-A2AA-0A9EA02CE69C}" name="Column6760"/>
    <tableColumn id="6775" xr3:uid="{71604D5E-9DBC-4B63-8D22-9A071E3592E7}" name="Column6761"/>
    <tableColumn id="6776" xr3:uid="{DDEAB732-7CE6-4EF8-A567-6877F74F9064}" name="Column6762"/>
    <tableColumn id="6777" xr3:uid="{92A7569C-1E4B-4455-AA97-D6CE4B30F205}" name="Column6763"/>
    <tableColumn id="6778" xr3:uid="{1D20DDA5-BC1A-482B-B858-FAEDF5176434}" name="Column6764"/>
    <tableColumn id="6779" xr3:uid="{CF6CFB56-91BE-4EC6-A30F-12F2072070D9}" name="Column6765"/>
    <tableColumn id="6780" xr3:uid="{A8436AA4-A2F9-4EE1-8B86-B73F4522DD61}" name="Column6766"/>
    <tableColumn id="6781" xr3:uid="{9857A27A-F519-48C0-9649-7417DCF76C1F}" name="Column6767"/>
    <tableColumn id="6782" xr3:uid="{BB2FB78F-EA3E-4DAB-B664-99A1F8E7C190}" name="Column6768"/>
    <tableColumn id="6783" xr3:uid="{EFBCEF87-1993-4F24-9307-C0CE5F73982D}" name="Column6769"/>
    <tableColumn id="6784" xr3:uid="{3F86C410-7EBB-43CE-A098-AC7DA0673753}" name="Column6770"/>
    <tableColumn id="6785" xr3:uid="{73CA4599-3222-4FBD-A822-96EE2D748D46}" name="Column6771"/>
    <tableColumn id="6786" xr3:uid="{1C19DCFE-7C07-4399-9D4E-36D990BD9744}" name="Column6772"/>
    <tableColumn id="6787" xr3:uid="{D509A5A7-4B47-4AFF-894E-A1331FB41180}" name="Column6773"/>
    <tableColumn id="6788" xr3:uid="{0D95BDC2-9EAE-4D46-B0CA-4FA3215CF871}" name="Column6774"/>
    <tableColumn id="6789" xr3:uid="{4B9B1567-859B-42C3-B5E2-8FE078C9873D}" name="Column6775"/>
    <tableColumn id="6790" xr3:uid="{584C4FA3-70B4-4877-99AD-E75B656BA682}" name="Column6776"/>
    <tableColumn id="6791" xr3:uid="{7E71644F-7F73-4CD4-9CEA-3DEE38EE9FA1}" name="Column6777"/>
    <tableColumn id="6792" xr3:uid="{36D7B3CC-3E6E-40F0-8313-827FF60298B7}" name="Column6778"/>
    <tableColumn id="6793" xr3:uid="{A5ACF107-997B-4685-88FA-DB15D030974C}" name="Column6779"/>
    <tableColumn id="6794" xr3:uid="{EF6357FB-3F2D-44EB-A6AC-3F0D0CD4C3F6}" name="Column6780"/>
    <tableColumn id="6795" xr3:uid="{87DC9D72-5E48-4520-8CCE-60E0A67B9193}" name="Column6781"/>
    <tableColumn id="6796" xr3:uid="{E4FCA68F-5817-42EB-A87A-4C8D5EE170AA}" name="Column6782"/>
    <tableColumn id="6797" xr3:uid="{3B15B01C-A562-4F9E-8066-DD1275153792}" name="Column6783"/>
    <tableColumn id="6798" xr3:uid="{FD1563D6-20D4-4055-AFCE-62317659BA7E}" name="Column6784"/>
    <tableColumn id="6799" xr3:uid="{825E8266-02FC-46FC-81A4-E8CC01DA9E0B}" name="Column6785"/>
    <tableColumn id="6800" xr3:uid="{49F84A7E-F38D-4F1E-B686-6D11F900CCF7}" name="Column6786"/>
    <tableColumn id="6801" xr3:uid="{E28C0DA3-FBA2-4273-B4DE-B32F31C54197}" name="Column6787"/>
    <tableColumn id="6802" xr3:uid="{1BFA1C45-3D9B-4884-BA38-7642F21163C8}" name="Column6788"/>
    <tableColumn id="6803" xr3:uid="{CF987D47-2F6E-48D2-8112-C94FEF29534F}" name="Column6789"/>
    <tableColumn id="6804" xr3:uid="{C8889DEF-8D0F-4D3E-8CFB-67772516C010}" name="Column6790"/>
    <tableColumn id="6805" xr3:uid="{92BCE71D-8D40-4CC9-A11B-0AFB719F3D77}" name="Column6791"/>
    <tableColumn id="6806" xr3:uid="{4FDCA0BC-CF70-4EA4-A983-434284EF4669}" name="Column6792"/>
    <tableColumn id="6807" xr3:uid="{C087A9CF-E656-443A-B873-39389BD50DAA}" name="Column6793"/>
    <tableColumn id="6808" xr3:uid="{97FDCCAE-FC66-44EF-AA9E-B54F43CE3E18}" name="Column6794"/>
    <tableColumn id="6809" xr3:uid="{9BE58770-2A19-46CF-8783-13064471F680}" name="Column6795"/>
    <tableColumn id="6810" xr3:uid="{5CFE6793-4547-4810-AD5F-0E8D8309D783}" name="Column6796"/>
    <tableColumn id="6811" xr3:uid="{14C86FC4-7FD6-4270-8C14-E6BB9255A7BE}" name="Column6797"/>
    <tableColumn id="6812" xr3:uid="{6283817F-B263-4D01-8934-9A462BDE9F24}" name="Column6798"/>
    <tableColumn id="6813" xr3:uid="{937FFA12-973F-4068-9B1B-D10ED0624FC4}" name="Column6799"/>
    <tableColumn id="6814" xr3:uid="{9530A837-8430-4844-A44F-890932A51A79}" name="Column6800"/>
    <tableColumn id="6815" xr3:uid="{B9B1EC80-4196-441D-BECF-A31477F9C895}" name="Column6801"/>
    <tableColumn id="6816" xr3:uid="{DA8C25B7-2343-433A-A273-11D35BF38F31}" name="Column6802"/>
    <tableColumn id="6817" xr3:uid="{7190F5CC-93B5-4215-9721-1006FE62313D}" name="Column6803"/>
    <tableColumn id="6818" xr3:uid="{38AF4FD0-E8DA-4FDF-9852-CA638B441EF4}" name="Column6804"/>
    <tableColumn id="6819" xr3:uid="{D09D0896-2226-4432-97F5-529E6E35CF0F}" name="Column6805"/>
    <tableColumn id="6820" xr3:uid="{61049FB0-5E4D-4F65-9A72-8453372753D4}" name="Column6806"/>
    <tableColumn id="6821" xr3:uid="{E303D28B-7EB6-410A-A862-992D597B4B8D}" name="Column6807"/>
    <tableColumn id="6822" xr3:uid="{2CD980DA-E3F4-4967-91E5-B5E983D8A288}" name="Column6808"/>
    <tableColumn id="6823" xr3:uid="{FC67CD28-16DD-4258-8BCD-669CB9B48F1F}" name="Column6809"/>
    <tableColumn id="6824" xr3:uid="{2432CAD2-BF26-49C6-8396-02C9DBB76B78}" name="Column6810"/>
    <tableColumn id="6825" xr3:uid="{C251E24C-22F8-43D2-BD69-D8A9A6A792A9}" name="Column6811"/>
    <tableColumn id="6826" xr3:uid="{1272547B-3CED-4083-89CA-31C05268C353}" name="Column6812"/>
    <tableColumn id="6827" xr3:uid="{BFC3619B-7250-4962-AC95-6D84E3649869}" name="Column6813"/>
    <tableColumn id="6828" xr3:uid="{6D240AC1-5C7B-4DC8-96DD-90AD18C11706}" name="Column6814"/>
    <tableColumn id="6829" xr3:uid="{1022D88D-721B-48B8-A271-FA661B58EFDC}" name="Column6815"/>
    <tableColumn id="6830" xr3:uid="{BD0128A4-A7DF-44B9-8660-94E50EB97816}" name="Column6816"/>
    <tableColumn id="6831" xr3:uid="{732FC860-778D-4E32-AFA3-B873423C016F}" name="Column6817"/>
    <tableColumn id="6832" xr3:uid="{998C578A-BCF7-491B-9537-83962F34A56D}" name="Column6818"/>
    <tableColumn id="6833" xr3:uid="{4E820E7A-DCC3-47AF-ADDA-27FDE27B8179}" name="Column6819"/>
    <tableColumn id="6834" xr3:uid="{F20B7486-4F55-4335-840E-E427BE1AF1B0}" name="Column6820"/>
    <tableColumn id="6835" xr3:uid="{024B37E3-2B83-40AF-866C-5F3075DE41D6}" name="Column6821"/>
    <tableColumn id="6836" xr3:uid="{5F6AB363-BDEE-48D2-A8B3-D88A3935471B}" name="Column6822"/>
    <tableColumn id="6837" xr3:uid="{1100EE6B-34D8-4A04-8562-EBA1E98A3CCA}" name="Column6823"/>
    <tableColumn id="6838" xr3:uid="{BB908F5F-492E-436B-9173-38DDBD76D0FA}" name="Column6824"/>
    <tableColumn id="6839" xr3:uid="{284BB0AE-47C7-4EAA-A0EE-883B9390919E}" name="Column6825"/>
    <tableColumn id="6840" xr3:uid="{2ABDE191-4DBF-424E-B016-83748895AF15}" name="Column6826"/>
    <tableColumn id="6841" xr3:uid="{21ACD50A-CB88-4A0E-86CD-A1D10F17A8F0}" name="Column6827"/>
    <tableColumn id="6842" xr3:uid="{15B6FDFF-6ADC-4E59-A935-8AE52DA1F27D}" name="Column6828"/>
    <tableColumn id="6843" xr3:uid="{3F8A490B-68CC-4F4F-97BD-A5A5CDE8E831}" name="Column6829"/>
    <tableColumn id="6844" xr3:uid="{74ED4B43-7783-4315-A6D0-63288F0F1495}" name="Column6830"/>
    <tableColumn id="6845" xr3:uid="{B3155738-AB11-40E1-AC35-4C0CECB6BDC2}" name="Column6831"/>
    <tableColumn id="6846" xr3:uid="{20D524A6-89F5-4D91-9068-489E5299223D}" name="Column6832"/>
    <tableColumn id="6847" xr3:uid="{7900A95D-0F17-47E0-BBC5-CF778CC04D52}" name="Column6833"/>
    <tableColumn id="6848" xr3:uid="{EECDCCD3-1B85-4F0F-9F4B-3B3593F6CE3E}" name="Column6834"/>
    <tableColumn id="6849" xr3:uid="{C6A9B3FE-94E7-4B88-ACFB-EFC69A785326}" name="Column6835"/>
    <tableColumn id="6850" xr3:uid="{86AF57FE-7F25-4060-98BF-9FF1A33F5E28}" name="Column6836"/>
    <tableColumn id="6851" xr3:uid="{252475E4-CACD-425F-B124-D684169EF1E6}" name="Column6837"/>
    <tableColumn id="6852" xr3:uid="{10EEE968-4209-482C-A897-1BA1A6CDC7FF}" name="Column6838"/>
    <tableColumn id="6853" xr3:uid="{DCD1A458-2933-4210-A826-7BC526709138}" name="Column6839"/>
    <tableColumn id="6854" xr3:uid="{52A8AA76-FF8A-4551-B434-CDF35EE10E7A}" name="Column6840"/>
    <tableColumn id="6855" xr3:uid="{08E5F818-3C20-42D1-8E6E-32E6653D7F73}" name="Column6841"/>
    <tableColumn id="6856" xr3:uid="{32B576F3-5625-4506-9DCE-4C2213DBF57A}" name="Column6842"/>
    <tableColumn id="6857" xr3:uid="{45C8DAFC-61D6-4645-BCE8-B295C85D5337}" name="Column6843"/>
    <tableColumn id="6858" xr3:uid="{8532FABF-E5CB-46B7-953C-F061742FCAD2}" name="Column6844"/>
    <tableColumn id="6859" xr3:uid="{DDFC501E-CCA7-4594-803B-BFBCC1A5E4FB}" name="Column6845"/>
    <tableColumn id="6860" xr3:uid="{F2BC4D52-B512-4192-8146-55EDE2517E0E}" name="Column6846"/>
    <tableColumn id="6861" xr3:uid="{F8CBC0FC-48C5-4C66-841D-65FBC986EA81}" name="Column6847"/>
    <tableColumn id="6862" xr3:uid="{974E5D19-D52D-4D0B-A556-7B9DC7E49CBF}" name="Column6848"/>
    <tableColumn id="6863" xr3:uid="{F065EAD8-A738-4B7A-9B51-D1198272CC79}" name="Column6849"/>
    <tableColumn id="6864" xr3:uid="{0629584B-2A03-4FD2-AEA2-07DAF40CCB6A}" name="Column6850"/>
    <tableColumn id="6865" xr3:uid="{3857D544-F94E-48A5-A453-1D211D1CF95F}" name="Column6851"/>
    <tableColumn id="6866" xr3:uid="{19F1FFF3-D3C9-4BCA-876A-755FAF16CBEB}" name="Column6852"/>
    <tableColumn id="6867" xr3:uid="{99558FC0-55EF-4B5E-B734-B3FC514BC8DB}" name="Column6853"/>
    <tableColumn id="6868" xr3:uid="{5DDE746C-F623-477E-8CC1-74AEF56AB933}" name="Column6854"/>
    <tableColumn id="6869" xr3:uid="{23761C7D-CD5B-451D-BCB8-00BB99285393}" name="Column6855"/>
    <tableColumn id="6870" xr3:uid="{0B4E29CB-A9F2-4C8F-BAF9-F5591315632F}" name="Column6856"/>
    <tableColumn id="6871" xr3:uid="{9556050F-27DC-413D-926A-4CCF6B0D00A0}" name="Column6857"/>
    <tableColumn id="6872" xr3:uid="{7E38881B-7D5A-4C99-8C37-32BA10643D1E}" name="Column6858"/>
    <tableColumn id="6873" xr3:uid="{7E35ADC1-7681-49CB-8448-A4DA8EE4E724}" name="Column6859"/>
    <tableColumn id="6874" xr3:uid="{867175F3-DC8B-43DF-8817-B920494A9432}" name="Column6860"/>
    <tableColumn id="6875" xr3:uid="{06DFAB51-8D2D-4AB8-97C3-97C848FFD8E5}" name="Column6861"/>
    <tableColumn id="6876" xr3:uid="{BFCDD7DA-1563-4302-BDB0-6F7AB82AD853}" name="Column6862"/>
    <tableColumn id="6877" xr3:uid="{AF78719B-289C-4B7B-A96E-1084EAF3C366}" name="Column6863"/>
    <tableColumn id="6878" xr3:uid="{C2426B12-63E0-45F3-85AD-892B6813CFE3}" name="Column6864"/>
    <tableColumn id="6879" xr3:uid="{AC0D7ED8-DBF3-4FB0-86F0-3A283DAFC3F3}" name="Column6865"/>
    <tableColumn id="6880" xr3:uid="{361A3615-33C9-47FF-B68C-7A4E97C2AA51}" name="Column6866"/>
    <tableColumn id="6881" xr3:uid="{BAE4DDC5-5688-4A12-8600-81F36CABF2FD}" name="Column6867"/>
    <tableColumn id="6882" xr3:uid="{8F08CAD4-4DBC-4C7E-9687-6A167764E370}" name="Column6868"/>
    <tableColumn id="6883" xr3:uid="{69E302F5-4217-45B8-A6EA-A2FE16669D6E}" name="Column6869"/>
    <tableColumn id="6884" xr3:uid="{20A8E1E6-C252-421D-95E9-5E74AFA04D43}" name="Column6870"/>
    <tableColumn id="6885" xr3:uid="{EF37D7C8-C79B-4894-97FF-E217F8032B29}" name="Column6871"/>
    <tableColumn id="6886" xr3:uid="{94F3D562-A235-4DEB-A4D5-8BC2C00BB27A}" name="Column6872"/>
    <tableColumn id="6887" xr3:uid="{9B7D1B44-2967-4529-B165-154D062EE58B}" name="Column6873"/>
    <tableColumn id="6888" xr3:uid="{B8F4BC76-F2AF-4C37-B005-9F1185953A53}" name="Column6874"/>
    <tableColumn id="6889" xr3:uid="{A4B2FE9D-25E6-40D2-BC18-F30CB623C6E6}" name="Column6875"/>
    <tableColumn id="6890" xr3:uid="{42CC3BA5-1D08-4987-B105-EC53E1BFD00D}" name="Column6876"/>
    <tableColumn id="6891" xr3:uid="{87E64ECA-CB51-4AA5-8F96-02A95A599580}" name="Column6877"/>
    <tableColumn id="6892" xr3:uid="{B000FADB-86D7-40AF-8949-1004D19FE855}" name="Column6878"/>
    <tableColumn id="6893" xr3:uid="{8A799E57-7744-4F14-BC84-8059953E903E}" name="Column6879"/>
    <tableColumn id="6894" xr3:uid="{35F24B1F-4740-47A1-A328-B848F7559D7C}" name="Column6880"/>
    <tableColumn id="6895" xr3:uid="{013DE6E8-616A-4E00-9215-101A70C3A72B}" name="Column6881"/>
    <tableColumn id="6896" xr3:uid="{A98C2272-6AC7-4850-B13A-9C743F4A062F}" name="Column6882"/>
    <tableColumn id="6897" xr3:uid="{D894B2DC-6877-4057-A99F-6BCE91B3D3D1}" name="Column6883"/>
    <tableColumn id="6898" xr3:uid="{700366DA-7527-4DAA-B243-8D41D746E5D4}" name="Column6884"/>
    <tableColumn id="6899" xr3:uid="{BE337DC1-1E1C-43CB-A7F9-805D7E4B0B3A}" name="Column6885"/>
    <tableColumn id="6900" xr3:uid="{96A01EEC-6588-4342-A320-CB3FAE6B3408}" name="Column6886"/>
    <tableColumn id="6901" xr3:uid="{BDD68AF0-EFEA-49E1-9EA9-A1A24F8A83A8}" name="Column6887"/>
    <tableColumn id="6902" xr3:uid="{6622662E-A0C8-42A2-8C4E-E6DC76A6324C}" name="Column6888"/>
    <tableColumn id="6903" xr3:uid="{FE9B25B9-015F-4A82-9B22-7587404E41DA}" name="Column6889"/>
    <tableColumn id="6904" xr3:uid="{98489F26-B228-44E2-9C79-8D2127F1D48A}" name="Column6890"/>
    <tableColumn id="6905" xr3:uid="{E405540C-38A8-450A-B668-A0AFFC792FA5}" name="Column6891"/>
    <tableColumn id="6906" xr3:uid="{BBF1F74C-9D80-4F1F-8BEB-5249BC8A72AF}" name="Column6892"/>
    <tableColumn id="6907" xr3:uid="{67CAC669-DA00-4F87-927C-04F5038DF160}" name="Column6893"/>
    <tableColumn id="6908" xr3:uid="{B99DEBCB-807D-4EBE-B43C-15740F3E842E}" name="Column6894"/>
    <tableColumn id="6909" xr3:uid="{A6F06655-FFA8-4CFE-ADAC-DAC38A695D3B}" name="Column6895"/>
    <tableColumn id="6910" xr3:uid="{B31C4FF5-2961-4BB4-8EF0-7AEABCEB284A}" name="Column6896"/>
    <tableColumn id="6911" xr3:uid="{AB82305A-3CE4-4479-8ABE-D855EA54BECE}" name="Column6897"/>
    <tableColumn id="6912" xr3:uid="{9D6D3D9C-7EC8-46D3-A868-9996A1CE4503}" name="Column6898"/>
    <tableColumn id="6913" xr3:uid="{A384E97B-FB4A-4129-9719-EDBC2CF94F16}" name="Column6899"/>
    <tableColumn id="6914" xr3:uid="{44E23AAC-62E7-4EC6-9542-A8CE57726012}" name="Column6900"/>
    <tableColumn id="6915" xr3:uid="{F4188D76-677A-425F-A6D7-998C6F1B9E46}" name="Column6901"/>
    <tableColumn id="6916" xr3:uid="{FA32E881-6F97-4251-89DE-7B3E25D2612A}" name="Column6902"/>
    <tableColumn id="6917" xr3:uid="{81242481-44DE-4B23-9F1E-4F6168874435}" name="Column6903"/>
    <tableColumn id="6918" xr3:uid="{0CBCD46F-E02A-4281-BABA-D1B3F546E825}" name="Column6904"/>
    <tableColumn id="6919" xr3:uid="{8AAB691A-13D9-4D8C-82F1-9A6B1C7CCC6C}" name="Column6905"/>
    <tableColumn id="6920" xr3:uid="{F7A5F001-4FB8-4F93-BBF4-A9E46B495EA5}" name="Column6906"/>
    <tableColumn id="6921" xr3:uid="{7702097D-9690-4022-B930-FF02169D96A9}" name="Column6907"/>
    <tableColumn id="6922" xr3:uid="{56FF021D-B159-47FA-AE51-44D50239AEF0}" name="Column6908"/>
    <tableColumn id="6923" xr3:uid="{BB13B079-67E5-422A-83D4-D7D4697DDC63}" name="Column6909"/>
    <tableColumn id="6924" xr3:uid="{00611DD2-1B43-45E6-9CA9-9AB4C562B523}" name="Column6910"/>
    <tableColumn id="6925" xr3:uid="{353D7E47-73E3-451F-8BAB-468190CA6518}" name="Column6911"/>
    <tableColumn id="6926" xr3:uid="{4F8045FF-207D-4C65-A8ED-24A241E04B5D}" name="Column6912"/>
    <tableColumn id="6927" xr3:uid="{6A44507F-EB2B-4DE9-AAC8-BCB348A95B5B}" name="Column6913"/>
    <tableColumn id="6928" xr3:uid="{64FF5075-5A93-4EF5-B8CB-06073C379880}" name="Column6914"/>
    <tableColumn id="6929" xr3:uid="{0C1185D3-0E44-4E66-AF01-E57A5708B96D}" name="Column6915"/>
    <tableColumn id="6930" xr3:uid="{6E1A0DA3-7603-4207-B2F2-32AF0FBDA57A}" name="Column6916"/>
    <tableColumn id="6931" xr3:uid="{DF1880FC-5C65-4A6D-B9B0-0D85A7442FEF}" name="Column6917"/>
    <tableColumn id="6932" xr3:uid="{59E48B8B-1A33-42EA-B4BA-7112C1CBE3D8}" name="Column6918"/>
    <tableColumn id="6933" xr3:uid="{7C3DFACA-4447-41C0-BE8B-4722DA009BB1}" name="Column6919"/>
    <tableColumn id="6934" xr3:uid="{2FA9E7BD-761A-4984-BC7F-2A0FDBA3A069}" name="Column6920"/>
    <tableColumn id="6935" xr3:uid="{95FA57AF-C955-4B73-89E7-5C79BB6D3F74}" name="Column6921"/>
    <tableColumn id="6936" xr3:uid="{DE220E8C-3FE3-4BF8-B2C9-31689F0373B5}" name="Column6922"/>
    <tableColumn id="6937" xr3:uid="{034F7E1C-0B1A-4868-BE73-7AF6C8504508}" name="Column6923"/>
    <tableColumn id="6938" xr3:uid="{42DFCBC8-3A74-4FF5-A4C7-341A1667991A}" name="Column6924"/>
    <tableColumn id="6939" xr3:uid="{3CBC01CF-2C96-44F6-839F-15C3660141BB}" name="Column6925"/>
    <tableColumn id="6940" xr3:uid="{6A6AAE60-FC82-4C0C-80BB-A570492C6437}" name="Column6926"/>
    <tableColumn id="6941" xr3:uid="{0FB31C65-D9F4-44E4-ABCE-50C975B3C4E7}" name="Column6927"/>
    <tableColumn id="6942" xr3:uid="{A22C5B4E-B838-4893-9C29-016C8BE5A2EE}" name="Column6928"/>
    <tableColumn id="6943" xr3:uid="{18DD2C80-9827-4DA2-ABEA-63DB22306D26}" name="Column6929"/>
    <tableColumn id="6944" xr3:uid="{A7F2D838-21F2-413A-8345-45DADDF98AA1}" name="Column6930"/>
    <tableColumn id="6945" xr3:uid="{334D6B4A-E906-42A6-AB4D-44CDD8CAF573}" name="Column6931"/>
    <tableColumn id="6946" xr3:uid="{790621E2-A8BF-4403-BFFA-2386400CBFA3}" name="Column6932"/>
    <tableColumn id="6947" xr3:uid="{3A12F808-FC37-44AC-A117-645B4A225A81}" name="Column6933"/>
    <tableColumn id="6948" xr3:uid="{D61BF2F0-CBE9-4809-A009-A232FCFF4089}" name="Column6934"/>
    <tableColumn id="6949" xr3:uid="{5F3EE395-3CCE-4052-802F-E532DA7C5737}" name="Column6935"/>
    <tableColumn id="6950" xr3:uid="{A5907708-D180-4180-8C79-4710E965533C}" name="Column6936"/>
    <tableColumn id="6951" xr3:uid="{6A651E7A-F46C-41CA-BD43-E76E525BC726}" name="Column6937"/>
    <tableColumn id="6952" xr3:uid="{7C1F5C38-2411-4F5B-9A26-A8CD1D5E6E68}" name="Column6938"/>
    <tableColumn id="6953" xr3:uid="{A4CBF0A5-F31E-4546-93AE-BF00616672ED}" name="Column6939"/>
    <tableColumn id="6954" xr3:uid="{4EA9D4D5-3888-4A8A-BD59-0FC7199633F0}" name="Column6940"/>
    <tableColumn id="6955" xr3:uid="{8F1CE235-50C1-4516-9D79-0955EAEB4B36}" name="Column6941"/>
    <tableColumn id="6956" xr3:uid="{C98A9AEA-A74E-4447-881F-1058C68CA939}" name="Column6942"/>
    <tableColumn id="6957" xr3:uid="{AA428BD9-8449-43D1-8CC7-34F0B3CD565F}" name="Column6943"/>
    <tableColumn id="6958" xr3:uid="{C875D75E-9500-4E01-B865-26F1B6E058C9}" name="Column6944"/>
    <tableColumn id="6959" xr3:uid="{13187C22-1166-4F02-AA88-935C59517C1F}" name="Column6945"/>
    <tableColumn id="6960" xr3:uid="{092F9A30-7B84-4411-89FB-5B3C5741B22B}" name="Column6946"/>
    <tableColumn id="6961" xr3:uid="{0CA329E3-EDC0-47E5-B21C-60B91D35589B}" name="Column6947"/>
    <tableColumn id="6962" xr3:uid="{220ED804-7FE8-4ED0-BEE2-8F421FDAA247}" name="Column6948"/>
    <tableColumn id="6963" xr3:uid="{5D43F8F2-1CFA-4AC7-B2C5-8B487AFB1E75}" name="Column6949"/>
    <tableColumn id="6964" xr3:uid="{E2421F2E-FF59-47E7-BF08-3805D669229E}" name="Column6950"/>
    <tableColumn id="6965" xr3:uid="{F70CEE3B-403D-48BA-AE84-825BCA40DEB0}" name="Column6951"/>
    <tableColumn id="6966" xr3:uid="{DB518E68-2F7F-4743-996A-56A31C65B2B4}" name="Column6952"/>
    <tableColumn id="6967" xr3:uid="{9C6F7698-B81D-4974-B838-6CA4A89EB763}" name="Column6953"/>
    <tableColumn id="6968" xr3:uid="{4374A0DF-54A7-4E78-B86A-585927129E0C}" name="Column6954"/>
    <tableColumn id="6969" xr3:uid="{71C6CE07-C139-4507-A899-CEEE45BA1554}" name="Column6955"/>
    <tableColumn id="6970" xr3:uid="{30E000DC-8891-48F2-85EE-01431A0B211A}" name="Column6956"/>
    <tableColumn id="6971" xr3:uid="{4E445A06-185E-4210-9450-F6FD0EAFBAAD}" name="Column6957"/>
    <tableColumn id="6972" xr3:uid="{01708DA0-F471-46A5-BB74-432949C53542}" name="Column6958"/>
    <tableColumn id="6973" xr3:uid="{72747E9F-E231-447A-BA8D-7828DA987B8F}" name="Column6959"/>
    <tableColumn id="6974" xr3:uid="{5D142491-5B27-4725-9F11-5FE6EC8F9015}" name="Column6960"/>
    <tableColumn id="6975" xr3:uid="{8C592FDE-A33E-4E9A-BE42-3BC3D443EA0B}" name="Column6961"/>
    <tableColumn id="6976" xr3:uid="{2B5FDDA9-ADE4-48EC-AA6B-8688BBAB2E50}" name="Column6962"/>
    <tableColumn id="6977" xr3:uid="{8B71F179-2912-4A45-8FCC-13DEBAE41BB7}" name="Column6963"/>
    <tableColumn id="6978" xr3:uid="{611F5F77-F472-4DDA-B0FC-17DBCF645AAF}" name="Column6964"/>
    <tableColumn id="6979" xr3:uid="{DDF3CA10-1F1F-45D0-A29B-9E5BD8B6E3B1}" name="Column6965"/>
    <tableColumn id="6980" xr3:uid="{331A4291-A9BD-4AC4-87A9-4E33D904E1BB}" name="Column6966"/>
    <tableColumn id="6981" xr3:uid="{0D8DBC83-8EF3-4F68-84A4-64CA83FC1674}" name="Column6967"/>
    <tableColumn id="6982" xr3:uid="{4F9A062C-8CBB-4926-B3BA-21A2EF2EA12A}" name="Column6968"/>
    <tableColumn id="6983" xr3:uid="{8CC4917D-3939-43C5-9C2A-59D57E1E9317}" name="Column6969"/>
    <tableColumn id="6984" xr3:uid="{E9B2947C-D3BA-47EC-AC66-F4D417255E53}" name="Column6970"/>
    <tableColumn id="6985" xr3:uid="{75EF6BD7-184A-4BD1-8906-8B336C30D8ED}" name="Column6971"/>
    <tableColumn id="6986" xr3:uid="{07F03DD7-37F2-4824-A9E9-56B04067873A}" name="Column6972"/>
    <tableColumn id="6987" xr3:uid="{6DCBB9D8-C2C8-4526-8796-636864B73F39}" name="Column6973"/>
    <tableColumn id="6988" xr3:uid="{397620A1-724A-4B65-A8D4-B64A5451CD49}" name="Column6974"/>
    <tableColumn id="6989" xr3:uid="{32EB810D-94DF-4F88-86B5-4D50F0258E57}" name="Column6975"/>
    <tableColumn id="6990" xr3:uid="{A671F674-17BB-470C-8CCA-E33760114563}" name="Column6976"/>
    <tableColumn id="6991" xr3:uid="{FD026A6F-818C-4982-86DD-DC4D2CE90B4C}" name="Column6977"/>
    <tableColumn id="6992" xr3:uid="{5D7F51FD-910E-4297-8779-83D9C3ADD827}" name="Column6978"/>
    <tableColumn id="6993" xr3:uid="{15359A46-798C-4184-8AF0-DA8C701F8DB0}" name="Column6979"/>
    <tableColumn id="6994" xr3:uid="{22B16954-8E10-4243-AE37-C29FEC5CE3F8}" name="Column6980"/>
    <tableColumn id="6995" xr3:uid="{769A4816-1156-4421-8D13-36AC4ECE4925}" name="Column6981"/>
    <tableColumn id="6996" xr3:uid="{39EF2B7D-FA3D-4013-B0FF-2B8C5BF98D2A}" name="Column6982"/>
    <tableColumn id="6997" xr3:uid="{FE175036-CC8B-4DEA-B845-966063066BC7}" name="Column6983"/>
    <tableColumn id="6998" xr3:uid="{E3BCBB8C-8642-4C50-8813-47C543FDF2BE}" name="Column6984"/>
    <tableColumn id="6999" xr3:uid="{A8806E5E-C364-4B8D-B728-705A9D5B4C50}" name="Column6985"/>
    <tableColumn id="7000" xr3:uid="{691F355A-BAA1-4694-B4B0-09C074F0F85A}" name="Column6986"/>
    <tableColumn id="7001" xr3:uid="{0CCA38BB-7D91-4B66-A6DC-A7B4B9926798}" name="Column6987"/>
    <tableColumn id="7002" xr3:uid="{CBA8E7C0-F5C4-40C4-874E-F0DB8A619F47}" name="Column6988"/>
    <tableColumn id="7003" xr3:uid="{6C421739-E632-46A2-AE7B-1A9B12A02B74}" name="Column6989"/>
    <tableColumn id="7004" xr3:uid="{38E33371-B830-4426-83C1-252A31E0E251}" name="Column6990"/>
    <tableColumn id="7005" xr3:uid="{6AAD2CA0-9200-4BC1-A4C0-689631329C68}" name="Column6991"/>
    <tableColumn id="7006" xr3:uid="{C307F436-FE1F-40FE-9B79-F65A61DE2DAB}" name="Column6992"/>
    <tableColumn id="7007" xr3:uid="{CC74F13A-F0BB-498A-A478-64C6D6BDF42C}" name="Column6993"/>
    <tableColumn id="7008" xr3:uid="{CB14E9DA-C5B3-4463-88A3-9DB7A79DD203}" name="Column6994"/>
    <tableColumn id="7009" xr3:uid="{BB58BE6D-12A5-4961-988B-4E457FA8E846}" name="Column6995"/>
    <tableColumn id="7010" xr3:uid="{0ED7C67B-D1E4-4557-B3AE-B94FA947E1B3}" name="Column6996"/>
    <tableColumn id="7011" xr3:uid="{54855156-4EAE-4BEC-88AC-222E8BC554B2}" name="Column6997"/>
    <tableColumn id="7012" xr3:uid="{9FD6EDBB-F89A-4E7A-A5F2-A1FC33B294B7}" name="Column6998"/>
    <tableColumn id="7013" xr3:uid="{733F5186-5486-4987-8833-BAACD01EBC4D}" name="Column6999"/>
    <tableColumn id="7014" xr3:uid="{43E76860-F1D1-4C68-9244-69BFE7B933CB}" name="Column7000"/>
    <tableColumn id="7015" xr3:uid="{1096CCE8-5D34-4B10-A48B-3B77911A4BCA}" name="Column7001"/>
    <tableColumn id="7016" xr3:uid="{3CD2E23E-2239-4523-8A24-E762E6B3B43C}" name="Column7002"/>
    <tableColumn id="7017" xr3:uid="{8064D3AD-9899-469E-83B3-90341FCBA651}" name="Column7003"/>
    <tableColumn id="7018" xr3:uid="{90329A2D-220F-4E79-A30B-D2CD66EB639A}" name="Column7004"/>
    <tableColumn id="7019" xr3:uid="{19EA0EF9-406F-4FC7-B384-7DD514E24FA1}" name="Column7005"/>
    <tableColumn id="7020" xr3:uid="{C8DFC495-7469-472A-900C-F5D92A06FAE5}" name="Column7006"/>
    <tableColumn id="7021" xr3:uid="{0DF22EEF-E2C1-4DA4-AD85-6375C63E16AC}" name="Column7007"/>
    <tableColumn id="7022" xr3:uid="{C7E1AB50-1E56-4E8D-9CAA-91F148069D6D}" name="Column7008"/>
    <tableColumn id="7023" xr3:uid="{D8F62819-FDC9-4AD8-9C02-EC2277050F9E}" name="Column7009"/>
    <tableColumn id="7024" xr3:uid="{9BB240A2-97FA-41BB-9D53-C55D598FE2B6}" name="Column7010"/>
    <tableColumn id="7025" xr3:uid="{F09ED557-39BB-4CFF-8D7A-C9106EAF1A21}" name="Column7011"/>
    <tableColumn id="7026" xr3:uid="{446D8AE5-964A-4555-A94E-613736533C0C}" name="Column7012"/>
    <tableColumn id="7027" xr3:uid="{1669C8A6-1FF4-4107-ADD9-1577BCD36290}" name="Column7013"/>
    <tableColumn id="7028" xr3:uid="{5F29D37C-D814-4A80-856B-7920B5BBB684}" name="Column7014"/>
    <tableColumn id="7029" xr3:uid="{1BFFBE79-A637-4A92-89E9-EDF823020EED}" name="Column7015"/>
    <tableColumn id="7030" xr3:uid="{336CDEA6-74CD-4C24-BEC4-06B35B7ED817}" name="Column7016"/>
    <tableColumn id="7031" xr3:uid="{8EBB347A-AB32-48B4-8A76-315B2AB11239}" name="Column7017"/>
    <tableColumn id="7032" xr3:uid="{52220079-AE0E-4DAC-AD96-14E4F195DCE2}" name="Column7018"/>
    <tableColumn id="7033" xr3:uid="{CECF0AB9-D763-4A78-A7C6-8C8F2DF502B8}" name="Column7019"/>
    <tableColumn id="7034" xr3:uid="{0259FA7A-7C09-464C-8D2D-7120E0D9D591}" name="Column7020"/>
    <tableColumn id="7035" xr3:uid="{A81B3E29-093A-492E-AC4A-3EE31507EAAB}" name="Column7021"/>
    <tableColumn id="7036" xr3:uid="{99777123-39F7-4676-A3BA-58A94C2316FC}" name="Column7022"/>
    <tableColumn id="7037" xr3:uid="{B2F271A2-56F7-403E-A4F8-B11BAFB09099}" name="Column7023"/>
    <tableColumn id="7038" xr3:uid="{C7E30510-9361-4914-8B0B-EDBFBB169F66}" name="Column7024"/>
    <tableColumn id="7039" xr3:uid="{98DD438A-D49E-4EDD-881F-448AAE7EEA85}" name="Column7025"/>
    <tableColumn id="7040" xr3:uid="{D52C912F-DF74-4F80-BA61-975A6DF605A7}" name="Column7026"/>
    <tableColumn id="7041" xr3:uid="{41DB5E08-A286-4A54-A9CD-6346190BE7EF}" name="Column7027"/>
    <tableColumn id="7042" xr3:uid="{766D48C3-88B9-42B5-AD4D-69E7C68F3FD4}" name="Column7028"/>
    <tableColumn id="7043" xr3:uid="{3430AE00-32A4-427B-883F-E43E4FD64383}" name="Column7029"/>
    <tableColumn id="7044" xr3:uid="{D7C6936B-86F7-4F4F-8690-419231FD5715}" name="Column7030"/>
    <tableColumn id="7045" xr3:uid="{79EDAE4A-FCE4-4D03-8717-E42786E8E653}" name="Column7031"/>
    <tableColumn id="7046" xr3:uid="{BB2CD14D-8FB4-4476-A8AB-6FFF5E8F9CA4}" name="Column7032"/>
    <tableColumn id="7047" xr3:uid="{2E06E61D-14A6-4EC0-8A3B-FA8A6818A94F}" name="Column7033"/>
    <tableColumn id="7048" xr3:uid="{3AA61F94-A59E-4B07-9A85-BC86D9A72DE4}" name="Column7034"/>
    <tableColumn id="7049" xr3:uid="{19F80D11-93C8-4272-BD20-E527992FC02F}" name="Column7035"/>
    <tableColumn id="7050" xr3:uid="{6B141F23-1A2D-462B-B003-7AA406DEFFF5}" name="Column7036"/>
    <tableColumn id="7051" xr3:uid="{8AE41FED-9B3D-4041-BD0D-37BACF537DE2}" name="Column7037"/>
    <tableColumn id="7052" xr3:uid="{F4098060-586A-40FE-9428-C854B6E2578E}" name="Column7038"/>
    <tableColumn id="7053" xr3:uid="{28C00F75-12AC-431A-B8EC-0FD20D2D8392}" name="Column7039"/>
    <tableColumn id="7054" xr3:uid="{844B7C4A-2D69-4A13-B4CB-34DFC1B8060E}" name="Column7040"/>
    <tableColumn id="7055" xr3:uid="{A5D5AC62-B184-4064-A60F-35C448AFBE81}" name="Column7041"/>
    <tableColumn id="7056" xr3:uid="{90FBEF6F-4C56-433D-8C8F-0933320002C8}" name="Column7042"/>
    <tableColumn id="7057" xr3:uid="{2A364A68-3968-46FE-9F74-09358858ABF9}" name="Column7043"/>
    <tableColumn id="7058" xr3:uid="{233B8596-2834-4127-86C5-B7C5F320C8D8}" name="Column7044"/>
    <tableColumn id="7059" xr3:uid="{4A04C9B9-8EED-42D0-BE67-D296C1FD304F}" name="Column7045"/>
    <tableColumn id="7060" xr3:uid="{0C9D89A2-A851-4212-9A01-D31BA1FD9430}" name="Column7046"/>
    <tableColumn id="7061" xr3:uid="{0E2B4DFB-15F5-4ECF-B95D-3F50994F75C0}" name="Column7047"/>
    <tableColumn id="7062" xr3:uid="{55531173-FBB6-435C-BE7A-7C6AB3E29098}" name="Column7048"/>
    <tableColumn id="7063" xr3:uid="{1CE2BD25-BA44-4AC9-A955-F7F7A7420359}" name="Column7049"/>
    <tableColumn id="7064" xr3:uid="{DB0C4E3A-EDA5-45A2-A328-B0F63FF994A3}" name="Column7050"/>
    <tableColumn id="7065" xr3:uid="{63627531-FE0F-491F-892C-50E6A56A4DD1}" name="Column7051"/>
    <tableColumn id="7066" xr3:uid="{CFF82E92-02AC-4E8A-9FE1-1590956DD384}" name="Column7052"/>
    <tableColumn id="7067" xr3:uid="{80688A4D-711A-4A3A-BE61-9306CB4D0556}" name="Column7053"/>
    <tableColumn id="7068" xr3:uid="{599A43AC-46EC-4547-8E66-4C39E4995F8C}" name="Column7054"/>
    <tableColumn id="7069" xr3:uid="{0B5781F0-6ABF-4E1C-B1C8-A1D89E48B9ED}" name="Column7055"/>
    <tableColumn id="7070" xr3:uid="{517DF6C4-7A11-446F-8708-75EDB30B1ED4}" name="Column7056"/>
    <tableColumn id="7071" xr3:uid="{9D29BB4B-2250-4132-A7EE-C99A7EBF753E}" name="Column7057"/>
    <tableColumn id="7072" xr3:uid="{2CA58DBD-C8BD-408B-BF49-9E56F799EBAF}" name="Column7058"/>
    <tableColumn id="7073" xr3:uid="{D4D8FBCF-20E1-443E-A109-8B07613C9CAF}" name="Column7059"/>
    <tableColumn id="7074" xr3:uid="{3ABE923B-2FC4-4A1C-95F9-EA68607C4D68}" name="Column7060"/>
    <tableColumn id="7075" xr3:uid="{D1A867FB-FAC4-43E2-8DB3-C0325F5D737D}" name="Column7061"/>
    <tableColumn id="7076" xr3:uid="{92D79912-7ABC-442C-B115-D051A71812EC}" name="Column7062"/>
    <tableColumn id="7077" xr3:uid="{DC82D4F4-AA4E-47C6-B9C9-285F60A5446F}" name="Column7063"/>
    <tableColumn id="7078" xr3:uid="{A7542693-EB05-4825-A0A3-76A76C938533}" name="Column7064"/>
    <tableColumn id="7079" xr3:uid="{6A303F44-D86A-43F2-86C1-875B49D5149E}" name="Column7065"/>
    <tableColumn id="7080" xr3:uid="{624BE869-DD41-4DF4-9A8E-5957D40A4938}" name="Column7066"/>
    <tableColumn id="7081" xr3:uid="{8D1A2DAD-3460-41D6-AFE9-4BDDDC30C203}" name="Column7067"/>
    <tableColumn id="7082" xr3:uid="{13131AFE-6D12-4E97-88D3-5737F3BC0874}" name="Column7068"/>
    <tableColumn id="7083" xr3:uid="{7E003DF9-67F6-4DCC-9D59-DED9447F3371}" name="Column7069"/>
    <tableColumn id="7084" xr3:uid="{4103023A-147F-4DCB-80D8-25555A7DA94C}" name="Column7070"/>
    <tableColumn id="7085" xr3:uid="{C858E269-B4AC-46D5-83F1-A7A24961BF0E}" name="Column7071"/>
    <tableColumn id="7086" xr3:uid="{8F46FFD2-77D4-48D0-B415-A8CC5A0E998E}" name="Column7072"/>
    <tableColumn id="7087" xr3:uid="{C4301350-8FC4-4CA7-8B2B-E127AFDE0080}" name="Column7073"/>
    <tableColumn id="7088" xr3:uid="{333C75EC-975F-407C-9CC1-F0CB4A063884}" name="Column7074"/>
    <tableColumn id="7089" xr3:uid="{8D14113B-9E53-4F1A-9A30-4AE6D439FE75}" name="Column7075"/>
    <tableColumn id="7090" xr3:uid="{38A91AEA-15A5-436C-8614-A5AC2AEB0FE2}" name="Column7076"/>
    <tableColumn id="7091" xr3:uid="{B4B49FA9-49D8-4D24-ADB5-34607E9745FA}" name="Column7077"/>
    <tableColumn id="7092" xr3:uid="{5A024331-63FA-4A09-AEB7-C1497DF63A39}" name="Column7078"/>
    <tableColumn id="7093" xr3:uid="{E3A489B2-80CA-426C-B671-60C826297DAB}" name="Column7079"/>
    <tableColumn id="7094" xr3:uid="{B7239387-FA1D-4B52-B990-1CA32EE8C933}" name="Column7080"/>
    <tableColumn id="7095" xr3:uid="{0F18F326-1935-4454-BDA4-FD78F95E53C1}" name="Column7081"/>
    <tableColumn id="7096" xr3:uid="{F56BFEC2-7D2C-4E5E-8C42-FA456168095C}" name="Column7082"/>
    <tableColumn id="7097" xr3:uid="{E48A07AB-5C5B-498F-AB91-14A4D1DEAE15}" name="Column7083"/>
    <tableColumn id="7098" xr3:uid="{12C66F10-61E9-47F5-A70C-B43120D738B4}" name="Column7084"/>
    <tableColumn id="7099" xr3:uid="{BF84BD12-BF7A-4546-B1CA-14D4836560E4}" name="Column7085"/>
    <tableColumn id="7100" xr3:uid="{FBBAF7A0-BB79-4115-A9D2-1B37E8E06BBA}" name="Column7086"/>
    <tableColumn id="7101" xr3:uid="{6A4AAE64-BB12-4327-959D-9A0BC66D3E57}" name="Column7087"/>
    <tableColumn id="7102" xr3:uid="{E73643AB-89CA-4807-991A-7B0337EF755E}" name="Column7088"/>
    <tableColumn id="7103" xr3:uid="{D5899593-20C8-4346-A33E-EEAD448AC97A}" name="Column7089"/>
    <tableColumn id="7104" xr3:uid="{2ACCFEF9-2BC9-4933-B5F8-4C9A565B3568}" name="Column7090"/>
    <tableColumn id="7105" xr3:uid="{148ED71D-9894-4B04-B3B0-BCE700274A87}" name="Column7091"/>
    <tableColumn id="7106" xr3:uid="{810244AA-1402-424D-8536-4E78F81C6D9D}" name="Column7092"/>
    <tableColumn id="7107" xr3:uid="{16B69068-06D2-40FC-8CB8-E56AFFFBBCE5}" name="Column7093"/>
    <tableColumn id="7108" xr3:uid="{2206575C-91BD-4654-9E1D-5D570DBFD6D5}" name="Column7094"/>
    <tableColumn id="7109" xr3:uid="{073DECAE-BC05-48CC-9BEB-42C92458277E}" name="Column7095"/>
    <tableColumn id="7110" xr3:uid="{86F1E3EF-40E5-499C-B203-2D1F57173A40}" name="Column7096"/>
    <tableColumn id="7111" xr3:uid="{B42E1A44-CC17-4E67-B7EC-BBDC3AC5ECA1}" name="Column7097"/>
    <tableColumn id="7112" xr3:uid="{DE265859-2036-4D27-92A8-7A66D2E8B3A8}" name="Column7098"/>
    <tableColumn id="7113" xr3:uid="{4FC098C5-5D15-4D87-B116-D3EC849291CC}" name="Column7099"/>
    <tableColumn id="7114" xr3:uid="{CAB29491-EF30-49C5-9BA1-2DDBC837B7A5}" name="Column7100"/>
    <tableColumn id="7115" xr3:uid="{3EEDF4FA-F005-43C5-A47E-4AC529B2A6DF}" name="Column7101"/>
    <tableColumn id="7116" xr3:uid="{9915BA32-6451-471D-BD0E-04C0E5C23782}" name="Column7102"/>
    <tableColumn id="7117" xr3:uid="{D42B46C8-1B77-4151-938C-7E5BFC0CFA37}" name="Column7103"/>
    <tableColumn id="7118" xr3:uid="{EC2A867E-8122-4330-9ED0-1C286DD841E7}" name="Column7104"/>
    <tableColumn id="7119" xr3:uid="{79B0116F-714F-4E5D-A26F-1C5FC14C16E7}" name="Column7105"/>
    <tableColumn id="7120" xr3:uid="{BBDF5CDE-18F6-4329-8202-218E65775514}" name="Column7106"/>
    <tableColumn id="7121" xr3:uid="{3A3D3AD4-7025-4408-817F-68F5A84EFE24}" name="Column7107"/>
    <tableColumn id="7122" xr3:uid="{5726027C-FAD8-42E6-AEEB-BC68EBDE2EE5}" name="Column7108"/>
    <tableColumn id="7123" xr3:uid="{AB39E868-8167-429B-85BC-CABC17CF8624}" name="Column7109"/>
    <tableColumn id="7124" xr3:uid="{68D34390-64FD-46B7-800A-4C186DF24BFC}" name="Column7110"/>
    <tableColumn id="7125" xr3:uid="{4AB1D72B-3BAD-41BA-AA15-5208902C3FDB}" name="Column7111"/>
    <tableColumn id="7126" xr3:uid="{DF5F3FF9-08A9-4F04-AC41-096DDF18D718}" name="Column7112"/>
    <tableColumn id="7127" xr3:uid="{73504128-B5E4-44F6-BC43-3D5EA4DDA9E2}" name="Column7113"/>
    <tableColumn id="7128" xr3:uid="{D7547ACB-FC5D-4A6F-83DE-1FCBA423D8AE}" name="Column7114"/>
    <tableColumn id="7129" xr3:uid="{94B34D0F-76CB-455B-96F2-B125AD708C4D}" name="Column7115"/>
    <tableColumn id="7130" xr3:uid="{33C84221-E609-4B28-9CE8-FAC17A13AB1D}" name="Column7116"/>
    <tableColumn id="7131" xr3:uid="{48801EDE-899B-4015-AA80-20349545F28D}" name="Column7117"/>
    <tableColumn id="7132" xr3:uid="{9D4DEEF0-7EB3-40A8-80E4-8C11F6751E9A}" name="Column7118"/>
    <tableColumn id="7133" xr3:uid="{948A358F-F38D-4C2D-84AE-9FCF2C9FB0D9}" name="Column7119"/>
    <tableColumn id="7134" xr3:uid="{3C6A5E03-D795-4967-B37F-BF651799F940}" name="Column7120"/>
    <tableColumn id="7135" xr3:uid="{706DA239-4A1B-4B53-A668-F191C17F1B61}" name="Column7121"/>
    <tableColumn id="7136" xr3:uid="{DF5C3085-2F8B-4B2C-BE87-4240B4B0D856}" name="Column7122"/>
    <tableColumn id="7137" xr3:uid="{E099B4BE-7818-49C1-B65D-0348733509ED}" name="Column7123"/>
    <tableColumn id="7138" xr3:uid="{AB898CA6-1BF9-443F-8664-6AE29A0B54E5}" name="Column7124"/>
    <tableColumn id="7139" xr3:uid="{505252F3-BD24-419E-803A-4AC06621C6D3}" name="Column7125"/>
    <tableColumn id="7140" xr3:uid="{B0B8AACB-7DE1-4288-9CF7-EA18C7628C89}" name="Column7126"/>
    <tableColumn id="7141" xr3:uid="{CB49B5E6-6B7F-455C-9C06-4F7F41E2001D}" name="Column7127"/>
    <tableColumn id="7142" xr3:uid="{E4C871ED-E4F3-477F-9097-7485F6D183E7}" name="Column7128"/>
    <tableColumn id="7143" xr3:uid="{AFF4A29A-91A0-4ACF-A78A-BB74BDB686FF}" name="Column7129"/>
    <tableColumn id="7144" xr3:uid="{F02E6EF0-1AB3-4348-99FE-E77469A9A850}" name="Column7130"/>
    <tableColumn id="7145" xr3:uid="{AA906934-ECBC-44D7-8329-9EE09D02B8AF}" name="Column7131"/>
    <tableColumn id="7146" xr3:uid="{0C35452B-79AB-4457-9898-5D3DA2BBF6D8}" name="Column7132"/>
    <tableColumn id="7147" xr3:uid="{01FEBB7B-5070-4B63-9E09-444C3639BEC1}" name="Column7133"/>
    <tableColumn id="7148" xr3:uid="{A488E928-6952-4F82-8460-247B62F94529}" name="Column7134"/>
    <tableColumn id="7149" xr3:uid="{12DE4D35-B8F0-41CA-9EFC-A655B93BF5A7}" name="Column7135"/>
    <tableColumn id="7150" xr3:uid="{6462F09E-621A-4986-99F2-42C754B1DA2D}" name="Column7136"/>
    <tableColumn id="7151" xr3:uid="{764EDFBB-8608-419E-A71C-9E59BB964CB2}" name="Column7137"/>
    <tableColumn id="7152" xr3:uid="{2EF47B39-2FB9-4F03-AE3F-FE9DDE024380}" name="Column7138"/>
    <tableColumn id="7153" xr3:uid="{5ED9E8C3-816E-482D-91E4-469747198A02}" name="Column7139"/>
    <tableColumn id="7154" xr3:uid="{B52EB638-D4D3-4A9A-B8CD-F5D3A382D090}" name="Column7140"/>
    <tableColumn id="7155" xr3:uid="{A2ECE5C4-8993-4A28-A8AA-9E95260E337D}" name="Column7141"/>
    <tableColumn id="7156" xr3:uid="{5FAA5CCE-C2D2-400A-AB24-5E47BD8A870C}" name="Column7142"/>
    <tableColumn id="7157" xr3:uid="{066CEBF0-A1D0-4912-9467-83F1E3C5660E}" name="Column7143"/>
    <tableColumn id="7158" xr3:uid="{68C666C6-26C9-4E72-8D14-71C8A376F56A}" name="Column7144"/>
    <tableColumn id="7159" xr3:uid="{69F47FC0-23B9-40B3-B167-452EFB71D294}" name="Column7145"/>
    <tableColumn id="7160" xr3:uid="{D5313E55-5122-47CD-A9D9-9700B984BF33}" name="Column7146"/>
    <tableColumn id="7161" xr3:uid="{773E0E3C-176F-4EB1-9643-3131E27A8A08}" name="Column7147"/>
    <tableColumn id="7162" xr3:uid="{F174E93D-B668-47F3-9843-5137E18C3930}" name="Column7148"/>
    <tableColumn id="7163" xr3:uid="{554642C9-2ECD-44BE-AA43-9BBD2E2C0460}" name="Column7149"/>
    <tableColumn id="7164" xr3:uid="{992F5155-1204-4FD6-A717-4DD92131EC82}" name="Column7150"/>
    <tableColumn id="7165" xr3:uid="{41896245-20A3-4028-AE3F-9E86609274C7}" name="Column7151"/>
    <tableColumn id="7166" xr3:uid="{00DDF06E-568D-45DB-A588-319582AAE66D}" name="Column7152"/>
    <tableColumn id="7167" xr3:uid="{2D04AD79-9AA4-477A-AB71-77DA124B962F}" name="Column7153"/>
    <tableColumn id="7168" xr3:uid="{520F422C-5787-46FE-9C48-CD8FA605E07E}" name="Column7154"/>
    <tableColumn id="7169" xr3:uid="{03370731-9798-40AF-8306-970901B121CE}" name="Column7155"/>
    <tableColumn id="7170" xr3:uid="{3127C6DE-6013-49C0-97EE-EAF4E6BC6EAA}" name="Column7156"/>
    <tableColumn id="7171" xr3:uid="{213E36F2-9AAF-4166-8B18-47E8DDCCA02E}" name="Column7157"/>
    <tableColumn id="7172" xr3:uid="{40D99026-6C5E-4548-B213-E66AFFFD7C8E}" name="Column7158"/>
    <tableColumn id="7173" xr3:uid="{0D16C563-A572-421E-9D6D-AFDB9CCE3227}" name="Column7159"/>
    <tableColumn id="7174" xr3:uid="{33C3A0A3-175E-495D-83C5-8EDE53F33D02}" name="Column7160"/>
    <tableColumn id="7175" xr3:uid="{CA4C8F6A-8059-4CB5-8EEF-D38AF87F2F27}" name="Column7161"/>
    <tableColumn id="7176" xr3:uid="{E2AFE3C3-89A9-48D7-8AF9-8D9ED8AC9C5F}" name="Column7162"/>
    <tableColumn id="7177" xr3:uid="{CD8E0CBA-78DF-4AA5-88A1-A3F87872C558}" name="Column7163"/>
    <tableColumn id="7178" xr3:uid="{9ABF80E9-D9FD-4CAF-93DE-DF856E7DCD6E}" name="Column7164"/>
    <tableColumn id="7179" xr3:uid="{ED4CA83C-D90A-42E7-BAF0-3069A6ABF2E5}" name="Column7165"/>
    <tableColumn id="7180" xr3:uid="{2006A34A-D5BE-4AF3-AEFF-7885E49BD9B8}" name="Column7166"/>
    <tableColumn id="7181" xr3:uid="{6EBC73B3-64C1-4B4B-8102-9A98F5914955}" name="Column7167"/>
    <tableColumn id="7182" xr3:uid="{BEB81A3C-00D3-472C-96AB-478719292CD4}" name="Column7168"/>
    <tableColumn id="7183" xr3:uid="{F4241A56-0A30-4556-A67F-FB0C3542FB0D}" name="Column7169"/>
    <tableColumn id="7184" xr3:uid="{86FEECD1-B06C-4445-BACB-59A26A307F00}" name="Column7170"/>
    <tableColumn id="7185" xr3:uid="{1943BEBD-2326-4B31-9BA5-AD1C65C9BEE5}" name="Column7171"/>
    <tableColumn id="7186" xr3:uid="{CADA5F64-55BE-4880-9958-C7011A61BE8F}" name="Column7172"/>
    <tableColumn id="7187" xr3:uid="{458A6101-F6C6-4179-B489-65E13D712EB3}" name="Column7173"/>
    <tableColumn id="7188" xr3:uid="{7F77B18B-9BDF-4DA2-9303-99E969D381E1}" name="Column7174"/>
    <tableColumn id="7189" xr3:uid="{D1F7BA0E-624F-4212-8D8B-96B41ADFCD54}" name="Column7175"/>
    <tableColumn id="7190" xr3:uid="{F7F87A8B-AA46-497F-AB49-FBC93F8200EA}" name="Column7176"/>
    <tableColumn id="7191" xr3:uid="{FD68B6F9-A232-42CF-8E27-A3C1506AD451}" name="Column7177"/>
    <tableColumn id="7192" xr3:uid="{26EAC98C-8EDB-4988-A0E0-1422737385BD}" name="Column7178"/>
    <tableColumn id="7193" xr3:uid="{68A699F3-C9C3-4AEE-A695-EE820EDE70A4}" name="Column7179"/>
    <tableColumn id="7194" xr3:uid="{95610356-7B7F-4A02-9EE9-973B96F2CA19}" name="Column7180"/>
    <tableColumn id="7195" xr3:uid="{8F4E2223-4744-47C7-B5E0-1EA9D05D1C4A}" name="Column7181"/>
    <tableColumn id="7196" xr3:uid="{5B0BDBB1-055D-418A-8AC0-1C346EC9C255}" name="Column7182"/>
    <tableColumn id="7197" xr3:uid="{9DC9796C-2882-48BC-BE5D-C4463369BC1B}" name="Column7183"/>
    <tableColumn id="7198" xr3:uid="{776F05FA-6F8D-4F2F-9FC1-BCDA77AC346C}" name="Column7184"/>
    <tableColumn id="7199" xr3:uid="{4E07C15F-63FB-4162-B6E1-19CDC977A9D2}" name="Column7185"/>
    <tableColumn id="7200" xr3:uid="{49572D58-E2FA-439D-88E3-C659F1881567}" name="Column7186"/>
    <tableColumn id="7201" xr3:uid="{A0005011-E849-4107-9D14-D5A0587E2EF0}" name="Column7187"/>
    <tableColumn id="7202" xr3:uid="{BA93FE59-CC5D-46DF-B6E1-20FF181A057F}" name="Column7188"/>
    <tableColumn id="7203" xr3:uid="{E478B036-820E-4830-99F4-313ED6C77128}" name="Column7189"/>
    <tableColumn id="7204" xr3:uid="{55FB2012-33A9-4039-9A63-312B3A2A6FFB}" name="Column7190"/>
    <tableColumn id="7205" xr3:uid="{7580EECB-3E3C-4BB7-A498-018A70714840}" name="Column7191"/>
    <tableColumn id="7206" xr3:uid="{7FF3EC44-318B-40D7-ADA8-F9EE00072225}" name="Column7192"/>
    <tableColumn id="7207" xr3:uid="{6D81E452-A0DC-4DCF-8418-8D36CACDBA2C}" name="Column7193"/>
    <tableColumn id="7208" xr3:uid="{E6C31530-AF2D-40DF-ABD1-C583F53D5038}" name="Column7194"/>
    <tableColumn id="7209" xr3:uid="{034262A2-8710-4F8A-847C-2F686EE2CD39}" name="Column7195"/>
    <tableColumn id="7210" xr3:uid="{1D5F761A-AADE-487F-92BB-791EBB195630}" name="Column7196"/>
    <tableColumn id="7211" xr3:uid="{942675B1-8653-48E3-A4BD-51ADFFBC9FAD}" name="Column7197"/>
    <tableColumn id="7212" xr3:uid="{FF9FFCD6-FAD1-418A-94D2-79F30A6C7DEE}" name="Column7198"/>
    <tableColumn id="7213" xr3:uid="{D456CD36-8381-4561-A9FE-0BD245AA5339}" name="Column7199"/>
    <tableColumn id="7214" xr3:uid="{926387AB-7CAF-4D86-B615-689B21FFBBEB}" name="Column7200"/>
    <tableColumn id="7215" xr3:uid="{E3E4C6DD-4A3F-4CED-8EBE-7C10B6787568}" name="Column7201"/>
    <tableColumn id="7216" xr3:uid="{89CEDEFD-F83F-4BE0-B846-0786C050D6C7}" name="Column7202"/>
    <tableColumn id="7217" xr3:uid="{4919FB92-756F-4EA3-BB61-7E6EE2D15835}" name="Column7203"/>
    <tableColumn id="7218" xr3:uid="{65225C9D-2802-4DA9-93E8-ED20FC8A5E3F}" name="Column7204"/>
    <tableColumn id="7219" xr3:uid="{AB34A1F4-C15E-42D8-8046-50C75580DC25}" name="Column7205"/>
    <tableColumn id="7220" xr3:uid="{6C661D4A-FA34-4922-B210-E7B6414D8F7C}" name="Column7206"/>
    <tableColumn id="7221" xr3:uid="{F461EAB3-1797-4FA0-A579-C16A7485EBE2}" name="Column7207"/>
    <tableColumn id="7222" xr3:uid="{2B665F10-92AA-4678-9247-A2B77DF838A1}" name="Column7208"/>
    <tableColumn id="7223" xr3:uid="{637150F4-086B-4A7C-BC30-094C36012E54}" name="Column7209"/>
    <tableColumn id="7224" xr3:uid="{BBE64FBE-07D3-4870-83D8-39EA7DF17F5F}" name="Column7210"/>
    <tableColumn id="7225" xr3:uid="{9FF86B53-C27B-4D89-A6F3-D867AB1FDB79}" name="Column7211"/>
    <tableColumn id="7226" xr3:uid="{D86C13E4-B7A7-44C7-830A-ECF2427AF226}" name="Column7212"/>
    <tableColumn id="7227" xr3:uid="{1242CD7C-BFA1-4523-91EA-B001022E77A3}" name="Column7213"/>
    <tableColumn id="7228" xr3:uid="{81315B29-F11A-4781-B7ED-88A533630D5D}" name="Column7214"/>
    <tableColumn id="7229" xr3:uid="{7F5DD754-89E3-42C7-85C7-6D006FF5F050}" name="Column7215"/>
    <tableColumn id="7230" xr3:uid="{79FF34C3-4796-4D10-8DBD-E18B0F99AB0F}" name="Column7216"/>
    <tableColumn id="7231" xr3:uid="{46B50DB4-1C2C-4E24-B2B5-2467A6370E1A}" name="Column7217"/>
    <tableColumn id="7232" xr3:uid="{ABBCDE8D-B6D9-44AC-A06C-5CF34F3C0583}" name="Column7218"/>
    <tableColumn id="7233" xr3:uid="{3D3C3200-9DDF-467D-B06B-63037EB45006}" name="Column7219"/>
    <tableColumn id="7234" xr3:uid="{92BD414C-14FE-4A7A-8EC4-FF01ADB168C7}" name="Column7220"/>
    <tableColumn id="7235" xr3:uid="{6FEF8015-9BF8-4FF5-9A94-4BC87A91912B}" name="Column7221"/>
    <tableColumn id="7236" xr3:uid="{E9CABC8D-D8C5-4FB2-9C12-E7EC91C661AF}" name="Column7222"/>
    <tableColumn id="7237" xr3:uid="{413C1AE8-21FC-4FB6-899E-8D962A037F74}" name="Column7223"/>
    <tableColumn id="7238" xr3:uid="{BAEF228B-37BC-46E6-8FFB-C61B0DD9C2C1}" name="Column7224"/>
    <tableColumn id="7239" xr3:uid="{84DC8771-1204-425F-B31A-D67C3CA30C10}" name="Column7225"/>
    <tableColumn id="7240" xr3:uid="{3E979895-FB1D-4E4D-B3F4-D70C8E31CCE0}" name="Column7226"/>
    <tableColumn id="7241" xr3:uid="{A7141F89-143F-419D-BA15-65D0234E7C77}" name="Column7227"/>
    <tableColumn id="7242" xr3:uid="{65DF3341-5052-4D49-9F13-E26630114357}" name="Column7228"/>
    <tableColumn id="7243" xr3:uid="{86ECAD46-3522-483F-86B2-9C06B8903AB7}" name="Column7229"/>
    <tableColumn id="7244" xr3:uid="{CCF8147A-FEAA-4FD4-B688-0BD3BF3CB330}" name="Column7230"/>
    <tableColumn id="7245" xr3:uid="{961284E2-107B-47E7-8C1D-E570717728AC}" name="Column7231"/>
    <tableColumn id="7246" xr3:uid="{5A0D2DD6-8188-42EA-B98D-1374497CF31A}" name="Column7232"/>
    <tableColumn id="7247" xr3:uid="{95620ADF-8C7C-4D22-8600-95E87CDD8FB4}" name="Column7233"/>
    <tableColumn id="7248" xr3:uid="{FB42BD73-E4D9-46A3-95A9-9A2A05E3279A}" name="Column7234"/>
    <tableColumn id="7249" xr3:uid="{9D650C87-9ABF-47BD-A26F-3CDF4A9C41C7}" name="Column7235"/>
    <tableColumn id="7250" xr3:uid="{DEDCE6D1-AA46-48E2-92E7-1C4657432BAF}" name="Column7236"/>
    <tableColumn id="7251" xr3:uid="{EABC214C-7FE5-4631-97D0-DD5198F8BEBC}" name="Column7237"/>
    <tableColumn id="7252" xr3:uid="{4D19DDDC-30FD-4A40-84AF-93AFA6B45062}" name="Column7238"/>
    <tableColumn id="7253" xr3:uid="{0710354D-8639-4854-BE5A-EE9A63BBC9BF}" name="Column7239"/>
    <tableColumn id="7254" xr3:uid="{537BA33A-B205-4034-91BF-E79339C1A0DC}" name="Column7240"/>
    <tableColumn id="7255" xr3:uid="{47706CA5-F6BF-48AF-8B69-84D717469EE0}" name="Column7241"/>
    <tableColumn id="7256" xr3:uid="{8E5E3EFB-E97B-4DC3-B447-D68603ED83F4}" name="Column7242"/>
    <tableColumn id="7257" xr3:uid="{27806AA1-EF67-4BEA-91A8-EE62A3722CBC}" name="Column7243"/>
    <tableColumn id="7258" xr3:uid="{02871938-ED0A-40F3-B5B3-5D5D3B75907F}" name="Column7244"/>
    <tableColumn id="7259" xr3:uid="{E227088E-DF0C-4075-8B2C-F34349E070A5}" name="Column7245"/>
    <tableColumn id="7260" xr3:uid="{FAD904AD-B7F1-4362-BF62-BB0A9B015268}" name="Column7246"/>
    <tableColumn id="7261" xr3:uid="{20204B77-5E9C-47A0-AA3E-316B3CEF9854}" name="Column7247"/>
    <tableColumn id="7262" xr3:uid="{5B3128A3-A996-489E-B7BA-58BB1897AEDD}" name="Column7248"/>
    <tableColumn id="7263" xr3:uid="{30462DB0-0750-4C15-A242-84DC8655CB9B}" name="Column7249"/>
    <tableColumn id="7264" xr3:uid="{D63A2197-8959-44AF-9406-A8892CF0BBFD}" name="Column7250"/>
    <tableColumn id="7265" xr3:uid="{BC37C700-C1C9-476B-8595-DBF8EC775383}" name="Column7251"/>
    <tableColumn id="7266" xr3:uid="{7088A154-9477-48ED-9925-1DED364C5D7C}" name="Column7252"/>
    <tableColumn id="7267" xr3:uid="{DB581EC6-3AFC-473E-8FBB-2DCD0AFAE039}" name="Column7253"/>
    <tableColumn id="7268" xr3:uid="{0A447B2D-387A-45B9-B93C-6308B22CE90B}" name="Column7254"/>
    <tableColumn id="7269" xr3:uid="{E6F83489-D76C-48CF-AB16-90100AFF28B1}" name="Column7255"/>
    <tableColumn id="7270" xr3:uid="{E89961F2-AF1D-49A6-BE18-E4E835AFF9CB}" name="Column7256"/>
    <tableColumn id="7271" xr3:uid="{E6FF55B7-F741-4369-8B20-07E5BC723B5E}" name="Column7257"/>
    <tableColumn id="7272" xr3:uid="{61EDC62F-84F1-4865-876A-4BF4B7082254}" name="Column7258"/>
    <tableColumn id="7273" xr3:uid="{674D8682-C1BB-4F38-9A1D-ADC2C80DC51A}" name="Column7259"/>
    <tableColumn id="7274" xr3:uid="{53EAC412-2E5E-4A89-BDB9-043D02FA8717}" name="Column7260"/>
    <tableColumn id="7275" xr3:uid="{58237A2A-725B-4391-9704-A03671ED6B15}" name="Column7261"/>
    <tableColumn id="7276" xr3:uid="{1C7CB19D-7F97-448D-8028-D74D91C67F68}" name="Column7262"/>
    <tableColumn id="7277" xr3:uid="{FEC79422-F10F-41A3-AFE5-D6B196A5AE98}" name="Column7263"/>
    <tableColumn id="7278" xr3:uid="{1412484C-B3A3-4D84-B900-5AD4EACB1463}" name="Column7264"/>
    <tableColumn id="7279" xr3:uid="{E73AD3C8-E0CA-427B-93AD-9344C5F7E5D2}" name="Column7265"/>
    <tableColumn id="7280" xr3:uid="{4C357BA1-5832-4C5E-A024-1DCEBBED7BA1}" name="Column7266"/>
    <tableColumn id="7281" xr3:uid="{BB1D6212-EAAA-423E-AC37-213397CE22AE}" name="Column7267"/>
    <tableColumn id="7282" xr3:uid="{40E8E12E-33D2-41C5-B2D1-CEE798BE68F8}" name="Column7268"/>
    <tableColumn id="7283" xr3:uid="{BBDB6D36-2CDA-4081-9F7F-E3B0FF0E35FC}" name="Column7269"/>
    <tableColumn id="7284" xr3:uid="{53C43658-4AD3-4A37-B626-1F4E2AAD8CB6}" name="Column7270"/>
    <tableColumn id="7285" xr3:uid="{2EB931B0-77E2-4A27-A6EF-F47C85829B5D}" name="Column7271"/>
    <tableColumn id="7286" xr3:uid="{A6CB4F87-F421-4520-BB95-957274E91B50}" name="Column7272"/>
    <tableColumn id="7287" xr3:uid="{94645263-780D-47B9-AB1E-B9C92BD0A3E8}" name="Column7273"/>
    <tableColumn id="7288" xr3:uid="{CE40C32F-A397-4477-804E-E1F8A0EE4430}" name="Column7274"/>
    <tableColumn id="7289" xr3:uid="{E40A3B2A-257F-47E9-B9B3-D5A0CD9AED02}" name="Column7275"/>
    <tableColumn id="7290" xr3:uid="{56F92913-AC6D-4D51-A3C0-9EA4DF8417EB}" name="Column7276"/>
    <tableColumn id="7291" xr3:uid="{FE9FA764-0923-4020-8C01-51388636B2E7}" name="Column7277"/>
    <tableColumn id="7292" xr3:uid="{B129F7F6-AD03-483A-8C4E-8812FB4B790E}" name="Column7278"/>
    <tableColumn id="7293" xr3:uid="{BF9E30BB-7AF1-4E7C-A29C-74CE6E4649B2}" name="Column7279"/>
    <tableColumn id="7294" xr3:uid="{6C30BB28-2FE7-4C9D-BC3C-D4C8961DFBFF}" name="Column7280"/>
    <tableColumn id="7295" xr3:uid="{C7593B57-3BB6-446A-9276-C947C0FA8D76}" name="Column7281"/>
    <tableColumn id="7296" xr3:uid="{893572DE-6A3B-4BE8-914E-6EFF5DAFF558}" name="Column7282"/>
    <tableColumn id="7297" xr3:uid="{59BF975F-5685-4271-967D-F771B3FD1F26}" name="Column7283"/>
    <tableColumn id="7298" xr3:uid="{D88CB8BF-06CF-4918-981D-F0DE73796799}" name="Column7284"/>
    <tableColumn id="7299" xr3:uid="{A391DE04-3D85-4C6F-BC3B-622A8FCDB33F}" name="Column7285"/>
    <tableColumn id="7300" xr3:uid="{3EF22314-C04B-4C8D-9C47-951EBCC7F4F0}" name="Column7286"/>
    <tableColumn id="7301" xr3:uid="{E21E5B6A-7049-4EFF-BBA4-1D905D114FC7}" name="Column7287"/>
    <tableColumn id="7302" xr3:uid="{A8DCE51C-9AE3-49EE-86D8-2374B5340781}" name="Column7288"/>
    <tableColumn id="7303" xr3:uid="{240698F3-070B-443D-A9EA-B6DC7B5ACF50}" name="Column7289"/>
    <tableColumn id="7304" xr3:uid="{1A6C737C-28CA-4367-A973-AD01651A8946}" name="Column7290"/>
    <tableColumn id="7305" xr3:uid="{A414BA0C-C64A-4084-BA8D-CB0121C3A70F}" name="Column7291"/>
    <tableColumn id="7306" xr3:uid="{D915B34A-F171-47C2-BD65-79611A095841}" name="Column7292"/>
    <tableColumn id="7307" xr3:uid="{E324FCBC-D191-4E8E-BF4E-921FBE883897}" name="Column7293"/>
    <tableColumn id="7308" xr3:uid="{87EC9BF7-0A8A-4028-AD3A-DD50B28EE3B3}" name="Column7294"/>
    <tableColumn id="7309" xr3:uid="{FC40C1D5-4BAF-4AE9-BF45-06CE78836E6F}" name="Column7295"/>
    <tableColumn id="7310" xr3:uid="{CCD3A8D4-5F80-4CF5-A66C-6D74E0BEC4CD}" name="Column7296"/>
    <tableColumn id="7311" xr3:uid="{106BC244-1E08-45FE-A681-B2E02A6147C3}" name="Column7297"/>
    <tableColumn id="7312" xr3:uid="{289328E8-16A1-44F5-A74A-8C97BFEA0343}" name="Column7298"/>
    <tableColumn id="7313" xr3:uid="{140DC5EF-CEF9-49C1-96DF-CB6831774451}" name="Column7299"/>
    <tableColumn id="7314" xr3:uid="{6FF9A091-1C1C-4AAB-A26A-8A492B987281}" name="Column7300"/>
    <tableColumn id="7315" xr3:uid="{6E6208C9-A1B6-4892-B299-A88354497797}" name="Column7301"/>
    <tableColumn id="7316" xr3:uid="{69FF8C21-10EF-42F9-9FF5-2E8846CE686A}" name="Column7302"/>
    <tableColumn id="7317" xr3:uid="{AD717376-156E-4AB8-B0A7-64E134360892}" name="Column7303"/>
    <tableColumn id="7318" xr3:uid="{6E6790D1-CDD4-4E36-B260-25D003D2C143}" name="Column7304"/>
    <tableColumn id="7319" xr3:uid="{D4811C4E-64BC-4A6E-8165-68A51FDF5929}" name="Column7305"/>
    <tableColumn id="7320" xr3:uid="{38646748-9425-4008-96A9-2E1C44D2628D}" name="Column7306"/>
    <tableColumn id="7321" xr3:uid="{7D35BE84-2C06-493D-B891-0A2BE91171B8}" name="Column7307"/>
    <tableColumn id="7322" xr3:uid="{AFE104D0-45E3-4B85-93FA-CA5FAC71BF7F}" name="Column7308"/>
    <tableColumn id="7323" xr3:uid="{F0A05EA0-73DA-4884-A065-937C463E0F80}" name="Column7309"/>
    <tableColumn id="7324" xr3:uid="{722332AB-4936-41C6-A0D6-405F22C7C7A6}" name="Column7310"/>
    <tableColumn id="7325" xr3:uid="{6FAF48CB-10D8-49FE-95B2-9928177AB5E6}" name="Column7311"/>
    <tableColumn id="7326" xr3:uid="{AD31A44A-6FC5-47E5-9DA6-89F58C0BD2BB}" name="Column7312"/>
    <tableColumn id="7327" xr3:uid="{D30E32C1-B592-4F08-AC31-7E26864C2DD6}" name="Column7313"/>
    <tableColumn id="7328" xr3:uid="{07762141-CF2C-473C-9F18-0DCEB356B5D1}" name="Column7314"/>
    <tableColumn id="7329" xr3:uid="{7D91D432-4194-476E-AA62-1E9B3B914B3A}" name="Column7315"/>
    <tableColumn id="7330" xr3:uid="{54793B9C-1FC1-4256-803C-C0073E2EAFF3}" name="Column7316"/>
    <tableColumn id="7331" xr3:uid="{1D25C332-F85F-41FB-8200-8E64A48EF0AE}" name="Column7317"/>
    <tableColumn id="7332" xr3:uid="{B1FB18CF-938C-49E3-926A-E9EC6AA57740}" name="Column7318"/>
    <tableColumn id="7333" xr3:uid="{96D99B42-8DB5-436F-9A0A-4C8F0E238B2B}" name="Column7319"/>
    <tableColumn id="7334" xr3:uid="{DD8ACD98-D7BE-45A4-9175-6A96038B9C5A}" name="Column7320"/>
    <tableColumn id="7335" xr3:uid="{902C6A6C-D5E2-46EC-B1CD-EE820F904D26}" name="Column7321"/>
    <tableColumn id="7336" xr3:uid="{A4F176BA-CBF8-4337-99A7-A410971616C3}" name="Column7322"/>
    <tableColumn id="7337" xr3:uid="{493CCAD7-9E06-468A-9427-5F193E8D2268}" name="Column7323"/>
    <tableColumn id="7338" xr3:uid="{821748DE-C123-413D-A444-FF46D2F95D21}" name="Column7324"/>
    <tableColumn id="7339" xr3:uid="{FA2085DB-A993-462B-B580-FD26ACDA4153}" name="Column7325"/>
    <tableColumn id="7340" xr3:uid="{4827B24E-FD11-41E3-93D3-CD1E2033314A}" name="Column7326"/>
    <tableColumn id="7341" xr3:uid="{97F79712-989A-4F6C-8BC9-69AD397E7AA4}" name="Column7327"/>
    <tableColumn id="7342" xr3:uid="{1BFEEAB1-6C9B-41C5-B136-5D5ED202A97C}" name="Column7328"/>
    <tableColumn id="7343" xr3:uid="{3252D4A9-C738-40E8-AC8E-37B2C23B9B0F}" name="Column7329"/>
    <tableColumn id="7344" xr3:uid="{CA850967-7513-48E9-9883-284EE53E8208}" name="Column7330"/>
    <tableColumn id="7345" xr3:uid="{997E6D86-DE13-4B64-9AEF-BFF8ADB2FBC0}" name="Column7331"/>
    <tableColumn id="7346" xr3:uid="{2EE8835F-CA6E-4E31-9122-BC2B5802E4F5}" name="Column7332"/>
    <tableColumn id="7347" xr3:uid="{060BAC88-7FFC-4B6B-B596-849A75FE5C9C}" name="Column7333"/>
    <tableColumn id="7348" xr3:uid="{7D6309CD-8A0A-46C5-B184-98FF5D62BAB4}" name="Column7334"/>
    <tableColumn id="7349" xr3:uid="{C10C790A-9941-40F5-AA2F-1C40BDEC8755}" name="Column7335"/>
    <tableColumn id="7350" xr3:uid="{CCB2C32F-4B8D-4B59-BA48-3244EB978004}" name="Column7336"/>
    <tableColumn id="7351" xr3:uid="{A75C5C35-7EAE-407F-9B8E-EE70BFF6FCD3}" name="Column7337"/>
    <tableColumn id="7352" xr3:uid="{75843BF8-32F5-47A9-9874-A7C57DA51E78}" name="Column7338"/>
    <tableColumn id="7353" xr3:uid="{ADB02FED-F449-4E7F-BBDF-69AADD8AF5DB}" name="Column7339"/>
    <tableColumn id="7354" xr3:uid="{C1F2E9B8-6CFC-462E-AD75-DB56F8D91A6A}" name="Column7340"/>
    <tableColumn id="7355" xr3:uid="{3DA91F88-7404-4EF4-B8A4-43F89C5BFF5D}" name="Column7341"/>
    <tableColumn id="7356" xr3:uid="{E0834560-CD3A-4D9B-93EC-8306F4B4B3FC}" name="Column7342"/>
    <tableColumn id="7357" xr3:uid="{2FBC7A3D-1519-4393-9FDD-DEDE7A197E9B}" name="Column7343"/>
    <tableColumn id="7358" xr3:uid="{375BF4AF-8215-4396-9E9A-BD52247BD06E}" name="Column7344"/>
    <tableColumn id="7359" xr3:uid="{C8E2EECF-F36F-4BA0-8979-B0A102C67544}" name="Column7345"/>
    <tableColumn id="7360" xr3:uid="{46290DFC-21D4-4C4B-8083-7339BACC85F0}" name="Column7346"/>
    <tableColumn id="7361" xr3:uid="{5BB4F030-A8E2-4BBE-AE12-68983286F284}" name="Column7347"/>
    <tableColumn id="7362" xr3:uid="{51751BD9-2CC4-425B-A6B7-D80A5E199921}" name="Column7348"/>
    <tableColumn id="7363" xr3:uid="{C17E0E6F-132C-404A-A4E3-C5298A29E348}" name="Column7349"/>
    <tableColumn id="7364" xr3:uid="{E52B793C-FB91-4DD2-8CAA-CF1BE1B48BEE}" name="Column7350"/>
    <tableColumn id="7365" xr3:uid="{5D36AC28-D52C-4DBA-8694-F3D2594180DD}" name="Column7351"/>
    <tableColumn id="7366" xr3:uid="{941BEA98-3A31-4EB6-8BBA-9B5B2D113527}" name="Column7352"/>
    <tableColumn id="7367" xr3:uid="{BA8CE586-2AB8-45DD-BDA5-7CD43D3D7D92}" name="Column7353"/>
    <tableColumn id="7368" xr3:uid="{F82B52E8-BE4E-4EF3-806C-BAB88C4F70AA}" name="Column7354"/>
    <tableColumn id="7369" xr3:uid="{E25A5021-5EF8-4ED1-83B5-6A441A0218A5}" name="Column7355"/>
    <tableColumn id="7370" xr3:uid="{479C8286-64D8-476B-8662-136739700AC6}" name="Column7356"/>
    <tableColumn id="7371" xr3:uid="{9E3F1821-1F98-4010-90FB-A1169144B13D}" name="Column7357"/>
    <tableColumn id="7372" xr3:uid="{176FC259-6F62-4C34-9B2B-916389246B87}" name="Column7358"/>
    <tableColumn id="7373" xr3:uid="{2505534B-F981-4BE5-B55D-F685A2B84E7F}" name="Column7359"/>
    <tableColumn id="7374" xr3:uid="{86B9EEEB-DC6E-4268-B6DF-20AE81797691}" name="Column7360"/>
    <tableColumn id="7375" xr3:uid="{B48800E3-46D2-41D7-951A-D3640708975F}" name="Column7361"/>
    <tableColumn id="7376" xr3:uid="{A985739C-F2C0-4485-8E11-2187618C1728}" name="Column7362"/>
    <tableColumn id="7377" xr3:uid="{476AF312-A66F-43C5-ABAB-FEA1583B018E}" name="Column7363"/>
    <tableColumn id="7378" xr3:uid="{FAD8D4B8-C143-4E6A-BF63-FB708BC958EC}" name="Column7364"/>
    <tableColumn id="7379" xr3:uid="{C01581BE-017A-4352-82A2-BA7F417CF0C4}" name="Column7365"/>
    <tableColumn id="7380" xr3:uid="{22894666-53DB-4E29-9153-827CEE44BA8E}" name="Column7366"/>
    <tableColumn id="7381" xr3:uid="{6E2F6C2F-D6F3-458A-86F3-EB3D9CAA2F13}" name="Column7367"/>
    <tableColumn id="7382" xr3:uid="{2739C36D-A666-48BE-9855-6330A15ACBA0}" name="Column7368"/>
    <tableColumn id="7383" xr3:uid="{855C7C18-4729-44A9-98F2-CEE8673866AD}" name="Column7369"/>
    <tableColumn id="7384" xr3:uid="{90CA61A1-7AEF-4847-9348-502D0C523292}" name="Column7370"/>
    <tableColumn id="7385" xr3:uid="{37B67307-908C-431F-AA09-6824D75659DE}" name="Column7371"/>
    <tableColumn id="7386" xr3:uid="{CEE4733B-73B4-428E-A885-DCC4DE66E0CC}" name="Column7372"/>
    <tableColumn id="7387" xr3:uid="{7298DDAA-95E7-47EF-AC5E-19AE18D91446}" name="Column7373"/>
    <tableColumn id="7388" xr3:uid="{359D3094-D0FC-4A6A-862E-B25255664D05}" name="Column7374"/>
    <tableColumn id="7389" xr3:uid="{FEB03A7F-15A2-4728-A6E4-69B279C8AC83}" name="Column7375"/>
    <tableColumn id="7390" xr3:uid="{1B941BBD-A8D2-4533-898A-E1774F303414}" name="Column7376"/>
    <tableColumn id="7391" xr3:uid="{5567A96D-C0A6-438A-A125-213B97F70398}" name="Column7377"/>
    <tableColumn id="7392" xr3:uid="{7B7D339D-D4D2-4C35-98DC-4DC01677814E}" name="Column7378"/>
    <tableColumn id="7393" xr3:uid="{A780C2F9-E405-4055-B667-4AFB1F0A6718}" name="Column7379"/>
    <tableColumn id="7394" xr3:uid="{139BDABC-C4B7-4772-8BD3-43760C719D5B}" name="Column7380"/>
    <tableColumn id="7395" xr3:uid="{179B4976-CAF4-4950-9AB8-647F97511704}" name="Column7381"/>
    <tableColumn id="7396" xr3:uid="{6140859A-CF49-48F7-9C82-EE5555D61228}" name="Column7382"/>
    <tableColumn id="7397" xr3:uid="{BAADB680-E6A1-489C-B00D-50074B2366A5}" name="Column7383"/>
    <tableColumn id="7398" xr3:uid="{87B1D4C9-5C9B-48B3-931B-ED0DBA3EA77C}" name="Column7384"/>
    <tableColumn id="7399" xr3:uid="{56499258-A64A-4F3A-A533-9E1D3908648A}" name="Column7385"/>
    <tableColumn id="7400" xr3:uid="{72CD400F-2EEC-4E9C-A10E-CE2F43AF0FF0}" name="Column7386"/>
    <tableColumn id="7401" xr3:uid="{E884337A-6D2B-48CA-8F0D-3E90C0D415C1}" name="Column7387"/>
    <tableColumn id="7402" xr3:uid="{4EA540CC-A27D-4B67-A8D4-96EDCD994E4E}" name="Column7388"/>
    <tableColumn id="7403" xr3:uid="{2317DC0E-E85B-4E77-A268-87E5350985E8}" name="Column7389"/>
    <tableColumn id="7404" xr3:uid="{8EC5EEE8-F717-4FA7-B217-238257961936}" name="Column7390"/>
    <tableColumn id="7405" xr3:uid="{CF6CADC0-7521-4B73-98D2-EC9EC8352F3B}" name="Column7391"/>
    <tableColumn id="7406" xr3:uid="{0B134629-5190-4446-839B-C2C0FC0A5E33}" name="Column7392"/>
    <tableColumn id="7407" xr3:uid="{C50626F9-F462-42A9-9120-7E516EB91CA8}" name="Column7393"/>
    <tableColumn id="7408" xr3:uid="{ECDD2604-4E3A-4A4A-AB11-77793DEB7D75}" name="Column7394"/>
    <tableColumn id="7409" xr3:uid="{94FDDA45-6794-4C00-9F26-16C179516E8D}" name="Column7395"/>
    <tableColumn id="7410" xr3:uid="{F62BFD13-4051-426C-AE34-68A0A3432E38}" name="Column7396"/>
    <tableColumn id="7411" xr3:uid="{F66DDDA0-FBA3-4813-9ADD-205D992C8BAF}" name="Column7397"/>
    <tableColumn id="7412" xr3:uid="{6653E2CF-9098-4277-995C-AA113E0ED894}" name="Column7398"/>
    <tableColumn id="7413" xr3:uid="{12E195AC-AF3D-410C-9B53-082A0759377B}" name="Column7399"/>
    <tableColumn id="7414" xr3:uid="{AD6A473A-E0C6-4C11-904F-754E0F160EDA}" name="Column7400"/>
    <tableColumn id="7415" xr3:uid="{BEB88B2C-6766-441E-9586-6D8B31CE2928}" name="Column7401"/>
    <tableColumn id="7416" xr3:uid="{713DA0E4-E3AA-41FC-87B1-A6C818CB8F70}" name="Column7402"/>
    <tableColumn id="7417" xr3:uid="{0F834DE3-3476-47A3-8FD9-D7902A882AD4}" name="Column7403"/>
    <tableColumn id="7418" xr3:uid="{A48BBC05-3CE5-4A8E-BB65-1DD27DE1D242}" name="Column7404"/>
    <tableColumn id="7419" xr3:uid="{6BB761FA-50B3-4BF4-A2B9-323AD843D4C8}" name="Column7405"/>
    <tableColumn id="7420" xr3:uid="{89E869DC-3678-4CDD-ADAE-405315F303E4}" name="Column7406"/>
    <tableColumn id="7421" xr3:uid="{34B3FD7B-CF19-419C-A85D-2919320D0B4D}" name="Column7407"/>
    <tableColumn id="7422" xr3:uid="{91C6179F-BD51-4DA9-856B-F90D4CAF9343}" name="Column7408"/>
    <tableColumn id="7423" xr3:uid="{AD97651F-6A35-474D-BE65-6E281EB4F8FC}" name="Column7409"/>
    <tableColumn id="7424" xr3:uid="{4C419311-0D4B-438C-971E-F1F0F6365AD3}" name="Column7410"/>
    <tableColumn id="7425" xr3:uid="{A31DBF3F-266A-4471-AB8D-675F9608E3B6}" name="Column7411"/>
    <tableColumn id="7426" xr3:uid="{655BB1DB-26EE-49BE-B480-BD713C675E5C}" name="Column7412"/>
    <tableColumn id="7427" xr3:uid="{E79061B9-9EA8-404C-81DA-FBE406EAD622}" name="Column7413"/>
    <tableColumn id="7428" xr3:uid="{EA77F414-5106-4804-A518-BB4778B69B3A}" name="Column7414"/>
    <tableColumn id="7429" xr3:uid="{7A6FCA55-68D7-4468-A481-1FF353E3B7B5}" name="Column7415"/>
    <tableColumn id="7430" xr3:uid="{3205B988-D26B-4D2B-A9F3-3872624EEDC0}" name="Column7416"/>
    <tableColumn id="7431" xr3:uid="{35A5719E-96A0-4B07-A941-B38BE1AA9041}" name="Column7417"/>
    <tableColumn id="7432" xr3:uid="{F38E211F-7268-4982-9E2B-0893E75D276A}" name="Column7418"/>
    <tableColumn id="7433" xr3:uid="{F13EBD8E-0659-4006-9CED-B8DE5A2DEAFE}" name="Column7419"/>
    <tableColumn id="7434" xr3:uid="{3FC69894-F547-47B7-89F4-C4BB606560CA}" name="Column7420"/>
    <tableColumn id="7435" xr3:uid="{EFF1FBDB-051E-4005-ADC9-BB73E8E05228}" name="Column7421"/>
    <tableColumn id="7436" xr3:uid="{E0872E82-6261-42E3-9BC0-75CBDD247954}" name="Column7422"/>
    <tableColumn id="7437" xr3:uid="{B909835C-677B-40D6-B0E8-C1CFE5DA2E22}" name="Column7423"/>
    <tableColumn id="7438" xr3:uid="{3DE18C32-DD26-4E6C-B160-FA73C0E6100E}" name="Column7424"/>
    <tableColumn id="7439" xr3:uid="{64C1D11C-9F54-4C96-A103-CF0BFC718418}" name="Column7425"/>
    <tableColumn id="7440" xr3:uid="{9743912B-05E7-494D-9C5F-EA5C71C316C2}" name="Column7426"/>
    <tableColumn id="7441" xr3:uid="{3A627789-DA9B-43CA-B4E6-EB7055FF9457}" name="Column7427"/>
    <tableColumn id="7442" xr3:uid="{C2CC5E26-FE5F-4FBA-A7DE-58B80189FB88}" name="Column7428"/>
    <tableColumn id="7443" xr3:uid="{102784C5-FDD5-4861-8C98-6C6A64C7BCB5}" name="Column7429"/>
    <tableColumn id="7444" xr3:uid="{77EFA171-6CE8-4786-AB16-6AE5763A2B86}" name="Column7430"/>
    <tableColumn id="7445" xr3:uid="{A252CDED-19F0-4CB9-B6B5-0FCBF2660D7E}" name="Column7431"/>
    <tableColumn id="7446" xr3:uid="{614446E1-20C5-4BAF-AD64-DDD3D5DEA4DE}" name="Column7432"/>
    <tableColumn id="7447" xr3:uid="{E541D51D-ED6E-4F2F-8C3F-BAD3B5279ED0}" name="Column7433"/>
    <tableColumn id="7448" xr3:uid="{337A7BC7-2C11-49B9-8069-0A16227F29CE}" name="Column7434"/>
    <tableColumn id="7449" xr3:uid="{2D65B30D-77E4-4CE0-A5B9-D8664740366B}" name="Column7435"/>
    <tableColumn id="7450" xr3:uid="{74D95AF6-2C2B-4D30-BF6B-7EA7019E97A6}" name="Column7436"/>
    <tableColumn id="7451" xr3:uid="{3AA05841-5129-4638-9054-F5366807D6EB}" name="Column7437"/>
    <tableColumn id="7452" xr3:uid="{1CEDE704-7058-4551-9D55-F0D8F524FAEA}" name="Column7438"/>
    <tableColumn id="7453" xr3:uid="{26ABB454-3364-42C2-A39D-4769B75145DF}" name="Column7439"/>
    <tableColumn id="7454" xr3:uid="{09F7BD5C-FF1A-4702-98AE-AC0A3B9C9D39}" name="Column7440"/>
    <tableColumn id="7455" xr3:uid="{FE268F33-8AB8-48C5-8FC8-E69500FA78A5}" name="Column7441"/>
    <tableColumn id="7456" xr3:uid="{C922351E-CBB8-4F03-9A94-580CCE25C588}" name="Column7442"/>
    <tableColumn id="7457" xr3:uid="{84DABE2E-64C0-4190-82CE-B3FAE44073BA}" name="Column7443"/>
    <tableColumn id="7458" xr3:uid="{354DC87E-F2E8-445C-A447-8D0947C9FE16}" name="Column7444"/>
    <tableColumn id="7459" xr3:uid="{2AE2B0B6-334B-42E7-A3FF-F6E6D31DF3CA}" name="Column7445"/>
    <tableColumn id="7460" xr3:uid="{80CF9AD7-3894-4E6E-8B05-A16F735137C4}" name="Column7446"/>
    <tableColumn id="7461" xr3:uid="{7004D7F3-FB33-4104-83B4-653FCA67CE18}" name="Column7447"/>
    <tableColumn id="7462" xr3:uid="{7B9076F9-FDF6-47B2-8165-47BB5B1FC2B2}" name="Column7448"/>
    <tableColumn id="7463" xr3:uid="{99F03E8A-3892-4BA7-AEBE-182A1B3B7A05}" name="Column7449"/>
    <tableColumn id="7464" xr3:uid="{799CCDBC-5C8D-4A8A-A59B-1740A9F47084}" name="Column7450"/>
    <tableColumn id="7465" xr3:uid="{41E6FA97-9ACC-4177-B047-E3F19B752B4F}" name="Column7451"/>
    <tableColumn id="7466" xr3:uid="{D6CD0784-C5FC-43FE-9490-315361706953}" name="Column7452"/>
    <tableColumn id="7467" xr3:uid="{B83B449C-AE33-4C0C-A9E5-B08CDC93E941}" name="Column7453"/>
    <tableColumn id="7468" xr3:uid="{514AF441-DA22-450C-83CA-78A9E155A0AF}" name="Column7454"/>
    <tableColumn id="7469" xr3:uid="{846D883F-C97E-47CB-843C-03D6D3DE9089}" name="Column7455"/>
    <tableColumn id="7470" xr3:uid="{99898D05-DE04-4742-899B-FB98FE2A1249}" name="Column7456"/>
    <tableColumn id="7471" xr3:uid="{B20F0508-B870-4479-92DC-30767F456242}" name="Column7457"/>
    <tableColumn id="7472" xr3:uid="{18D13C09-A65A-4E50-BA80-FB5558D5210A}" name="Column7458"/>
    <tableColumn id="7473" xr3:uid="{000C2663-5E28-43A0-9F9B-41BB143E35E1}" name="Column7459"/>
    <tableColumn id="7474" xr3:uid="{7D3605DE-DC96-4803-8EB9-E52CDFEE50C0}" name="Column7460"/>
    <tableColumn id="7475" xr3:uid="{E9FD75B5-2E3C-47DC-A1DF-3761F91F33E7}" name="Column7461"/>
    <tableColumn id="7476" xr3:uid="{CBAD3A73-C95C-4824-A08B-EF3B802D0574}" name="Column7462"/>
    <tableColumn id="7477" xr3:uid="{B7A77C75-D7FD-48E9-8604-8B6C0F9EC2A8}" name="Column7463"/>
    <tableColumn id="7478" xr3:uid="{46CBABA2-0B48-46C6-A2A2-CADB81658547}" name="Column7464"/>
    <tableColumn id="7479" xr3:uid="{5A790495-3284-4F10-97EF-A76FCCF8673B}" name="Column7465"/>
    <tableColumn id="7480" xr3:uid="{88CAFCA5-6A17-4C22-98CD-61DAD0BBE106}" name="Column7466"/>
    <tableColumn id="7481" xr3:uid="{FE01BF72-E054-47E4-AAD3-301D973E29E4}" name="Column7467"/>
    <tableColumn id="7482" xr3:uid="{D42C570E-D3B8-4B0B-8B47-2900A495EFF6}" name="Column7468"/>
    <tableColumn id="7483" xr3:uid="{D2B34B08-4168-4DC2-AC4E-CA6862C8A820}" name="Column7469"/>
    <tableColumn id="7484" xr3:uid="{AD8BA60B-EA4F-4200-80B3-99C1F7E905AE}" name="Column7470"/>
    <tableColumn id="7485" xr3:uid="{B5EC57CC-AA62-4703-B365-613EB0B0D3CE}" name="Column7471"/>
    <tableColumn id="7486" xr3:uid="{017FA584-35F7-42D3-9F85-34B151EC884A}" name="Column7472"/>
    <tableColumn id="7487" xr3:uid="{A9472059-93E0-4500-9D79-A66AE80F7949}" name="Column7473"/>
    <tableColumn id="7488" xr3:uid="{59A2267D-6B5B-4531-9000-36ABB80D88CA}" name="Column7474"/>
    <tableColumn id="7489" xr3:uid="{609F6088-004F-4131-A0F6-2A3996D02FED}" name="Column7475"/>
    <tableColumn id="7490" xr3:uid="{4C50C4D8-7A58-49FD-BF2C-C5A63341A03C}" name="Column7476"/>
    <tableColumn id="7491" xr3:uid="{F8B733C6-48E6-4DE1-B805-02EE24FADA9F}" name="Column7477"/>
    <tableColumn id="7492" xr3:uid="{BA8BA09C-8F34-4CC9-8299-C8CC30ED7306}" name="Column7478"/>
    <tableColumn id="7493" xr3:uid="{C76CD39B-31CA-482A-B47A-77E3C4DA5AF9}" name="Column7479"/>
    <tableColumn id="7494" xr3:uid="{82B3BFD1-29FD-4AED-9AE4-02CA8F48FD35}" name="Column7480"/>
    <tableColumn id="7495" xr3:uid="{054DE9EB-248F-4875-AC98-AE4EF374D644}" name="Column7481"/>
    <tableColumn id="7496" xr3:uid="{2425BF40-3D77-4BD8-ADAC-92C40D4B9AB0}" name="Column7482"/>
    <tableColumn id="7497" xr3:uid="{DC2B3816-F032-47C3-90A8-5D73CA197260}" name="Column7483"/>
    <tableColumn id="7498" xr3:uid="{272DA4DB-4616-4854-B6E1-FB170EAED0EA}" name="Column7484"/>
    <tableColumn id="7499" xr3:uid="{0D0F0F76-1590-4D1D-8E31-9890A6D3D93F}" name="Column7485"/>
    <tableColumn id="7500" xr3:uid="{8BFA1911-B064-455C-8D45-EDB40C9D222F}" name="Column7486"/>
    <tableColumn id="7501" xr3:uid="{A405AEFB-16EA-4274-A297-EF9AC961B03D}" name="Column7487"/>
    <tableColumn id="7502" xr3:uid="{0B98D56B-1640-4362-8F16-FDF0C034FF85}" name="Column7488"/>
    <tableColumn id="7503" xr3:uid="{7FA576EF-4285-40B0-BBFA-EDDC97BCFA53}" name="Column7489"/>
    <tableColumn id="7504" xr3:uid="{F5CBF3E0-A742-4CF0-9458-A250013E29E3}" name="Column7490"/>
    <tableColumn id="7505" xr3:uid="{57DE3EF7-C93D-49FD-BAB4-B055AEE5BA0A}" name="Column7491"/>
    <tableColumn id="7506" xr3:uid="{8F362E35-1997-4CA3-B0CE-E9320F8D6889}" name="Column7492"/>
    <tableColumn id="7507" xr3:uid="{B3E42B2D-CBD0-4681-BC36-3E8C71CA62E9}" name="Column7493"/>
    <tableColumn id="7508" xr3:uid="{E13E2E6F-4F26-48FD-9CC7-FBF045D73729}" name="Column7494"/>
    <tableColumn id="7509" xr3:uid="{A1397968-73C8-429E-AADF-4DCE761184EC}" name="Column7495"/>
    <tableColumn id="7510" xr3:uid="{EDF89713-4187-411C-8A7A-BB38926D3E75}" name="Column7496"/>
    <tableColumn id="7511" xr3:uid="{9367D45D-DE26-4355-9CF0-9839853DA133}" name="Column7497"/>
    <tableColumn id="7512" xr3:uid="{749A37AB-5A18-4FA3-A0EC-4D1FC8EBC8C4}" name="Column7498"/>
    <tableColumn id="7513" xr3:uid="{9C406880-C038-498E-8970-23805EE46CB2}" name="Column7499"/>
    <tableColumn id="7514" xr3:uid="{16A079E4-49D9-4A5F-ABA1-7197E1A49731}" name="Column7500"/>
    <tableColumn id="7515" xr3:uid="{E120C2B2-FF2B-4C8B-B481-2A48F4BE5C7D}" name="Column7501"/>
    <tableColumn id="7516" xr3:uid="{D962EDD9-9E98-4663-9E90-9C760385B8E1}" name="Column7502"/>
    <tableColumn id="7517" xr3:uid="{311423B9-04D2-41DC-B2EA-C52ABAB03CB4}" name="Column7503"/>
    <tableColumn id="7518" xr3:uid="{25A80EE6-88B5-44B5-8B34-8E0CC689407C}" name="Column7504"/>
    <tableColumn id="7519" xr3:uid="{1C78BE93-74AF-46A6-824E-15B73DA282A4}" name="Column7505"/>
    <tableColumn id="7520" xr3:uid="{78292953-E5E3-462D-A95D-E70E3790B81B}" name="Column7506"/>
    <tableColumn id="7521" xr3:uid="{3690C1D9-E619-4E89-B480-62B4692C06A4}" name="Column7507"/>
    <tableColumn id="7522" xr3:uid="{AE4E1789-FEC9-4814-96A6-1ED1F4B5AA3D}" name="Column7508"/>
    <tableColumn id="7523" xr3:uid="{BEC4B0FC-7239-4937-AA59-7F4514CE8B41}" name="Column7509"/>
    <tableColumn id="7524" xr3:uid="{B8E8C5FD-F1E1-46DF-8716-1B202868ADD1}" name="Column7510"/>
    <tableColumn id="7525" xr3:uid="{D31161C2-1FAC-4DAC-A070-5EBEA036366B}" name="Column7511"/>
    <tableColumn id="7526" xr3:uid="{C3763E88-0A58-420D-B209-2B148D18CCBF}" name="Column7512"/>
    <tableColumn id="7527" xr3:uid="{AC31D07A-53EE-48D0-B09A-B5AC156AFCBF}" name="Column7513"/>
    <tableColumn id="7528" xr3:uid="{A5A85B9D-C2D9-4655-BA6A-6B4F9D45319D}" name="Column7514"/>
    <tableColumn id="7529" xr3:uid="{F56FBA84-1F70-4DBC-B5B7-57F10BB10C8F}" name="Column7515"/>
    <tableColumn id="7530" xr3:uid="{D5195D07-69F3-4BB9-B811-5D04914ED644}" name="Column7516"/>
    <tableColumn id="7531" xr3:uid="{B132003D-9F7B-4A15-9F2D-8431905DAA98}" name="Column7517"/>
    <tableColumn id="7532" xr3:uid="{3AC3652B-2294-41CB-ADDD-600DE5894F60}" name="Column7518"/>
    <tableColumn id="7533" xr3:uid="{44E5827B-0256-4E82-9309-2B6F7AADE6A1}" name="Column7519"/>
    <tableColumn id="7534" xr3:uid="{9216545E-50FD-41C0-BCCA-C87FE4C14958}" name="Column7520"/>
    <tableColumn id="7535" xr3:uid="{148E6BDE-0A70-46D5-97A1-3B2EFE641761}" name="Column7521"/>
    <tableColumn id="7536" xr3:uid="{2FAB2D14-881E-4F3D-B522-9E337610E4BE}" name="Column7522"/>
    <tableColumn id="7537" xr3:uid="{BFD11F17-AAC4-407C-A38B-1D4A077224BE}" name="Column7523"/>
    <tableColumn id="7538" xr3:uid="{5A428CA7-DEC7-4B0C-B3F8-7B379EDAE60C}" name="Column7524"/>
    <tableColumn id="7539" xr3:uid="{30FD3D89-7C62-4F2A-B6CA-45509F0A014B}" name="Column7525"/>
    <tableColumn id="7540" xr3:uid="{3108A566-91D7-4C26-A8D4-D96154E34C5F}" name="Column7526"/>
    <tableColumn id="7541" xr3:uid="{DDF296C7-50B7-4024-8270-36691EFA6ECD}" name="Column7527"/>
    <tableColumn id="7542" xr3:uid="{36920BB3-C3D6-4B96-BB9C-86DBE5864D64}" name="Column7528"/>
    <tableColumn id="7543" xr3:uid="{72D29C8C-83E1-458E-A3A5-9298AE570DC0}" name="Column7529"/>
    <tableColumn id="7544" xr3:uid="{68CB0D9E-46DF-4F31-B49E-B197A018A9B1}" name="Column7530"/>
    <tableColumn id="7545" xr3:uid="{69D4944E-E190-47C8-B7B9-EE19834995FE}" name="Column7531"/>
    <tableColumn id="7546" xr3:uid="{DCBABC01-FC29-48F3-BE1C-947EAF51E21A}" name="Column7532"/>
    <tableColumn id="7547" xr3:uid="{E966BCBB-6ED0-4E73-8F12-50A1BFEF6B2A}" name="Column7533"/>
    <tableColumn id="7548" xr3:uid="{83E38798-771C-444B-840A-2503654FEBF5}" name="Column7534"/>
    <tableColumn id="7549" xr3:uid="{499CB380-E50C-4942-9F94-C36E873C1A39}" name="Column7535"/>
    <tableColumn id="7550" xr3:uid="{F5BCEA2E-4FE1-40F7-955D-2ADBB043DF02}" name="Column7536"/>
    <tableColumn id="7551" xr3:uid="{1FA7631A-B5B6-4ECA-BA7E-7A0342F6BD5F}" name="Column7537"/>
    <tableColumn id="7552" xr3:uid="{F66D4FB4-6AE6-4B44-B6AE-9B500977BD01}" name="Column7538"/>
    <tableColumn id="7553" xr3:uid="{C0867B49-84D9-4407-A6B8-08CB20BAC939}" name="Column7539"/>
    <tableColumn id="7554" xr3:uid="{73276DAE-DFF6-4E04-9358-B987F08B1BBB}" name="Column7540"/>
    <tableColumn id="7555" xr3:uid="{1F0B1E5D-414B-4B3B-8F56-EDFC31EE8719}" name="Column7541"/>
    <tableColumn id="7556" xr3:uid="{5350B992-5251-4E29-B705-0BF22E7AE998}" name="Column7542"/>
    <tableColumn id="7557" xr3:uid="{1AE766E8-985B-4784-83D5-9FB7A2428B57}" name="Column7543"/>
    <tableColumn id="7558" xr3:uid="{7A3DAC7C-E31C-44A5-A90F-271E084F9940}" name="Column7544"/>
    <tableColumn id="7559" xr3:uid="{F424CB06-75C6-4233-AA4B-62441D2C4C34}" name="Column7545"/>
    <tableColumn id="7560" xr3:uid="{A0DF1268-5AE4-432B-89AD-FDBC77ADA257}" name="Column7546"/>
    <tableColumn id="7561" xr3:uid="{6510A2A6-5DC0-474F-87FA-2CDF50E9F8F7}" name="Column7547"/>
    <tableColumn id="7562" xr3:uid="{AFFAEDA1-623C-4FFD-B604-D634D2F70EE3}" name="Column7548"/>
    <tableColumn id="7563" xr3:uid="{C4F02C91-2B3D-4A1F-A1A8-C19715B61AB8}" name="Column7549"/>
    <tableColumn id="7564" xr3:uid="{EE060863-5526-44CD-BA70-B91AB46EF161}" name="Column7550"/>
    <tableColumn id="7565" xr3:uid="{DB2D36C0-2CE4-461E-9ADA-821D268FA877}" name="Column7551"/>
    <tableColumn id="7566" xr3:uid="{38094A02-515D-41B4-A796-A9D450E7238E}" name="Column7552"/>
    <tableColumn id="7567" xr3:uid="{461F0DBA-8147-4BFC-8A25-5554D40473E7}" name="Column7553"/>
    <tableColumn id="7568" xr3:uid="{8278C618-2CCB-4570-9415-624496B7EC2B}" name="Column7554"/>
    <tableColumn id="7569" xr3:uid="{97B678D1-A9E2-43AD-BB75-925BE599F1C9}" name="Column7555"/>
    <tableColumn id="7570" xr3:uid="{CDE0F43A-F1BE-48D8-97C3-AF9C997AF417}" name="Column7556"/>
    <tableColumn id="7571" xr3:uid="{D93E95AC-CB92-4F16-B947-A8C3B441CE7D}" name="Column7557"/>
    <tableColumn id="7572" xr3:uid="{82B18F41-510F-4649-90BA-9FCE984A6BCF}" name="Column7558"/>
    <tableColumn id="7573" xr3:uid="{4871C57C-54BE-4148-91A2-18CAA9B4C4A2}" name="Column7559"/>
    <tableColumn id="7574" xr3:uid="{11E71717-7F03-4631-AFEF-64D9693040F9}" name="Column7560"/>
    <tableColumn id="7575" xr3:uid="{E2EF0F26-18A3-4BAF-BF2C-DCA254B3D2B2}" name="Column7561"/>
    <tableColumn id="7576" xr3:uid="{1814BBDE-E58C-451F-8C7C-25535543DDC6}" name="Column7562"/>
    <tableColumn id="7577" xr3:uid="{7448BD41-25F8-4C23-A456-A7DD8CA38DDF}" name="Column7563"/>
    <tableColumn id="7578" xr3:uid="{CD0BD72C-67FC-40EB-8893-55BFBE799B94}" name="Column7564"/>
    <tableColumn id="7579" xr3:uid="{D5CF5865-C12A-43EE-93C3-BD6ECB51D190}" name="Column7565"/>
    <tableColumn id="7580" xr3:uid="{80BCA7F9-B0BB-4AE8-A4FA-3A101B323892}" name="Column7566"/>
    <tableColumn id="7581" xr3:uid="{7F073CAD-998E-413B-B24E-195B310CAA58}" name="Column7567"/>
    <tableColumn id="7582" xr3:uid="{4979B3CE-23F9-42A4-AE8D-66D0F47CC3CA}" name="Column7568"/>
    <tableColumn id="7583" xr3:uid="{84F49DE4-77AC-498A-9745-D1BF08E5B34D}" name="Column7569"/>
    <tableColumn id="7584" xr3:uid="{4D151E7B-4BF7-4E27-AF9D-EB61A536C73C}" name="Column7570"/>
    <tableColumn id="7585" xr3:uid="{A2513FC8-F6CE-4A8B-BECA-9DE367B1C971}" name="Column7571"/>
    <tableColumn id="7586" xr3:uid="{FECB3354-DC1C-443D-93E3-5337E6E6D4C3}" name="Column7572"/>
    <tableColumn id="7587" xr3:uid="{BBC726A3-7F75-4890-88F7-EF64D7902FD0}" name="Column7573"/>
    <tableColumn id="7588" xr3:uid="{570F0862-FFB6-4FF1-AA75-41DFF8061627}" name="Column7574"/>
    <tableColumn id="7589" xr3:uid="{5E3B0C28-1497-4EB6-8F26-FFB3673FD6A6}" name="Column7575"/>
    <tableColumn id="7590" xr3:uid="{C7DBFEA8-95F2-4CA4-8BF3-545A8C604FED}" name="Column7576"/>
    <tableColumn id="7591" xr3:uid="{9D70BB35-D4AA-43BB-89B8-B0B04D812E82}" name="Column7577"/>
    <tableColumn id="7592" xr3:uid="{7A7239D5-6FB9-42E3-8FD7-DF0B10FD9A00}" name="Column7578"/>
    <tableColumn id="7593" xr3:uid="{5A7542EA-3652-47CC-A741-6A1FAE2DDC02}" name="Column7579"/>
    <tableColumn id="7594" xr3:uid="{0095E893-CF0D-4EBC-813D-8B103692C858}" name="Column7580"/>
    <tableColumn id="7595" xr3:uid="{C3D1CE95-B894-497E-8258-0AED434A8D05}" name="Column7581"/>
    <tableColumn id="7596" xr3:uid="{99929AED-1521-435E-A83C-0C966E930FF0}" name="Column7582"/>
    <tableColumn id="7597" xr3:uid="{790AB2C7-732C-49E1-B2BE-41509125A2F9}" name="Column7583"/>
    <tableColumn id="7598" xr3:uid="{63972FA4-AA3E-4830-B07B-3FC959B6C9F9}" name="Column7584"/>
    <tableColumn id="7599" xr3:uid="{E3347CD7-835E-4723-8226-A10BB9552B47}" name="Column7585"/>
    <tableColumn id="7600" xr3:uid="{F4CB6C69-6722-40B9-8660-4298D80308B9}" name="Column7586"/>
    <tableColumn id="7601" xr3:uid="{8D093604-8728-493E-B5BA-300E816F49B9}" name="Column7587"/>
    <tableColumn id="7602" xr3:uid="{961CDA53-8CED-4C75-903D-EB36EF32D900}" name="Column7588"/>
    <tableColumn id="7603" xr3:uid="{822BBFB3-C679-4D64-B135-2A494E32F949}" name="Column7589"/>
    <tableColumn id="7604" xr3:uid="{A24B665A-2BE4-4631-90E3-15728FF7EF78}" name="Column7590"/>
    <tableColumn id="7605" xr3:uid="{30A1558E-543C-40E5-8ECB-FFBD87418F46}" name="Column7591"/>
    <tableColumn id="7606" xr3:uid="{76121C92-7091-4830-9EC1-70CDD70B80B8}" name="Column7592"/>
    <tableColumn id="7607" xr3:uid="{D0AD9472-1B13-46F1-9000-E8C35E3DE9B0}" name="Column7593"/>
    <tableColumn id="7608" xr3:uid="{B3CF990D-1AC6-4416-AC97-7A473AC0A25A}" name="Column7594"/>
    <tableColumn id="7609" xr3:uid="{9534A54A-0647-4914-85B6-FFEE9E3A58C4}" name="Column7595"/>
    <tableColumn id="7610" xr3:uid="{020F2CCF-C811-41D1-9C47-8DA04CC346F1}" name="Column7596"/>
    <tableColumn id="7611" xr3:uid="{518169FD-0EF5-4141-8D24-AED49D03A9E4}" name="Column7597"/>
    <tableColumn id="7612" xr3:uid="{2514EF80-A3E4-46F6-84BE-698695E38524}" name="Column7598"/>
    <tableColumn id="7613" xr3:uid="{6D8EAF5C-EC16-46D2-97F4-44E6087CE239}" name="Column7599"/>
    <tableColumn id="7614" xr3:uid="{F2B4B110-FC13-4090-ABF8-6C9BE1C6F38C}" name="Column7600"/>
    <tableColumn id="7615" xr3:uid="{029BD4E9-7035-46C8-8A08-8AFAB2706857}" name="Column7601"/>
    <tableColumn id="7616" xr3:uid="{898B7F82-9703-45D6-ADC7-ABB633765D4B}" name="Column7602"/>
    <tableColumn id="7617" xr3:uid="{0A4B769B-3AC9-4362-949B-60BB3F383DA8}" name="Column7603"/>
    <tableColumn id="7618" xr3:uid="{E6D4D070-773E-4E54-9C59-294412EC4582}" name="Column7604"/>
    <tableColumn id="7619" xr3:uid="{5F6A2732-0222-49AF-A3FC-A3B794403917}" name="Column7605"/>
    <tableColumn id="7620" xr3:uid="{E6835347-1380-4ACF-8C51-223115B72F8D}" name="Column7606"/>
    <tableColumn id="7621" xr3:uid="{C29E9B16-936A-439A-A14B-511F25D0C90D}" name="Column7607"/>
    <tableColumn id="7622" xr3:uid="{58FFA7A0-F84C-4A91-BFFB-E5CE332B4D4A}" name="Column7608"/>
    <tableColumn id="7623" xr3:uid="{E762D7AD-C296-4C5C-885B-25F00179187A}" name="Column7609"/>
    <tableColumn id="7624" xr3:uid="{A5031420-7981-438F-AA57-6CEFCF43F55C}" name="Column7610"/>
    <tableColumn id="7625" xr3:uid="{72969DCC-CF5C-4D70-A6C2-7BD502F62415}" name="Column7611"/>
    <tableColumn id="7626" xr3:uid="{4ECCE478-FCEC-4C63-BB3E-122FCBE0BF1D}" name="Column7612"/>
    <tableColumn id="7627" xr3:uid="{F2EA7D73-09A7-4A28-A5BC-A3F4B213C1FE}" name="Column7613"/>
    <tableColumn id="7628" xr3:uid="{41147B13-B839-4C82-A707-E2B93CD4A41D}" name="Column7614"/>
    <tableColumn id="7629" xr3:uid="{C8C9B048-21A8-4526-8AE9-8D8316328A12}" name="Column7615"/>
    <tableColumn id="7630" xr3:uid="{3AB08576-83B6-494D-BF7C-F9291EEA7DDE}" name="Column7616"/>
    <tableColumn id="7631" xr3:uid="{341170D6-36FB-4150-9110-2E4BF2ADD19C}" name="Column7617"/>
    <tableColumn id="7632" xr3:uid="{D0D069D7-7F54-44AF-BDA7-50788D6261E5}" name="Column7618"/>
    <tableColumn id="7633" xr3:uid="{D43F0491-0041-43B0-8082-A5287F87A901}" name="Column7619"/>
    <tableColumn id="7634" xr3:uid="{29EF3B76-A3DA-4640-8463-ADC5F41D2B13}" name="Column7620"/>
    <tableColumn id="7635" xr3:uid="{C72C2D2C-E71C-477C-848A-C6E5D7239DC9}" name="Column7621"/>
    <tableColumn id="7636" xr3:uid="{DF0E0470-0D89-4B50-8587-08F65663AA8F}" name="Column7622"/>
    <tableColumn id="7637" xr3:uid="{4E12E85D-E278-4CE5-B85E-DF3E8403BDC8}" name="Column7623"/>
    <tableColumn id="7638" xr3:uid="{0363C63F-C393-408A-8A66-2CB9F939A693}" name="Column7624"/>
    <tableColumn id="7639" xr3:uid="{8F91CA84-4DC3-47D6-B1D7-6DEA55474DD3}" name="Column7625"/>
    <tableColumn id="7640" xr3:uid="{2348E7D2-9896-43E6-A25E-27678EAF4A55}" name="Column7626"/>
    <tableColumn id="7641" xr3:uid="{EF7CEDD0-7120-4F22-9B49-414BF746783F}" name="Column7627"/>
    <tableColumn id="7642" xr3:uid="{070BCF78-D1DF-4965-90AA-13BA90D5B4B7}" name="Column7628"/>
    <tableColumn id="7643" xr3:uid="{31C46E4B-F688-43E9-886C-16858DFC8038}" name="Column7629"/>
    <tableColumn id="7644" xr3:uid="{8075D67A-8D74-44E4-9A65-5400399768F0}" name="Column7630"/>
    <tableColumn id="7645" xr3:uid="{7476BC9D-B9A9-4D7D-BA20-CCB27D765FBF}" name="Column7631"/>
    <tableColumn id="7646" xr3:uid="{0AB85CBA-39F7-4BF9-88A6-51FD086E424F}" name="Column7632"/>
    <tableColumn id="7647" xr3:uid="{14A5EFF8-00BC-440A-A98B-BFFC0D4746C9}" name="Column7633"/>
    <tableColumn id="7648" xr3:uid="{CC13B5BC-9BA5-4F42-B05F-ECCEDAD08E70}" name="Column7634"/>
    <tableColumn id="7649" xr3:uid="{B7EF07DF-1122-4C30-8924-92588EA7A89F}" name="Column7635"/>
    <tableColumn id="7650" xr3:uid="{0F8ACF50-E117-43E7-8FAA-179E6A568F0F}" name="Column7636"/>
    <tableColumn id="7651" xr3:uid="{24E6E871-76E7-4FFD-9C41-243AE2D62DA3}" name="Column7637"/>
    <tableColumn id="7652" xr3:uid="{9D69B3CA-1AB9-45A8-A735-DBEF143366D0}" name="Column7638"/>
    <tableColumn id="7653" xr3:uid="{F08E142A-259C-4C30-BFDC-3C9FD0A4A892}" name="Column7639"/>
    <tableColumn id="7654" xr3:uid="{7CA96351-631E-47D1-9DEA-928266546C3E}" name="Column7640"/>
    <tableColumn id="7655" xr3:uid="{14D6B04E-AC72-47A6-B858-110CD2963F5E}" name="Column7641"/>
    <tableColumn id="7656" xr3:uid="{7946AA11-7D27-4000-8424-E4E8BA82E1BF}" name="Column7642"/>
    <tableColumn id="7657" xr3:uid="{8C8BA52A-4822-4900-96AE-BB0EE200639F}" name="Column7643"/>
    <tableColumn id="7658" xr3:uid="{3AD1C01A-5CF0-4C52-9419-8FDF782452D8}" name="Column7644"/>
    <tableColumn id="7659" xr3:uid="{F2DECD38-5650-445B-8973-32C218E88E20}" name="Column7645"/>
    <tableColumn id="7660" xr3:uid="{D2D806C4-E154-4B4A-B750-74C9395BD007}" name="Column7646"/>
    <tableColumn id="7661" xr3:uid="{8320128B-5B9F-464A-8F3E-D3D619959683}" name="Column7647"/>
    <tableColumn id="7662" xr3:uid="{3480A444-4D8D-4025-AF19-28D02F37F16F}" name="Column7648"/>
    <tableColumn id="7663" xr3:uid="{35B9C0B7-D121-4BA0-8F3F-BA5B83CA0B04}" name="Column7649"/>
    <tableColumn id="7664" xr3:uid="{4DB71D84-FF9B-4700-BB62-AA0B9F1D9411}" name="Column7650"/>
    <tableColumn id="7665" xr3:uid="{219ED838-751A-4679-8F25-19B517408E77}" name="Column7651"/>
    <tableColumn id="7666" xr3:uid="{1701B03D-DE19-4B76-90AB-3880D7DD28D7}" name="Column7652"/>
    <tableColumn id="7667" xr3:uid="{9B119B4E-BF17-49CB-BA21-CEB25F9FCBD8}" name="Column7653"/>
    <tableColumn id="7668" xr3:uid="{E92C0591-40F0-4E9F-B05F-ACC54F25D215}" name="Column7654"/>
    <tableColumn id="7669" xr3:uid="{AFA1BA37-EFAE-42F0-9925-0992253ACCF5}" name="Column7655"/>
    <tableColumn id="7670" xr3:uid="{7CEFE398-901D-4F23-B1BD-5F9F61359E55}" name="Column7656"/>
    <tableColumn id="7671" xr3:uid="{D7A1A68C-F74B-4E12-8940-CD4191FDBE11}" name="Column7657"/>
    <tableColumn id="7672" xr3:uid="{108E905B-2AD6-4036-911C-7E97982DFCA5}" name="Column7658"/>
    <tableColumn id="7673" xr3:uid="{5BBF0D6E-9CC9-418C-AE4C-E314B03FE022}" name="Column7659"/>
    <tableColumn id="7674" xr3:uid="{8467C6DF-F670-48F0-9FCA-84A64DF9ED24}" name="Column7660"/>
    <tableColumn id="7675" xr3:uid="{71D0503C-DB07-474E-8707-02F0F0A96E73}" name="Column7661"/>
    <tableColumn id="7676" xr3:uid="{75308A03-B95F-40DE-B469-2BAD6DA5CD28}" name="Column7662"/>
    <tableColumn id="7677" xr3:uid="{3553130A-16B0-40BF-9D9C-F19A8EE06C40}" name="Column7663"/>
    <tableColumn id="7678" xr3:uid="{27410BB9-0F36-4F71-BC83-CF042499B6B6}" name="Column7664"/>
    <tableColumn id="7679" xr3:uid="{D8FD4754-36D5-4C29-BC4D-65E02877E84F}" name="Column7665"/>
    <tableColumn id="7680" xr3:uid="{D24A293C-2FDF-48D6-8FAC-90A90593FE13}" name="Column7666"/>
    <tableColumn id="7681" xr3:uid="{A8387D89-D485-442C-BC89-AAD11C15AA90}" name="Column7667"/>
    <tableColumn id="7682" xr3:uid="{CC45504A-4123-4670-B1AC-70ECB1638ED7}" name="Column7668"/>
    <tableColumn id="7683" xr3:uid="{8A3E7581-A0B4-4FA5-9510-A1964BAA3FCF}" name="Column7669"/>
    <tableColumn id="7684" xr3:uid="{F4426866-AB97-4A2B-951D-2FD7796C08C0}" name="Column7670"/>
    <tableColumn id="7685" xr3:uid="{B8BEDE38-2237-41C4-8677-C1E06385F7AC}" name="Column7671"/>
    <tableColumn id="7686" xr3:uid="{770463E4-0FA0-4452-BDD4-83E414FB5E73}" name="Column7672"/>
    <tableColumn id="7687" xr3:uid="{ED4339FC-CF84-463D-B524-17E0DDF3A2A3}" name="Column7673"/>
    <tableColumn id="7688" xr3:uid="{D64C7514-A91D-41E1-B200-361A93C09F3C}" name="Column7674"/>
    <tableColumn id="7689" xr3:uid="{ADEA7207-60B1-4179-B140-D5B077006C0F}" name="Column7675"/>
    <tableColumn id="7690" xr3:uid="{2E066E53-3D63-4116-B4E5-CAA460347F67}" name="Column7676"/>
    <tableColumn id="7691" xr3:uid="{A9F86A1B-AB2F-4A4A-B907-FF6D854856E2}" name="Column7677"/>
    <tableColumn id="7692" xr3:uid="{490FB9B5-97C9-4995-956E-EC4E56484532}" name="Column7678"/>
    <tableColumn id="7693" xr3:uid="{9FB7647A-6AFB-4E55-9885-FEDC81DFCEF4}" name="Column7679"/>
    <tableColumn id="7694" xr3:uid="{E576FD4C-5BCA-402E-8F8F-1A2ACFFAF813}" name="Column7680"/>
    <tableColumn id="7695" xr3:uid="{E75EF213-8B02-433E-96E0-D3EB034A913A}" name="Column7681"/>
    <tableColumn id="7696" xr3:uid="{56E42D36-133E-42F9-9EF1-884DCC1AFB5B}" name="Column7682"/>
    <tableColumn id="7697" xr3:uid="{0B6CCC54-E8D8-48C7-8E78-5E2163AFDC62}" name="Column7683"/>
    <tableColumn id="7698" xr3:uid="{3D2806DA-8AE8-4FB0-92BC-C664620E0A76}" name="Column7684"/>
    <tableColumn id="7699" xr3:uid="{7E2BF945-4955-4B5A-AB58-E251ECC89823}" name="Column7685"/>
    <tableColumn id="7700" xr3:uid="{DD6BADD1-E126-4742-922B-EF61275A48AC}" name="Column7686"/>
    <tableColumn id="7701" xr3:uid="{5F9C1FF7-DA52-43FA-B79F-5D765DF5A699}" name="Column7687"/>
    <tableColumn id="7702" xr3:uid="{7F7E48CE-6A6C-4628-A618-705F94CF90AB}" name="Column7688"/>
    <tableColumn id="7703" xr3:uid="{C4A065D6-5A03-4270-9AE1-B275D66B2F0F}" name="Column7689"/>
    <tableColumn id="7704" xr3:uid="{A9F4D6AB-39ED-48EB-A2DD-47B1CD7DA813}" name="Column7690"/>
    <tableColumn id="7705" xr3:uid="{74454BEA-7E79-4EF6-902F-FAAF65878774}" name="Column7691"/>
    <tableColumn id="7706" xr3:uid="{23D444AB-E543-476B-955F-5BBAE0221746}" name="Column7692"/>
    <tableColumn id="7707" xr3:uid="{85904B31-D27C-46FF-A5D8-98DF5BDE52EB}" name="Column7693"/>
    <tableColumn id="7708" xr3:uid="{C0C3082E-14C5-4966-861F-C88094672826}" name="Column7694"/>
    <tableColumn id="7709" xr3:uid="{96FC91DA-C8E7-4DD4-83E2-AC1261746EE1}" name="Column7695"/>
    <tableColumn id="7710" xr3:uid="{57A39F82-C017-429C-B585-327FE07877BA}" name="Column7696"/>
    <tableColumn id="7711" xr3:uid="{8BE3D7B1-99E2-496B-8474-12B831E4E447}" name="Column7697"/>
    <tableColumn id="7712" xr3:uid="{703B115B-099D-4813-ACAD-B3EDA449C1C2}" name="Column7698"/>
    <tableColumn id="7713" xr3:uid="{7D3DB25F-8BE4-4DE6-B52D-8B0BAD74F487}" name="Column7699"/>
    <tableColumn id="7714" xr3:uid="{9E5EA0B7-9BBD-415F-9E3E-F4B73F5A60B9}" name="Column7700"/>
    <tableColumn id="7715" xr3:uid="{7DDD887A-853B-44CD-8FD2-0583EDD5E266}" name="Column7701"/>
    <tableColumn id="7716" xr3:uid="{45FECDD9-ED95-4BB7-A8B4-453C9B5E5522}" name="Column7702"/>
    <tableColumn id="7717" xr3:uid="{6E374A27-709E-4FBB-8F9D-97D78FA66357}" name="Column7703"/>
    <tableColumn id="7718" xr3:uid="{5902C1BB-7D0C-44FA-AF47-E88040A20957}" name="Column7704"/>
    <tableColumn id="7719" xr3:uid="{73978325-1C56-4467-A512-839F42B01A92}" name="Column7705"/>
    <tableColumn id="7720" xr3:uid="{2092AA57-3A59-4EA7-BF40-421064A5778A}" name="Column7706"/>
    <tableColumn id="7721" xr3:uid="{EA776395-FAC9-4BD8-A620-F68FB88D642E}" name="Column7707"/>
    <tableColumn id="7722" xr3:uid="{1DD4561F-53A7-4A40-920F-E64D1028A4CD}" name="Column7708"/>
    <tableColumn id="7723" xr3:uid="{411853FD-A609-40C2-A745-B5A31539C98F}" name="Column7709"/>
    <tableColumn id="7724" xr3:uid="{1819F17A-8064-4068-BD79-4FE893AB0286}" name="Column7710"/>
    <tableColumn id="7725" xr3:uid="{3A80CA84-B7BF-42AF-B167-58559A8CE229}" name="Column7711"/>
    <tableColumn id="7726" xr3:uid="{C6C45716-6EE5-4A26-AF3B-4618656E034E}" name="Column7712"/>
    <tableColumn id="7727" xr3:uid="{02137B4A-7C35-43E2-9A39-0E427EA1BB13}" name="Column7713"/>
    <tableColumn id="7728" xr3:uid="{1227D1E2-3252-46B0-9056-1FFED5E73622}" name="Column7714"/>
    <tableColumn id="7729" xr3:uid="{E2A648C3-BDA4-403F-85B7-A39D706AF0E1}" name="Column7715"/>
    <tableColumn id="7730" xr3:uid="{289E5277-0471-4AB4-822E-0BAC5AD8ECFD}" name="Column7716"/>
    <tableColumn id="7731" xr3:uid="{D26C270A-6E8F-4A7E-92F2-E576CA8EB594}" name="Column7717"/>
    <tableColumn id="7732" xr3:uid="{DB3E8FCB-08E9-452E-ACE8-A09D98F8AC10}" name="Column7718"/>
    <tableColumn id="7733" xr3:uid="{B54E58BD-E257-4981-8F13-948D31DC89E0}" name="Column7719"/>
    <tableColumn id="7734" xr3:uid="{6FD04E13-EC04-4292-8D44-E0D66785523B}" name="Column7720"/>
    <tableColumn id="7735" xr3:uid="{FC3281A2-6FF4-4FCA-AF04-470DB69A8090}" name="Column7721"/>
    <tableColumn id="7736" xr3:uid="{402C493E-8422-4697-9D99-ECABC30C65C6}" name="Column7722"/>
    <tableColumn id="7737" xr3:uid="{0AFB8DC3-5A7C-4F1C-B9F1-561B086E605A}" name="Column7723"/>
    <tableColumn id="7738" xr3:uid="{65D4C6A9-5FF5-45F5-9D9E-3BB047E6496D}" name="Column7724"/>
    <tableColumn id="7739" xr3:uid="{C3DC1AEB-EA49-4F02-A24A-8055FAB73CC2}" name="Column7725"/>
    <tableColumn id="7740" xr3:uid="{33F0601A-E1B1-459A-BF42-3F8789C596DA}" name="Column7726"/>
    <tableColumn id="7741" xr3:uid="{7BB509BE-135F-4BBB-976B-37AD1568A16A}" name="Column7727"/>
    <tableColumn id="7742" xr3:uid="{DBF688E8-298E-4A97-B0FB-53E14342D01A}" name="Column7728"/>
    <tableColumn id="7743" xr3:uid="{F23A384C-28A2-4FBB-B53E-802DCD3DA17D}" name="Column7729"/>
    <tableColumn id="7744" xr3:uid="{990C33BD-F31D-402D-86C8-34CA5B0D5FB1}" name="Column7730"/>
    <tableColumn id="7745" xr3:uid="{25FC9080-02F7-421F-B699-E17FA67E60B7}" name="Column7731"/>
    <tableColumn id="7746" xr3:uid="{B16868A7-96A0-4EB7-81A7-962CA6284211}" name="Column7732"/>
    <tableColumn id="7747" xr3:uid="{07D726EE-383A-4D45-81ED-8B27C9C3CB80}" name="Column7733"/>
    <tableColumn id="7748" xr3:uid="{50A988E8-30E7-4110-9D5F-3B465386D184}" name="Column7734"/>
    <tableColumn id="7749" xr3:uid="{507567F3-977B-4DBB-B0C0-BE71D4543DE9}" name="Column7735"/>
    <tableColumn id="7750" xr3:uid="{01E947CA-DF76-406F-AFD6-069A95169CD2}" name="Column7736"/>
    <tableColumn id="7751" xr3:uid="{85B52F22-944E-4B62-874B-7C7D4A1C3F39}" name="Column7737"/>
    <tableColumn id="7752" xr3:uid="{7E37FB7E-5F06-43E7-9FB0-2C194C74A9ED}" name="Column7738"/>
    <tableColumn id="7753" xr3:uid="{7C82E256-4AFF-41D9-830C-913D32BC95F7}" name="Column7739"/>
    <tableColumn id="7754" xr3:uid="{2FEE94CA-79FA-4DCB-9D36-14AB54A0EABF}" name="Column7740"/>
    <tableColumn id="7755" xr3:uid="{31F2046F-E2EE-45DA-8ABD-65B51C6D3AC0}" name="Column7741"/>
    <tableColumn id="7756" xr3:uid="{35249D9E-5DF0-496E-BAA7-EFB745AB8ECF}" name="Column7742"/>
    <tableColumn id="7757" xr3:uid="{043C132F-A609-4303-929A-D0B9AC60366B}" name="Column7743"/>
    <tableColumn id="7758" xr3:uid="{52094AC2-A6B6-4835-BF0F-09A4F67C2C90}" name="Column7744"/>
    <tableColumn id="7759" xr3:uid="{A0D92E8D-E71D-4D48-8EBF-DEFE07B6B4B2}" name="Column7745"/>
    <tableColumn id="7760" xr3:uid="{DC8FF084-9EF0-44C3-8E60-8FC11F869B15}" name="Column7746"/>
    <tableColumn id="7761" xr3:uid="{A08DED29-843D-4319-9336-F06E0FD9860C}" name="Column7747"/>
    <tableColumn id="7762" xr3:uid="{A8D4CAD4-E326-4C3C-9466-AA4EF43DFE03}" name="Column7748"/>
    <tableColumn id="7763" xr3:uid="{70759C6D-FF5D-48C1-860C-DFFD70AC462E}" name="Column7749"/>
    <tableColumn id="7764" xr3:uid="{FD12C0E5-9C2A-4B83-A565-1DAFC43234D6}" name="Column7750"/>
    <tableColumn id="7765" xr3:uid="{507ADA18-93E9-4EA2-B7AB-783DF6C0615C}" name="Column7751"/>
    <tableColumn id="7766" xr3:uid="{B363AC88-DD43-4E2E-9326-50276B7FD48C}" name="Column7752"/>
    <tableColumn id="7767" xr3:uid="{3ADEBBA9-3334-4347-B776-E606BBCC1FE1}" name="Column7753"/>
    <tableColumn id="7768" xr3:uid="{D5C9B5E7-BFA6-4157-B8EC-D366072356A3}" name="Column7754"/>
    <tableColumn id="7769" xr3:uid="{033BE959-A8CA-4D63-99EF-91488DC2D8AD}" name="Column7755"/>
    <tableColumn id="7770" xr3:uid="{C320BFD2-8D94-4A10-A143-680C48A33CB2}" name="Column7756"/>
    <tableColumn id="7771" xr3:uid="{1D27A76F-98FD-4850-B64C-8752CD3F090F}" name="Column7757"/>
    <tableColumn id="7772" xr3:uid="{BE0F2470-C80E-46EF-8DF0-8DD839472DD9}" name="Column7758"/>
    <tableColumn id="7773" xr3:uid="{35AC4AB6-2E8C-4F95-BD58-EB39902B30BB}" name="Column7759"/>
    <tableColumn id="7774" xr3:uid="{FA1016A7-CE28-41D6-96E2-2FB23B6C1D44}" name="Column7760"/>
    <tableColumn id="7775" xr3:uid="{402172BE-13AB-4502-8138-1C657095F840}" name="Column7761"/>
    <tableColumn id="7776" xr3:uid="{9D04F8B2-B950-4B0E-85A5-5576C4A58FA8}" name="Column7762"/>
    <tableColumn id="7777" xr3:uid="{7E8CD4BC-6374-4BB6-ACE1-4CC3BCF67AB0}" name="Column7763"/>
    <tableColumn id="7778" xr3:uid="{92CB7D0F-F46E-4D3B-AF6A-B8FFA96777E0}" name="Column7764"/>
    <tableColumn id="7779" xr3:uid="{CC7F81E6-59E9-46D8-AAAC-628500A6AF7F}" name="Column7765"/>
    <tableColumn id="7780" xr3:uid="{D309B418-FEA3-4DB0-AF63-6B039D8FB574}" name="Column7766"/>
    <tableColumn id="7781" xr3:uid="{5A9FC599-FE41-4877-9D88-4F7D03E5B12D}" name="Column7767"/>
    <tableColumn id="7782" xr3:uid="{AEB7FCDC-148C-4914-B8C2-1ABA211548F6}" name="Column7768"/>
    <tableColumn id="7783" xr3:uid="{E1C53215-FA22-4BD1-A2CE-6D3D8EE2F9A6}" name="Column7769"/>
    <tableColumn id="7784" xr3:uid="{4C1E4042-23F1-4F0A-AA5E-32E918960C32}" name="Column7770"/>
    <tableColumn id="7785" xr3:uid="{3EF83B90-CD1E-49C7-B2A7-155338506CDE}" name="Column7771"/>
    <tableColumn id="7786" xr3:uid="{73B52042-4732-41B8-82F6-3A12689098C6}" name="Column7772"/>
    <tableColumn id="7787" xr3:uid="{7B417DE4-D815-4EE5-B48D-A984B79DCA4A}" name="Column7773"/>
    <tableColumn id="7788" xr3:uid="{1CE1A09A-21B5-4C4B-AD8B-96FB879C5324}" name="Column7774"/>
    <tableColumn id="7789" xr3:uid="{BA3929F8-2328-4A06-8D22-8731BFB40DCF}" name="Column7775"/>
    <tableColumn id="7790" xr3:uid="{10EBBA60-A3B6-4ABB-94B0-56A0384F856D}" name="Column7776"/>
    <tableColumn id="7791" xr3:uid="{68A7BA1C-1E0B-4570-93DE-541459C935D0}" name="Column7777"/>
    <tableColumn id="7792" xr3:uid="{13E58292-284D-4641-8E63-70AEC927D974}" name="Column7778"/>
    <tableColumn id="7793" xr3:uid="{9A1E822C-B9A4-45A4-BD8E-BE067BF686B4}" name="Column7779"/>
    <tableColumn id="7794" xr3:uid="{45E3074E-CC6A-41E7-A5FC-C0007F726894}" name="Column7780"/>
    <tableColumn id="7795" xr3:uid="{3C758035-5494-4959-AAAC-465E516354E4}" name="Column7781"/>
    <tableColumn id="7796" xr3:uid="{998A7E88-4E77-4150-8DB1-600AAA76B377}" name="Column7782"/>
    <tableColumn id="7797" xr3:uid="{14875FF5-54D0-4D15-A0E3-2FCB48954C9A}" name="Column7783"/>
    <tableColumn id="7798" xr3:uid="{761828B4-7E42-46C4-8F82-C32714A282C6}" name="Column7784"/>
    <tableColumn id="7799" xr3:uid="{3E6B0CA6-096D-42C9-A2D4-C73126492E51}" name="Column7785"/>
    <tableColumn id="7800" xr3:uid="{C2A6070C-B9E2-428D-BBD5-2C501DEC33C7}" name="Column7786"/>
    <tableColumn id="7801" xr3:uid="{FCE7482E-ED0B-42ED-94C9-F02AA2A285B9}" name="Column7787"/>
    <tableColumn id="7802" xr3:uid="{FF28293F-FE05-4FC9-A8E1-D043AC84EBE0}" name="Column7788"/>
    <tableColumn id="7803" xr3:uid="{4F665AEC-D146-4F39-9746-A59C101D4F86}" name="Column7789"/>
    <tableColumn id="7804" xr3:uid="{1A77A676-E92F-4228-82FB-74AB40205C48}" name="Column7790"/>
    <tableColumn id="7805" xr3:uid="{66F71E16-2682-4F15-A18A-F7437FA06A05}" name="Column7791"/>
    <tableColumn id="7806" xr3:uid="{054D86AF-A37F-4AE0-AB44-EE8AA1E72A0D}" name="Column7792"/>
    <tableColumn id="7807" xr3:uid="{7773AC10-6128-4579-9C98-65DDA0AAD169}" name="Column7793"/>
    <tableColumn id="7808" xr3:uid="{5BB22E8C-AFC2-47D8-AA5A-71ED1B922F27}" name="Column7794"/>
    <tableColumn id="7809" xr3:uid="{01F61EFC-4986-4250-9059-1FDE5A5A0343}" name="Column7795"/>
    <tableColumn id="7810" xr3:uid="{8EA5553E-D6EB-4415-8C6A-66C06C6563CE}" name="Column7796"/>
    <tableColumn id="7811" xr3:uid="{6D798DD4-AD93-4547-93B0-425671E3BA4F}" name="Column7797"/>
    <tableColumn id="7812" xr3:uid="{1A49DC6A-C767-4948-BA2D-D4A703D82E52}" name="Column7798"/>
    <tableColumn id="7813" xr3:uid="{E3FDEC4F-57C4-4FDE-9AAF-65D5E82163B2}" name="Column7799"/>
    <tableColumn id="7814" xr3:uid="{26F52C11-6FFB-4ADD-9C47-F90A616F42C4}" name="Column7800"/>
    <tableColumn id="7815" xr3:uid="{00FD4BA0-9729-4931-A88E-57566337B0B8}" name="Column7801"/>
    <tableColumn id="7816" xr3:uid="{6846896D-BDD9-411E-A1C7-D65BA47DADD1}" name="Column7802"/>
    <tableColumn id="7817" xr3:uid="{A43B9B46-82CA-4E4F-B513-485BAD7B39DB}" name="Column7803"/>
    <tableColumn id="7818" xr3:uid="{563E654A-1F66-4CE8-BB67-C80BEC83AF72}" name="Column7804"/>
    <tableColumn id="7819" xr3:uid="{22AE7299-52D9-40FD-97C8-6A997ACAB851}" name="Column7805"/>
    <tableColumn id="7820" xr3:uid="{8E6945B9-2245-4E44-A011-EEE71B51794A}" name="Column7806"/>
    <tableColumn id="7821" xr3:uid="{EBA02A5E-EFE7-4D91-AC0A-C49F3E955B9B}" name="Column7807"/>
    <tableColumn id="7822" xr3:uid="{601441C2-8880-48D6-964F-95A836F6AE14}" name="Column7808"/>
    <tableColumn id="7823" xr3:uid="{ADC0C0D9-D41D-4CAF-8B31-1152106B6459}" name="Column7809"/>
    <tableColumn id="7824" xr3:uid="{73191914-5632-4FA8-AA1F-C6F91E198659}" name="Column7810"/>
    <tableColumn id="7825" xr3:uid="{631B81CB-D26B-4EBB-9B0B-0DB4DDFA6D79}" name="Column7811"/>
    <tableColumn id="7826" xr3:uid="{E3E12DDF-4FF7-4A5D-88CD-84019EDD5D3D}" name="Column7812"/>
    <tableColumn id="7827" xr3:uid="{8A28A86C-08B0-409A-9A22-64870BF7A7F2}" name="Column7813"/>
    <tableColumn id="7828" xr3:uid="{2ACE8D4A-E9FF-4722-839B-CC0DF34C1F9D}" name="Column7814"/>
    <tableColumn id="7829" xr3:uid="{0A392ED7-426B-4AD2-B118-BB382C853E33}" name="Column7815"/>
    <tableColumn id="7830" xr3:uid="{45DFFD09-E4DE-433D-B29F-F26E7BE770B7}" name="Column7816"/>
    <tableColumn id="7831" xr3:uid="{11D03C2B-EFD1-4E1E-B54A-73EFBCEE4FED}" name="Column7817"/>
    <tableColumn id="7832" xr3:uid="{98A5B34A-FB70-427F-9B12-D7CF44DEB096}" name="Column7818"/>
    <tableColumn id="7833" xr3:uid="{D2556C38-27E0-4E65-90A4-B8DB8A5EA22C}" name="Column7819"/>
    <tableColumn id="7834" xr3:uid="{BFB45B6F-A6CB-40A6-878A-9456193DE0EB}" name="Column7820"/>
    <tableColumn id="7835" xr3:uid="{AF42A1E2-9B26-404A-BEA4-DF853B1D0987}" name="Column7821"/>
    <tableColumn id="7836" xr3:uid="{314DF5C7-1875-440D-AE51-6D4F7D4B0C10}" name="Column7822"/>
    <tableColumn id="7837" xr3:uid="{7D65EB65-F5DE-499C-862A-ECB3754E1EBC}" name="Column7823"/>
    <tableColumn id="7838" xr3:uid="{ED85409E-C9F6-476C-8D99-6276CDB64C75}" name="Column7824"/>
    <tableColumn id="7839" xr3:uid="{AC1E6B85-2161-4705-A976-6CF809EF5FA5}" name="Column7825"/>
    <tableColumn id="7840" xr3:uid="{87045BF7-1E4D-4A0F-A9E2-439CA915A79C}" name="Column7826"/>
    <tableColumn id="7841" xr3:uid="{7B7A23C0-558C-45DF-8E08-3FB08CCE9AC7}" name="Column7827"/>
    <tableColumn id="7842" xr3:uid="{E8BB43B1-14A2-403C-983B-E5312F25188F}" name="Column7828"/>
    <tableColumn id="7843" xr3:uid="{7515AA1A-3E6B-4832-B5D7-B349845FE291}" name="Column7829"/>
    <tableColumn id="7844" xr3:uid="{7F33C03A-3564-4F94-AA85-E3B2E6A38F0A}" name="Column7830"/>
    <tableColumn id="7845" xr3:uid="{4E7FC064-68A5-484E-BDD7-9309634CC9AB}" name="Column7831"/>
    <tableColumn id="7846" xr3:uid="{9A0706EF-C934-443B-829C-1EDD40F8FF61}" name="Column7832"/>
    <tableColumn id="7847" xr3:uid="{44FF6E16-2330-4F21-9737-3A40E6B74EB9}" name="Column7833"/>
    <tableColumn id="7848" xr3:uid="{83009412-0EF7-4C13-B67F-4D083C30ACB2}" name="Column7834"/>
    <tableColumn id="7849" xr3:uid="{92BE7E67-A1AD-4FBB-81E8-F68DCBF7E80C}" name="Column7835"/>
    <tableColumn id="7850" xr3:uid="{DFC7B6AB-57F0-484E-B59E-DFAEBAEAE34D}" name="Column7836"/>
    <tableColumn id="7851" xr3:uid="{4E26FC06-768A-4245-9FA8-024567EA70FA}" name="Column7837"/>
    <tableColumn id="7852" xr3:uid="{56F35840-89A2-4FCF-9902-B543C08FBE6D}" name="Column7838"/>
    <tableColumn id="7853" xr3:uid="{78AE150E-C94F-4E5B-A066-F18D4E52F189}" name="Column7839"/>
    <tableColumn id="7854" xr3:uid="{BBA86D88-3C90-466D-8F3B-9AA70665B47E}" name="Column7840"/>
    <tableColumn id="7855" xr3:uid="{121E611E-C29B-47E2-9DE5-5802501028B3}" name="Column7841"/>
    <tableColumn id="7856" xr3:uid="{75C5C148-153C-47DC-A020-5978B9B5D836}" name="Column7842"/>
    <tableColumn id="7857" xr3:uid="{5090355A-44E0-438C-97A9-1E7DFD4ECF16}" name="Column7843"/>
    <tableColumn id="7858" xr3:uid="{ED7AE400-4F7A-4E90-8112-460E23EB3881}" name="Column7844"/>
    <tableColumn id="7859" xr3:uid="{2EA3C2DF-444A-4A2A-A807-25C09215D846}" name="Column7845"/>
    <tableColumn id="7860" xr3:uid="{338A1081-FC31-4311-9F4F-8E318385961A}" name="Column7846"/>
    <tableColumn id="7861" xr3:uid="{D2A38E18-95DF-474D-B6A9-825B91A96E11}" name="Column7847"/>
    <tableColumn id="7862" xr3:uid="{BC951252-C7E3-4D7F-901D-A88B6D5385B7}" name="Column7848"/>
    <tableColumn id="7863" xr3:uid="{E1F5D976-C20F-472D-A692-460C7ED2ADE4}" name="Column7849"/>
    <tableColumn id="7864" xr3:uid="{440DA40D-0CFA-4C2F-9D34-DC03C51D45E7}" name="Column7850"/>
    <tableColumn id="7865" xr3:uid="{C4AA442F-5D54-4488-9223-E6FA29D62E52}" name="Column7851"/>
    <tableColumn id="7866" xr3:uid="{AF222F9D-332B-4717-8B5D-1DE0CD6E7D12}" name="Column7852"/>
    <tableColumn id="7867" xr3:uid="{1E164A08-70C4-44F4-8860-172AAF4C4540}" name="Column7853"/>
    <tableColumn id="7868" xr3:uid="{F6CD85D7-1990-449F-A645-8AA8100A405E}" name="Column7854"/>
    <tableColumn id="7869" xr3:uid="{7428A50D-886D-459B-815D-1097719AB999}" name="Column7855"/>
    <tableColumn id="7870" xr3:uid="{403D9387-7B04-4BF8-BFD8-252132C9C4BA}" name="Column7856"/>
    <tableColumn id="7871" xr3:uid="{61A342B6-0249-4583-A50B-174D3903AE95}" name="Column7857"/>
    <tableColumn id="7872" xr3:uid="{333DA1FF-5B36-4FFF-BBB8-1886694EAEEB}" name="Column7858"/>
    <tableColumn id="7873" xr3:uid="{E435A0AC-535D-4281-9EC4-53549B82043A}" name="Column7859"/>
    <tableColumn id="7874" xr3:uid="{18233B74-DB11-480B-9714-09B23DEDD82A}" name="Column7860"/>
    <tableColumn id="7875" xr3:uid="{C66C9C85-12F3-4F6E-9B71-921431703EA9}" name="Column7861"/>
    <tableColumn id="7876" xr3:uid="{A9B5FEA0-4381-4406-B384-EDE14821632D}" name="Column7862"/>
    <tableColumn id="7877" xr3:uid="{07FC1981-30FF-4ADC-8403-90960746CE2C}" name="Column7863"/>
    <tableColumn id="7878" xr3:uid="{68253F1B-45E4-472E-933E-C04CBA8CDCAA}" name="Column7864"/>
    <tableColumn id="7879" xr3:uid="{0CAE0CFC-D52F-404D-9ABD-EF2E4DE1F973}" name="Column7865"/>
    <tableColumn id="7880" xr3:uid="{97D087CC-D1A7-4C3C-B8F7-81943F17A1CC}" name="Column7866"/>
    <tableColumn id="7881" xr3:uid="{049BD617-1023-4AC7-91DB-0FF477FA537D}" name="Column7867"/>
    <tableColumn id="7882" xr3:uid="{2626B333-674B-4BFB-9ABA-DD683DB11EE9}" name="Column7868"/>
    <tableColumn id="7883" xr3:uid="{20BB6515-F5B1-485C-ABBC-6E2796955B11}" name="Column7869"/>
    <tableColumn id="7884" xr3:uid="{4469607E-3ECC-46BE-B19A-6F5DBCC6E883}" name="Column7870"/>
    <tableColumn id="7885" xr3:uid="{1D04C4C5-FBDA-4FCE-9E7E-4A01B2C676D3}" name="Column7871"/>
    <tableColumn id="7886" xr3:uid="{94AF662F-1765-46DC-AAAF-CAA56764473E}" name="Column7872"/>
    <tableColumn id="7887" xr3:uid="{B445CDDF-58DE-45DD-AAC4-7E123FF1D9AB}" name="Column7873"/>
    <tableColumn id="7888" xr3:uid="{68C037FE-45D8-43EB-9A3E-5CC95AFB4E70}" name="Column7874"/>
    <tableColumn id="7889" xr3:uid="{B47BD549-7359-44E2-A9A1-CB462E78C869}" name="Column7875"/>
    <tableColumn id="7890" xr3:uid="{0E34881E-35AC-425D-889D-607337572EA7}" name="Column7876"/>
    <tableColumn id="7891" xr3:uid="{DDB08FD2-BB17-4720-BB9F-5A39B566A517}" name="Column7877"/>
    <tableColumn id="7892" xr3:uid="{F16288EE-08C0-464A-90F5-7CA2F07194A3}" name="Column7878"/>
    <tableColumn id="7893" xr3:uid="{4311F6E9-E221-446F-9B8A-2DB3E7C29B51}" name="Column7879"/>
    <tableColumn id="7894" xr3:uid="{DB9DB849-C479-43AE-B9FE-D3153B2AE24F}" name="Column7880"/>
    <tableColumn id="7895" xr3:uid="{544FDFBB-1954-4027-983D-DF2CE4121747}" name="Column7881"/>
    <tableColumn id="7896" xr3:uid="{38920B82-0706-4AE1-8E43-251C25F7B040}" name="Column7882"/>
    <tableColumn id="7897" xr3:uid="{7F390FE1-6C36-48B9-B31E-6F56C6624E98}" name="Column7883"/>
    <tableColumn id="7898" xr3:uid="{BE059CC6-6C33-4944-94E4-4F4F1F7F48F6}" name="Column7884"/>
    <tableColumn id="7899" xr3:uid="{B07AEE15-8B6C-43FE-9625-C627626BC03C}" name="Column7885"/>
    <tableColumn id="7900" xr3:uid="{E153E0F0-F351-4FAD-9716-D8897870D1F9}" name="Column7886"/>
    <tableColumn id="7901" xr3:uid="{D6614A25-575F-43A5-8556-CC6C01CDE341}" name="Column7887"/>
    <tableColumn id="7902" xr3:uid="{5D07E1AC-94EB-4E49-82A0-3EC0F5B5F372}" name="Column7888"/>
    <tableColumn id="7903" xr3:uid="{0CB92397-0C95-4952-972F-1BEA577891A7}" name="Column7889"/>
    <tableColumn id="7904" xr3:uid="{9DA97525-92F9-43F7-A78B-1B906C40B3F3}" name="Column7890"/>
    <tableColumn id="7905" xr3:uid="{07DA8006-7FCB-4395-B2CC-F296FF36EC6D}" name="Column7891"/>
    <tableColumn id="7906" xr3:uid="{904DBB70-A3D1-4631-B593-E4994428FD6E}" name="Column7892"/>
    <tableColumn id="7907" xr3:uid="{C7EF085C-1535-452A-8BCC-228557248CA1}" name="Column7893"/>
    <tableColumn id="7908" xr3:uid="{78328A4D-CB18-4697-B9C9-0F1A726EECF9}" name="Column7894"/>
    <tableColumn id="7909" xr3:uid="{59CC5C61-C0FF-44E5-A534-26F005B0E940}" name="Column7895"/>
    <tableColumn id="7910" xr3:uid="{AB4183FB-1B93-4117-AAF2-ADDCD07FF4B4}" name="Column7896"/>
    <tableColumn id="7911" xr3:uid="{0DA40F0B-5AF0-4B96-9B48-9EE510108485}" name="Column7897"/>
    <tableColumn id="7912" xr3:uid="{3ED6521C-4964-47A5-82B1-E48F76E016B1}" name="Column7898"/>
    <tableColumn id="7913" xr3:uid="{A33C26DD-5B80-4734-8B97-FBFE17480D0F}" name="Column7899"/>
    <tableColumn id="7914" xr3:uid="{527D43D9-D4A3-41AF-A624-F9B57B2000F7}" name="Column7900"/>
    <tableColumn id="7915" xr3:uid="{85E3019D-E0DF-4D9B-9BB2-1CF0466B004D}" name="Column7901"/>
    <tableColumn id="7916" xr3:uid="{1BA852AE-4277-4FD1-92C4-3CC32FA6DC1B}" name="Column7902"/>
    <tableColumn id="7917" xr3:uid="{07213E24-70CF-4D33-AE0A-FF7C54A9008B}" name="Column7903"/>
    <tableColumn id="7918" xr3:uid="{94A40028-FBF6-4FF0-AA77-0F5201EE76B0}" name="Column7904"/>
    <tableColumn id="7919" xr3:uid="{581CB29A-A59C-4CC5-8A19-4D4ED3D1DFE7}" name="Column7905"/>
    <tableColumn id="7920" xr3:uid="{CB15F1BF-B9DE-4446-99F5-7B76EA22CC0B}" name="Column7906"/>
    <tableColumn id="7921" xr3:uid="{8EC9E77C-5D18-4751-865D-02BAD45B9354}" name="Column7907"/>
    <tableColumn id="7922" xr3:uid="{A484BA2D-8A31-44C8-BC85-E8C0AD131CCA}" name="Column7908"/>
    <tableColumn id="7923" xr3:uid="{25702A0E-8180-4574-8F1E-8F95296E83D0}" name="Column7909"/>
    <tableColumn id="7924" xr3:uid="{AAA4518C-75F6-4742-AFB1-B3BB89996F8E}" name="Column7910"/>
    <tableColumn id="7925" xr3:uid="{F58CED25-ADDF-47C9-9E8E-DDE10E279FA8}" name="Column7911"/>
    <tableColumn id="7926" xr3:uid="{9ECDA3A2-393D-4BC8-8681-52901D895E08}" name="Column7912"/>
    <tableColumn id="7927" xr3:uid="{CE98EF93-EF6A-4CC4-A182-412C5A343290}" name="Column7913"/>
    <tableColumn id="7928" xr3:uid="{CE32B842-6C60-4202-8FAF-D94AE987697C}" name="Column7914"/>
    <tableColumn id="7929" xr3:uid="{AC2635B6-E862-4926-AE8C-D1B5E0E01B71}" name="Column7915"/>
    <tableColumn id="7930" xr3:uid="{548C5D72-FC56-4F04-B05F-FCE0BF581EA7}" name="Column7916"/>
    <tableColumn id="7931" xr3:uid="{09E0FE0F-2AB2-4537-AA7F-4DA959073066}" name="Column7917"/>
    <tableColumn id="7932" xr3:uid="{9DC00212-4455-4992-949B-D3292CE23D8D}" name="Column7918"/>
    <tableColumn id="7933" xr3:uid="{A7DBC132-C368-4A18-BAF5-1509E3A63703}" name="Column7919"/>
    <tableColumn id="7934" xr3:uid="{77BCFA42-F6D0-4730-BD62-34CD2A72341B}" name="Column7920"/>
    <tableColumn id="7935" xr3:uid="{EBDAFF81-0D9C-4E3A-8A88-478CFFEBB2C0}" name="Column7921"/>
    <tableColumn id="7936" xr3:uid="{4462402A-C219-4294-9324-EBEFCA319949}" name="Column7922"/>
    <tableColumn id="7937" xr3:uid="{6AF5EB7B-6B2D-403C-A767-536D98CD9039}" name="Column7923"/>
    <tableColumn id="7938" xr3:uid="{9D5B6EC9-3AE0-4014-A467-372F318E1C31}" name="Column7924"/>
    <tableColumn id="7939" xr3:uid="{4E3CA531-7A4E-430A-AAA0-BDEA00A41B3E}" name="Column7925"/>
    <tableColumn id="7940" xr3:uid="{33459E01-2BB0-4F8D-8198-5D1E42462690}" name="Column7926"/>
    <tableColumn id="7941" xr3:uid="{7F3BD9D2-6997-464A-A55A-231DC08C2426}" name="Column7927"/>
    <tableColumn id="7942" xr3:uid="{0CC5551F-29FD-4BF3-A810-793BB9C45FBA}" name="Column7928"/>
    <tableColumn id="7943" xr3:uid="{9E429BC8-15A6-4D64-AE5E-12E5975A20CF}" name="Column7929"/>
    <tableColumn id="7944" xr3:uid="{E5E26DCD-2D5C-469A-8D67-84A34295791A}" name="Column7930"/>
    <tableColumn id="7945" xr3:uid="{7B223166-EDB7-471A-B9A4-9F2CC063B01A}" name="Column7931"/>
    <tableColumn id="7946" xr3:uid="{C7102836-D7E9-4B83-8DE6-85543942C7E6}" name="Column7932"/>
    <tableColumn id="7947" xr3:uid="{5A206742-0F3F-40B1-9A38-6368DC80CDB5}" name="Column7933"/>
    <tableColumn id="7948" xr3:uid="{1B3DF7CA-E2D2-40F2-9C5A-B032161715EC}" name="Column7934"/>
    <tableColumn id="7949" xr3:uid="{4BDD6167-115C-47EC-8386-6BD4D13D82A2}" name="Column7935"/>
    <tableColumn id="7950" xr3:uid="{6CA6D67C-80DC-4C1F-97FB-31B9F9283830}" name="Column7936"/>
    <tableColumn id="7951" xr3:uid="{A70D438C-84E4-485B-8801-C3EDF238B296}" name="Column7937"/>
    <tableColumn id="7952" xr3:uid="{EA1C9547-0BF2-4D74-9CA0-7E9B6E9DC01C}" name="Column7938"/>
    <tableColumn id="7953" xr3:uid="{14AAF0AB-E678-4B82-998A-08F11CCFB5FA}" name="Column7939"/>
    <tableColumn id="7954" xr3:uid="{19688420-0EA5-4836-B037-026B02A40AD0}" name="Column7940"/>
    <tableColumn id="7955" xr3:uid="{0BED7624-E604-458D-BDBA-242B800DBF19}" name="Column7941"/>
    <tableColumn id="7956" xr3:uid="{4C52472B-8F19-4D76-AB9B-335FAF9924EA}" name="Column7942"/>
    <tableColumn id="7957" xr3:uid="{E9C566AF-EA97-4899-82B0-115D8931C0E0}" name="Column7943"/>
    <tableColumn id="7958" xr3:uid="{EB9D52F2-6FDA-47AF-B942-0C4462DCDB00}" name="Column7944"/>
    <tableColumn id="7959" xr3:uid="{9A5B3D57-8113-47CE-B947-6493372BDB3E}" name="Column7945"/>
    <tableColumn id="7960" xr3:uid="{990BBB13-9556-46F4-8816-6F7B9285A5C3}" name="Column7946"/>
    <tableColumn id="7961" xr3:uid="{B50EAAEF-1397-4371-A061-8E9024E6E0A4}" name="Column7947"/>
    <tableColumn id="7962" xr3:uid="{2457BCA8-7D4B-442C-98F6-113BB321E3E9}" name="Column7948"/>
    <tableColumn id="7963" xr3:uid="{305C3CD5-5F3E-46C0-B43E-C354664251DA}" name="Column7949"/>
    <tableColumn id="7964" xr3:uid="{1418948F-CE69-478D-A4C3-78E1844874A1}" name="Column7950"/>
    <tableColumn id="7965" xr3:uid="{5EE3D55A-19B1-42DB-A109-13F2C461A1E9}" name="Column7951"/>
    <tableColumn id="7966" xr3:uid="{A79F23DE-57E1-4752-8CE5-40A2491B2AC3}" name="Column7952"/>
    <tableColumn id="7967" xr3:uid="{1B76C0B7-0CCA-4575-ABAA-0C440770F00D}" name="Column7953"/>
    <tableColumn id="7968" xr3:uid="{E491C174-4C7A-4A91-A681-E5C1585D6D2F}" name="Column7954"/>
    <tableColumn id="7969" xr3:uid="{CFEACD44-93F4-4D53-9B0F-319BF4C33987}" name="Column7955"/>
    <tableColumn id="7970" xr3:uid="{D51DB80C-3828-4D3D-9D7C-53A938603D94}" name="Column7956"/>
    <tableColumn id="7971" xr3:uid="{BC985D4A-9BDE-4248-8941-7133EDFF8ACD}" name="Column7957"/>
    <tableColumn id="7972" xr3:uid="{125BE1A3-E383-42F4-9770-D6C1F4830FBB}" name="Column7958"/>
    <tableColumn id="7973" xr3:uid="{A4E07BE9-9655-40BD-B4D1-1F80F50A7DB7}" name="Column7959"/>
    <tableColumn id="7974" xr3:uid="{12DB4288-6E70-4825-9748-8C7CA6F5A03F}" name="Column7960"/>
    <tableColumn id="7975" xr3:uid="{61F4CFCC-39BE-4228-9892-A8AAFB0256BF}" name="Column7961"/>
    <tableColumn id="7976" xr3:uid="{F874C330-ACAE-4966-9240-878486589105}" name="Column7962"/>
    <tableColumn id="7977" xr3:uid="{0E7C0985-3AA9-4B74-A4E9-6E5433D194E5}" name="Column7963"/>
    <tableColumn id="7978" xr3:uid="{8C6A0972-12A1-4726-95A1-A3C642EE697A}" name="Column7964"/>
    <tableColumn id="7979" xr3:uid="{9B161073-E579-403E-9B87-DBB81DC2B997}" name="Column7965"/>
    <tableColumn id="7980" xr3:uid="{3E26E052-26AB-4E74-81E6-175E078A6A57}" name="Column7966"/>
    <tableColumn id="7981" xr3:uid="{25869C8F-D8DE-4773-AE34-182AD9712DDB}" name="Column7967"/>
    <tableColumn id="7982" xr3:uid="{37819C47-D452-4223-B140-7FD53F3019F4}" name="Column7968"/>
    <tableColumn id="7983" xr3:uid="{7A33D4B6-82E5-4980-9207-A1B66F7552CB}" name="Column7969"/>
    <tableColumn id="7984" xr3:uid="{5A87D42D-DF9C-4477-A2CC-C05242FF57AD}" name="Column7970"/>
    <tableColumn id="7985" xr3:uid="{64A21691-127B-4458-B503-3BFB4090300D}" name="Column7971"/>
    <tableColumn id="7986" xr3:uid="{50AA1FC8-3AFE-4473-8C37-078035B01E3F}" name="Column7972"/>
    <tableColumn id="7987" xr3:uid="{E99A2777-88E3-4210-A4FC-1591854DC6E7}" name="Column7973"/>
    <tableColumn id="7988" xr3:uid="{D18C0256-855F-4D32-94D9-1657C1ECDDAE}" name="Column7974"/>
    <tableColumn id="7989" xr3:uid="{D463474D-7FFF-4EDA-92D4-DF4E4A97C7FD}" name="Column7975"/>
    <tableColumn id="7990" xr3:uid="{1C0C5AF8-58DD-4593-ACBE-2CB1AD0DC914}" name="Column7976"/>
    <tableColumn id="7991" xr3:uid="{CC3EA05F-10C0-4AB0-8B32-5BC2592B4CE1}" name="Column7977"/>
    <tableColumn id="7992" xr3:uid="{EBFCB5C7-685D-409D-8930-6537CAA74A15}" name="Column7978"/>
    <tableColumn id="7993" xr3:uid="{D2687E3F-4BEF-4C11-98E2-0291EE748212}" name="Column7979"/>
    <tableColumn id="7994" xr3:uid="{3747639E-C201-441D-8BB7-7426E2901DE6}" name="Column7980"/>
    <tableColumn id="7995" xr3:uid="{087878F9-9CDA-4E2F-A397-E906C78DB9DC}" name="Column7981"/>
    <tableColumn id="7996" xr3:uid="{CD993C07-AB24-4CAE-86A7-02AA7F8564C5}" name="Column7982"/>
    <tableColumn id="7997" xr3:uid="{B5987442-C951-4093-8D5A-2DD77A452E85}" name="Column7983"/>
    <tableColumn id="7998" xr3:uid="{32AE6FB0-E603-44F7-9FA9-20C8F0C1DB57}" name="Column7984"/>
    <tableColumn id="7999" xr3:uid="{84475A49-22C1-4224-B7BB-0758FD7CBD72}" name="Column7985"/>
    <tableColumn id="8000" xr3:uid="{12CE22E5-8EE5-4711-AA23-23F8DEBDC524}" name="Column7986"/>
    <tableColumn id="8001" xr3:uid="{8FFB19D4-DF18-40F6-82E2-2E387E36DBAA}" name="Column7987"/>
    <tableColumn id="8002" xr3:uid="{8D2DCC91-B45E-4DF7-A04E-074546EF5539}" name="Column7988"/>
    <tableColumn id="8003" xr3:uid="{4A0D7BCB-67D0-4C8D-B738-450A271A1DC2}" name="Column7989"/>
    <tableColumn id="8004" xr3:uid="{AC09625D-BE03-48B4-BC80-00CAADEC97F7}" name="Column7990"/>
    <tableColumn id="8005" xr3:uid="{249C6BFF-29C5-4E2F-BA29-1B9CB4DA4382}" name="Column7991"/>
    <tableColumn id="8006" xr3:uid="{061F4A9E-C5C8-46B2-9D62-B67C2F5B33C6}" name="Column7992"/>
    <tableColumn id="8007" xr3:uid="{B2D30A4F-2978-43E0-8455-4DB76784D562}" name="Column7993"/>
    <tableColumn id="8008" xr3:uid="{107EA062-05F4-479F-8776-912B67C185EE}" name="Column7994"/>
    <tableColumn id="8009" xr3:uid="{CD9D4EB1-6E80-4ADA-BE10-3B2E98A2C3D8}" name="Column7995"/>
    <tableColumn id="8010" xr3:uid="{23D72C00-4814-432C-A31D-7D4392614985}" name="Column7996"/>
    <tableColumn id="8011" xr3:uid="{68EB727F-94C9-406E-A860-8F3AE72705CA}" name="Column7997"/>
    <tableColumn id="8012" xr3:uid="{C53A3BE4-42DB-4F08-97B2-D1AA273D76E3}" name="Column7998"/>
    <tableColumn id="8013" xr3:uid="{40833260-3234-4D41-A874-1CA595A65088}" name="Column7999"/>
    <tableColumn id="8014" xr3:uid="{0B49E5F4-7AAB-4A88-BA67-ACBF17138F55}" name="Column8000"/>
    <tableColumn id="8015" xr3:uid="{0066EA6F-E2FA-4E81-9FEE-5160119D1AEE}" name="Column8001"/>
    <tableColumn id="8016" xr3:uid="{1F58CEA6-A21E-47BE-AEA6-892BA142ADAE}" name="Column8002"/>
    <tableColumn id="8017" xr3:uid="{105CCA15-8ECD-4BEA-9C8C-882A326D03D1}" name="Column8003"/>
    <tableColumn id="8018" xr3:uid="{969A3064-0504-48DC-8ECE-83D896F32BAB}" name="Column8004"/>
    <tableColumn id="8019" xr3:uid="{E16A2E26-8DB4-4958-879C-53DB0F07DFED}" name="Column8005"/>
    <tableColumn id="8020" xr3:uid="{40EA5520-F99F-494C-8BE6-F811A9A3FFD4}" name="Column8006"/>
    <tableColumn id="8021" xr3:uid="{0E309B09-D4CD-43E7-865A-202774501059}" name="Column8007"/>
    <tableColumn id="8022" xr3:uid="{0D2F91F2-7B05-4ED5-82CF-57F9FA7992D8}" name="Column8008"/>
    <tableColumn id="8023" xr3:uid="{4E7BAEEC-008B-458A-B0E1-83EFFAF6340C}" name="Column8009"/>
    <tableColumn id="8024" xr3:uid="{37EDAAB9-651C-4819-BDE4-D106E04BF831}" name="Column8010"/>
    <tableColumn id="8025" xr3:uid="{1CFE44C8-E60F-44AF-8FA1-097B12E8A8E5}" name="Column8011"/>
    <tableColumn id="8026" xr3:uid="{7E9FA9BB-9635-4F61-B534-55CA4488E10B}" name="Column8012"/>
    <tableColumn id="8027" xr3:uid="{D6E69482-C8C9-4A7F-9372-E1F6DE55692F}" name="Column8013"/>
    <tableColumn id="8028" xr3:uid="{165D6F29-5095-4D3E-A1E5-FCE0F503BA66}" name="Column8014"/>
    <tableColumn id="8029" xr3:uid="{AF7E11E4-DA20-48DD-B213-6E66113F35DE}" name="Column8015"/>
    <tableColumn id="8030" xr3:uid="{56DCCE2B-EA3D-4D0A-A0BD-52A2F078138B}" name="Column8016"/>
    <tableColumn id="8031" xr3:uid="{4B2D987E-0377-4118-BF23-87B616B58A84}" name="Column8017"/>
    <tableColumn id="8032" xr3:uid="{F1646754-A088-420B-AE4E-67F00F9C7AFE}" name="Column8018"/>
    <tableColumn id="8033" xr3:uid="{4A8D1DFC-B573-4F8F-87E4-B52B6A05FC40}" name="Column8019"/>
    <tableColumn id="8034" xr3:uid="{01A5CEFC-D50F-488B-972B-7B8E109F6625}" name="Column8020"/>
    <tableColumn id="8035" xr3:uid="{19CE587E-E373-4FB5-837F-4B61F86E089B}" name="Column8021"/>
    <tableColumn id="8036" xr3:uid="{7590483A-FB11-485B-A934-28585C31EAE8}" name="Column8022"/>
    <tableColumn id="8037" xr3:uid="{EFE8A28E-7EF1-479B-9F4E-F745DFA8495C}" name="Column8023"/>
    <tableColumn id="8038" xr3:uid="{949D227A-EB20-4502-B804-5B311AC4E3C4}" name="Column8024"/>
    <tableColumn id="8039" xr3:uid="{DD9E4D5E-5BF8-409E-911D-B8F8EB1F3EF2}" name="Column8025"/>
    <tableColumn id="8040" xr3:uid="{B2C29CBD-1422-42D5-9BEE-B1AFAE8E96E4}" name="Column8026"/>
    <tableColumn id="8041" xr3:uid="{20386715-E6E9-4A04-9509-D704A88BA4F5}" name="Column8027"/>
    <tableColumn id="8042" xr3:uid="{9094E4C6-FB09-4136-A121-B3CA1C63A6E2}" name="Column8028"/>
    <tableColumn id="8043" xr3:uid="{10AECDA6-53E3-43BD-BBB2-C052652FA826}" name="Column8029"/>
    <tableColumn id="8044" xr3:uid="{3008D54A-1523-4720-8C73-099BF0AC01F0}" name="Column8030"/>
    <tableColumn id="8045" xr3:uid="{60ECA25B-7FDC-4F2E-8F56-F20A74A61256}" name="Column8031"/>
    <tableColumn id="8046" xr3:uid="{E1CF93E3-4B08-49B5-ACD6-A797C692F84D}" name="Column8032"/>
    <tableColumn id="8047" xr3:uid="{A8297495-95B7-4E3A-85CA-B9812AFB81A0}" name="Column8033"/>
    <tableColumn id="8048" xr3:uid="{9A611213-E57E-4060-BC35-402BE1F6FF81}" name="Column8034"/>
    <tableColumn id="8049" xr3:uid="{85D8D8CB-95BB-467A-A61D-8307DC835E7E}" name="Column8035"/>
    <tableColumn id="8050" xr3:uid="{4E7A01EE-42FE-4AF0-86B7-DBED9EB5BCB1}" name="Column8036"/>
    <tableColumn id="8051" xr3:uid="{D876856E-CA25-4114-9D26-08F18AC27E42}" name="Column8037"/>
    <tableColumn id="8052" xr3:uid="{BAC0ABED-E9BF-408B-8CBA-020B84A65F1B}" name="Column8038"/>
    <tableColumn id="8053" xr3:uid="{09B3DB07-5272-4268-9587-9C7DBF7B0EC5}" name="Column8039"/>
    <tableColumn id="8054" xr3:uid="{15B018C4-99AC-424F-8D24-B1694A7A560E}" name="Column8040"/>
    <tableColumn id="8055" xr3:uid="{A1BA9438-9EDA-4ED4-8F5E-001AD16BBFD1}" name="Column8041"/>
    <tableColumn id="8056" xr3:uid="{FA6EF129-D5F5-4EA5-BC91-53A978DE5531}" name="Column8042"/>
    <tableColumn id="8057" xr3:uid="{A36B54C0-0B83-4E22-8CB1-2AFE5A5CE9DF}" name="Column8043"/>
    <tableColumn id="8058" xr3:uid="{930A8FF4-E05F-4F2A-BAE6-4D26BE812F36}" name="Column8044"/>
    <tableColumn id="8059" xr3:uid="{D72113BC-9EA2-4CAE-942F-BE731718BAB3}" name="Column8045"/>
    <tableColumn id="8060" xr3:uid="{D10F7A43-C6A1-40CF-BD46-9813E93E660C}" name="Column8046"/>
    <tableColumn id="8061" xr3:uid="{0A9439F5-A2F1-4C24-8C76-2EF4194D77F5}" name="Column8047"/>
    <tableColumn id="8062" xr3:uid="{F9047648-CB33-47EE-9D2C-225DDE8B7F59}" name="Column8048"/>
    <tableColumn id="8063" xr3:uid="{31673C74-FDA1-4255-84C9-E293190EAA5D}" name="Column8049"/>
    <tableColumn id="8064" xr3:uid="{66CA492A-125F-4FCB-9327-1B23A6ADBF06}" name="Column8050"/>
    <tableColumn id="8065" xr3:uid="{17B4CF83-A49B-47E0-A6E9-951E3D6AD261}" name="Column8051"/>
    <tableColumn id="8066" xr3:uid="{B92EF91B-8AE9-4801-A8E5-551F008BF93E}" name="Column8052"/>
    <tableColumn id="8067" xr3:uid="{8E984DC8-1E37-41DE-B062-8AFE3DA397C8}" name="Column8053"/>
    <tableColumn id="8068" xr3:uid="{BDD0FF86-E7D9-4C66-958B-89AD847B422F}" name="Column8054"/>
    <tableColumn id="8069" xr3:uid="{E6E8D753-D279-4907-B8E4-02A912FDCEAA}" name="Column8055"/>
    <tableColumn id="8070" xr3:uid="{A75DB93E-B009-4909-A84F-59589E4E3EE7}" name="Column8056"/>
    <tableColumn id="8071" xr3:uid="{C19D61DE-FCE4-4FA1-9308-6FBF04D9A429}" name="Column8057"/>
    <tableColumn id="8072" xr3:uid="{5F8AD0D3-DC0D-4DE6-BE39-9DFBA225B71A}" name="Column8058"/>
    <tableColumn id="8073" xr3:uid="{0B84ADBB-8D7F-4855-9779-784F3149BC97}" name="Column8059"/>
    <tableColumn id="8074" xr3:uid="{4E677073-2962-4C1F-B3F0-03E0A4A286A7}" name="Column8060"/>
    <tableColumn id="8075" xr3:uid="{92B1C62D-78CC-40CF-8649-95A377A55B13}" name="Column8061"/>
    <tableColumn id="8076" xr3:uid="{307678E5-2869-4ABA-AC68-D0404449AC9D}" name="Column8062"/>
    <tableColumn id="8077" xr3:uid="{571E3760-9125-4BAB-B257-B07F5F00A269}" name="Column8063"/>
    <tableColumn id="8078" xr3:uid="{122578A5-58EC-4791-A751-C18399410581}" name="Column8064"/>
    <tableColumn id="8079" xr3:uid="{AD2C4B4A-2DC3-41C5-A9B1-8975CE11ECAB}" name="Column8065"/>
    <tableColumn id="8080" xr3:uid="{0379C6F5-5BD6-493A-9DC3-BD4805A76A0B}" name="Column8066"/>
    <tableColumn id="8081" xr3:uid="{93ACDD5B-0C1F-478D-9B06-169FF70B09AC}" name="Column8067"/>
    <tableColumn id="8082" xr3:uid="{29E6F3D2-0C5E-4E52-8597-1DB71F0BC392}" name="Column8068"/>
    <tableColumn id="8083" xr3:uid="{B7144DC8-369A-4DBB-BDE7-9E83D1069D12}" name="Column8069"/>
    <tableColumn id="8084" xr3:uid="{D313B742-2599-48A6-B75C-F0D934538B44}" name="Column8070"/>
    <tableColumn id="8085" xr3:uid="{E01385E6-BA5E-4BD1-ABC9-D4AC478F3EE4}" name="Column8071"/>
    <tableColumn id="8086" xr3:uid="{12F7A8F2-AB99-40EC-AEBC-28D912291987}" name="Column8072"/>
    <tableColumn id="8087" xr3:uid="{A4E3B1CA-6E90-4EEB-9B03-FD2E7299CE21}" name="Column8073"/>
    <tableColumn id="8088" xr3:uid="{820FDF1D-2A8B-416B-8A8C-E3D9CC861EF0}" name="Column8074"/>
    <tableColumn id="8089" xr3:uid="{712E1670-ED99-4D91-B3E3-035BBAB38D9A}" name="Column8075"/>
    <tableColumn id="8090" xr3:uid="{7FB4F988-FD12-4DF6-858D-F58A4582D302}" name="Column8076"/>
    <tableColumn id="8091" xr3:uid="{91D61B4E-A708-4F7B-AEDF-0D75C2BEA39C}" name="Column8077"/>
    <tableColumn id="8092" xr3:uid="{FFD17F36-7851-4638-A239-0D5116EE7874}" name="Column8078"/>
    <tableColumn id="8093" xr3:uid="{B5D62966-B97E-41A0-85E1-17DC73910A70}" name="Column8079"/>
    <tableColumn id="8094" xr3:uid="{7FBEB640-51E7-4B1B-8EBD-82B04A314CE3}" name="Column8080"/>
    <tableColumn id="8095" xr3:uid="{EC968E87-040C-4D13-BF0A-97B04125721F}" name="Column8081"/>
    <tableColumn id="8096" xr3:uid="{B5320DBF-E475-4DA2-BF9B-9270B28BAA8B}" name="Column8082"/>
    <tableColumn id="8097" xr3:uid="{4DEA4854-31C8-4296-BD80-A93AC54EC20B}" name="Column8083"/>
    <tableColumn id="8098" xr3:uid="{30EA007F-3254-48D2-B002-9E7B4D3E1FC8}" name="Column8084"/>
    <tableColumn id="8099" xr3:uid="{8583590D-FCA3-47E5-896B-61DC6D6B2E28}" name="Column8085"/>
    <tableColumn id="8100" xr3:uid="{EC717CD6-18D6-466A-A5BF-0A0705099529}" name="Column8086"/>
    <tableColumn id="8101" xr3:uid="{D12D1653-DC1F-416A-A926-808546D040E1}" name="Column8087"/>
    <tableColumn id="8102" xr3:uid="{9F743AEC-76F4-4706-A6FB-D4A052DD776A}" name="Column8088"/>
    <tableColumn id="8103" xr3:uid="{9CBDA775-8D58-497E-A387-EE36336F5604}" name="Column8089"/>
    <tableColumn id="8104" xr3:uid="{D1432D77-59EB-4332-9F16-DE4DE5472F41}" name="Column8090"/>
    <tableColumn id="8105" xr3:uid="{A06D3229-1108-4A9E-8A7D-A5051DE5ABD5}" name="Column8091"/>
    <tableColumn id="8106" xr3:uid="{5EE05CE0-9A4E-4624-9011-DABD89EDE84C}" name="Column8092"/>
    <tableColumn id="8107" xr3:uid="{3F4E424E-E2AA-4E8B-BF9C-7D397BE300E0}" name="Column8093"/>
    <tableColumn id="8108" xr3:uid="{7910F233-EBD4-4B83-8BF9-CF83A3151B29}" name="Column8094"/>
    <tableColumn id="8109" xr3:uid="{9C38C269-83FA-469C-9F77-681D3E500488}" name="Column8095"/>
    <tableColumn id="8110" xr3:uid="{CD0466DD-A31D-438B-85FA-285C65F6CC5D}" name="Column8096"/>
    <tableColumn id="8111" xr3:uid="{C3C3394B-449F-4C48-96BA-28BE0FC5FB7F}" name="Column8097"/>
    <tableColumn id="8112" xr3:uid="{27AFEB68-E3A9-41C4-97B7-A9F1837CF2CE}" name="Column8098"/>
    <tableColumn id="8113" xr3:uid="{0E128189-E7C4-4A4E-8CA4-C3E5896B67A7}" name="Column8099"/>
    <tableColumn id="8114" xr3:uid="{88E1838A-112E-4102-8BD0-E996F96C666D}" name="Column8100"/>
    <tableColumn id="8115" xr3:uid="{F20B230E-AB77-4CBF-8728-E328872B307D}" name="Column8101"/>
    <tableColumn id="8116" xr3:uid="{CF9839C7-4F2B-4E8F-88D7-31DFCDB18D3A}" name="Column8102"/>
    <tableColumn id="8117" xr3:uid="{AFBC4C26-A160-4468-AA82-EC3E462AB6CC}" name="Column8103"/>
    <tableColumn id="8118" xr3:uid="{A0F56777-1941-4C8B-9C82-FF133CE9207F}" name="Column8104"/>
    <tableColumn id="8119" xr3:uid="{A2DEF0E3-2F53-4D34-9349-98D13BFEA19B}" name="Column8105"/>
    <tableColumn id="8120" xr3:uid="{2189C9E3-6734-4C09-A24A-C3B311A535E1}" name="Column8106"/>
    <tableColumn id="8121" xr3:uid="{EAFA7B01-D4E1-40F8-9B62-92640E0294C8}" name="Column8107"/>
    <tableColumn id="8122" xr3:uid="{FD5B9728-E52A-4EE2-910B-FFC32937CE74}" name="Column8108"/>
    <tableColumn id="8123" xr3:uid="{1C7D3CB8-BF6C-4219-97BC-D17D6CA8A3D6}" name="Column8109"/>
    <tableColumn id="8124" xr3:uid="{1D7F681B-DA04-43BD-8985-B93AEEBC9243}" name="Column8110"/>
    <tableColumn id="8125" xr3:uid="{FF9F5947-CE11-46AD-B77F-913E6DA26096}" name="Column8111"/>
    <tableColumn id="8126" xr3:uid="{11EE2ABD-3EE2-40F0-81B9-4FDED18D99CF}" name="Column8112"/>
    <tableColumn id="8127" xr3:uid="{A376D976-44B0-41FC-B18D-03564477FE56}" name="Column8113"/>
    <tableColumn id="8128" xr3:uid="{6DC30CCD-93DA-4664-82CD-B96FA6DA68B9}" name="Column8114"/>
    <tableColumn id="8129" xr3:uid="{B5484996-E49E-4C96-B59D-0657370F306A}" name="Column8115"/>
    <tableColumn id="8130" xr3:uid="{E202FBB4-3806-4F5C-9DFB-1E6591A75715}" name="Column8116"/>
    <tableColumn id="8131" xr3:uid="{C0E06005-D181-41A5-A7BD-8DF12BA69E77}" name="Column8117"/>
    <tableColumn id="8132" xr3:uid="{5FF5E1E4-A788-469D-8D17-6ABB6627AA19}" name="Column8118"/>
    <tableColumn id="8133" xr3:uid="{EED6A58C-035B-4919-BC2C-1F9EB503C512}" name="Column8119"/>
    <tableColumn id="8134" xr3:uid="{2E893C60-C81F-42D0-98AB-040557223ADA}" name="Column8120"/>
    <tableColumn id="8135" xr3:uid="{08CEFE7E-E016-4E84-8DF0-970E29A490CF}" name="Column8121"/>
    <tableColumn id="8136" xr3:uid="{68596EDB-0D33-49C9-B13B-75C048323E19}" name="Column8122"/>
    <tableColumn id="8137" xr3:uid="{256D55FF-6AA0-4C32-805D-EF2992FB0204}" name="Column8123"/>
    <tableColumn id="8138" xr3:uid="{4F5E753D-9FF8-40B6-8F16-8E2B52BC763D}" name="Column8124"/>
    <tableColumn id="8139" xr3:uid="{E062C4CA-5692-424C-8C67-C391189F2163}" name="Column8125"/>
    <tableColumn id="8140" xr3:uid="{8B368008-DC80-4757-A3A7-B643C232B031}" name="Column8126"/>
    <tableColumn id="8141" xr3:uid="{1E3A9F64-1538-4D77-92C9-E4AA7BECA83E}" name="Column8127"/>
    <tableColumn id="8142" xr3:uid="{D160BC87-0996-4DC7-A1FB-A0E519CA093C}" name="Column8128"/>
    <tableColumn id="8143" xr3:uid="{12C0EF88-F59E-44AE-8EAB-7F5916022921}" name="Column8129"/>
    <tableColumn id="8144" xr3:uid="{993B1B49-0E74-499E-908E-45C1CDC06BE3}" name="Column8130"/>
    <tableColumn id="8145" xr3:uid="{7C58C981-6328-43C5-97EC-70B54F15669A}" name="Column8131"/>
    <tableColumn id="8146" xr3:uid="{C19E0226-0176-4A27-BB14-5BAE2434429F}" name="Column8132"/>
    <tableColumn id="8147" xr3:uid="{578FD3AD-3BD8-4B70-8F52-6C7815C90F22}" name="Column8133"/>
    <tableColumn id="8148" xr3:uid="{2D3A59E4-9BE4-4B52-A945-02DBBB3BD6CC}" name="Column8134"/>
    <tableColumn id="8149" xr3:uid="{9BA6D526-9BA9-4346-9935-8C3EAFD3187D}" name="Column8135"/>
    <tableColumn id="8150" xr3:uid="{55B61C3B-3AD3-4061-AC3C-812778B714A9}" name="Column8136"/>
    <tableColumn id="8151" xr3:uid="{E7E5DD1E-0ADE-44DB-8553-62E5BAD5A063}" name="Column8137"/>
    <tableColumn id="8152" xr3:uid="{A957B6E9-1ABB-4EFB-A4E7-AEA5B7958853}" name="Column8138"/>
    <tableColumn id="8153" xr3:uid="{1562AE3D-9FDA-4FB5-8C19-A41EC32CB521}" name="Column8139"/>
    <tableColumn id="8154" xr3:uid="{AF11733D-507C-4CF5-8A4C-59FA95AF9AD9}" name="Column8140"/>
    <tableColumn id="8155" xr3:uid="{FC70A015-C950-4E7D-A7D2-2B21B56F3F67}" name="Column8141"/>
    <tableColumn id="8156" xr3:uid="{C67EE790-8FC0-4071-9129-98F997B3C2A7}" name="Column8142"/>
    <tableColumn id="8157" xr3:uid="{74173E4E-62CD-43D3-ABFF-649D149C8A09}" name="Column8143"/>
    <tableColumn id="8158" xr3:uid="{4A2ADF5F-02A7-4E39-BDBB-CA638FCA910C}" name="Column8144"/>
    <tableColumn id="8159" xr3:uid="{42E246C5-7334-4EC1-BBBF-3D0BB09A04CB}" name="Column8145"/>
    <tableColumn id="8160" xr3:uid="{025E356F-D292-4B5C-AFBF-BCE48E9B6388}" name="Column8146"/>
    <tableColumn id="8161" xr3:uid="{E8C7821C-23A4-4FB7-B89A-614254B4494C}" name="Column8147"/>
    <tableColumn id="8162" xr3:uid="{EEB98E61-406B-4455-84C6-36FE730DEA42}" name="Column8148"/>
    <tableColumn id="8163" xr3:uid="{3D07D1D5-B5FD-4751-B0C2-04E14B1C3418}" name="Column8149"/>
    <tableColumn id="8164" xr3:uid="{7AF8CDA7-90ED-45BB-B1D4-551E306F60A1}" name="Column8150"/>
    <tableColumn id="8165" xr3:uid="{5F2BB3D6-4A58-49E9-BC5B-49EE7E19804A}" name="Column8151"/>
    <tableColumn id="8166" xr3:uid="{A0714F51-AAA9-4A5A-95DC-BE7359FB26C5}" name="Column8152"/>
    <tableColumn id="8167" xr3:uid="{100E7772-FFF4-4046-A92C-0951A1FFB7A2}" name="Column8153"/>
    <tableColumn id="8168" xr3:uid="{69BF203C-8ADD-4448-A3ED-8D19A49D1765}" name="Column8154"/>
    <tableColumn id="8169" xr3:uid="{749BDB67-862D-40E1-9A4B-BC1113A6A3DC}" name="Column8155"/>
    <tableColumn id="8170" xr3:uid="{B354F3FC-B7C4-4141-882D-B642F9815035}" name="Column8156"/>
    <tableColumn id="8171" xr3:uid="{44BA0A88-4343-4663-A551-FB07D312A307}" name="Column8157"/>
    <tableColumn id="8172" xr3:uid="{74579689-C710-49EE-8C21-A8AB268FE8A5}" name="Column8158"/>
    <tableColumn id="8173" xr3:uid="{1AB48411-1B23-47E2-B9F5-CC67C24E0342}" name="Column8159"/>
    <tableColumn id="8174" xr3:uid="{20CE985F-B95E-4E59-B5C9-4247AEF8EC2F}" name="Column8160"/>
    <tableColumn id="8175" xr3:uid="{D40F7B23-29E9-4123-81CB-9A48EB9239F0}" name="Column8161"/>
    <tableColumn id="8176" xr3:uid="{7C0B360E-13C1-44D7-AE9C-2F7A60A03049}" name="Column8162"/>
    <tableColumn id="8177" xr3:uid="{39698544-52EB-46D3-A015-A62F29A32AEB}" name="Column8163"/>
    <tableColumn id="8178" xr3:uid="{03F2ADA1-28F8-4E38-B45F-76504A0816EF}" name="Column8164"/>
    <tableColumn id="8179" xr3:uid="{3D6C2CB3-FBE4-42B1-A80D-012D9767FFF4}" name="Column8165"/>
    <tableColumn id="8180" xr3:uid="{F895687E-28B7-4AED-8851-9B94DAB8C4B4}" name="Column8166"/>
    <tableColumn id="8181" xr3:uid="{BD61623D-10EF-4E8F-BE57-C843A477A475}" name="Column8167"/>
    <tableColumn id="8182" xr3:uid="{B34CDBB0-F950-4CED-A724-A93E3856D993}" name="Column8168"/>
    <tableColumn id="8183" xr3:uid="{1372AC8A-C7E0-4F67-9CB4-B210DB570BB2}" name="Column8169"/>
    <tableColumn id="8184" xr3:uid="{C51C0A0B-B3F7-44BE-BB1F-5B705C76F9F7}" name="Column8170"/>
    <tableColumn id="8185" xr3:uid="{FDD6B433-7BC4-465A-BF12-25537FC15769}" name="Column8171"/>
    <tableColumn id="8186" xr3:uid="{F332291B-80F6-45D8-B5C2-FDA39DF87B43}" name="Column8172"/>
    <tableColumn id="8187" xr3:uid="{9085C96E-579A-4AB1-AAED-F55B0BE0285F}" name="Column8173"/>
    <tableColumn id="8188" xr3:uid="{B18694A2-878B-4171-A524-8A565AF93184}" name="Column8174"/>
    <tableColumn id="8189" xr3:uid="{D91ED709-9406-4DE9-9A78-6C2EA766DC11}" name="Column8175"/>
    <tableColumn id="8190" xr3:uid="{02231BC0-8140-4A9A-BC9D-F9F635F9DF0C}" name="Column8176"/>
    <tableColumn id="8191" xr3:uid="{22919EE4-F21D-4412-887F-B96F4F27A814}" name="Column8177"/>
    <tableColumn id="8192" xr3:uid="{9CDADF79-72AF-4D6E-A0AB-856E3EBEA483}" name="Column8178"/>
    <tableColumn id="8193" xr3:uid="{BEE2A194-B6AE-4FFC-AE3C-D7B5130572F1}" name="Column8179"/>
    <tableColumn id="8194" xr3:uid="{0BA5C2E6-BFEC-48DD-BD30-EC1D61813589}" name="Column8180"/>
    <tableColumn id="8195" xr3:uid="{397A77E4-E444-42C3-A36E-8822E0DF8382}" name="Column8181"/>
    <tableColumn id="8196" xr3:uid="{A5DA7D7F-384A-454A-B34F-1B62E313A837}" name="Column8182"/>
    <tableColumn id="8197" xr3:uid="{039C6E3E-1AD0-4014-B5E9-77B852CD4D4A}" name="Column8183"/>
    <tableColumn id="8198" xr3:uid="{36FB8F95-B6D9-49CF-B1E3-8CA9FF81D632}" name="Column8184"/>
    <tableColumn id="8199" xr3:uid="{12FD1D7C-9B66-4BE8-B7DF-20451E774732}" name="Column8185"/>
    <tableColumn id="8200" xr3:uid="{98117D19-96CC-43A4-8710-93CD0BDA6554}" name="Column8186"/>
    <tableColumn id="8201" xr3:uid="{2A007F38-5C29-4DAF-AA6E-981047E94DC5}" name="Column8187"/>
    <tableColumn id="8202" xr3:uid="{AC12694B-035C-4182-90CE-33E7C7E44448}" name="Column8188"/>
    <tableColumn id="8203" xr3:uid="{24DD8666-E352-44FF-B9CD-D04AC8F75203}" name="Column8189"/>
    <tableColumn id="8204" xr3:uid="{A4FED04F-D6BF-4FCC-BF47-0EE217CD485F}" name="Column8190"/>
    <tableColumn id="8205" xr3:uid="{9216BD58-3A14-495B-BFCA-48439B2EE255}" name="Column8191"/>
    <tableColumn id="8206" xr3:uid="{720479E6-0891-458A-B8B5-5D4D2E09DDB3}" name="Column8192"/>
    <tableColumn id="8207" xr3:uid="{0A2CF7FA-84F0-431F-A097-3E6F4C3F55D3}" name="Column8193"/>
    <tableColumn id="8208" xr3:uid="{89035318-5C46-4F07-8BCC-5C8FD4DB5A72}" name="Column8194"/>
    <tableColumn id="8209" xr3:uid="{E6AF6A6F-2D11-4622-989E-A784A3771281}" name="Column8195"/>
    <tableColumn id="8210" xr3:uid="{C0C20D76-EBB1-43D0-85F2-91E13FA785D5}" name="Column8196"/>
    <tableColumn id="8211" xr3:uid="{E1C2318D-8C0D-4E6E-8F82-A9FFFF83ED3A}" name="Column8197"/>
    <tableColumn id="8212" xr3:uid="{0D79D996-8DCD-424B-844F-779DFF80910C}" name="Column8198"/>
    <tableColumn id="8213" xr3:uid="{3E043E95-993F-4306-B9E8-D8B29CCD1955}" name="Column8199"/>
    <tableColumn id="8214" xr3:uid="{A07216EC-444B-4F36-8ECA-EC7154593F45}" name="Column8200"/>
    <tableColumn id="8215" xr3:uid="{2F297560-2EF1-4D02-B258-E9825E8C6CEF}" name="Column8201"/>
    <tableColumn id="8216" xr3:uid="{D52B7342-2DD1-43B2-B9F5-E18467015084}" name="Column8202"/>
    <tableColumn id="8217" xr3:uid="{5E05680B-B12A-4E2A-B7E1-676040E294F4}" name="Column8203"/>
    <tableColumn id="8218" xr3:uid="{1E25ADFB-1B4E-48F5-B481-0C7BEF6803E8}" name="Column8204"/>
    <tableColumn id="8219" xr3:uid="{EAADBC8A-81D9-4FB8-8CAA-E8F2752AD475}" name="Column8205"/>
    <tableColumn id="8220" xr3:uid="{5B562F15-043E-483B-BE2C-771CF5F39C35}" name="Column8206"/>
    <tableColumn id="8221" xr3:uid="{A2E5B368-25C4-4302-8922-23E20427DAC5}" name="Column8207"/>
    <tableColumn id="8222" xr3:uid="{A2418DA5-941A-4A1B-B09A-7D47509EF600}" name="Column8208"/>
    <tableColumn id="8223" xr3:uid="{34ED1981-6346-452F-9535-3386A646A9C8}" name="Column8209"/>
    <tableColumn id="8224" xr3:uid="{5CA7E03D-C310-48BE-B989-E613FDE18955}" name="Column8210"/>
    <tableColumn id="8225" xr3:uid="{2328C079-E822-4F08-AA0C-9FCB1763D3F0}" name="Column8211"/>
    <tableColumn id="8226" xr3:uid="{221F3946-C777-46A9-8D77-FF07AD11F657}" name="Column8212"/>
    <tableColumn id="8227" xr3:uid="{BD7545FA-2720-4655-89DC-1F4A92218B08}" name="Column8213"/>
    <tableColumn id="8228" xr3:uid="{A33B7E2A-DB1E-48BC-9B01-58D985E0DE1E}" name="Column8214"/>
    <tableColumn id="8229" xr3:uid="{A48DCD2D-CF86-4F17-9D7A-D1D7B5B6DB92}" name="Column8215"/>
    <tableColumn id="8230" xr3:uid="{927B4664-3295-432A-86F5-3CE4AE94F563}" name="Column8216"/>
    <tableColumn id="8231" xr3:uid="{A418423D-B327-46AE-B8E5-CC22C4FDEC66}" name="Column8217"/>
    <tableColumn id="8232" xr3:uid="{B0E6B715-ECBD-4121-8496-D26A4FDE3BD9}" name="Column8218"/>
    <tableColumn id="8233" xr3:uid="{2234003D-6607-4B7E-9B21-DAC359F5B2A9}" name="Column8219"/>
    <tableColumn id="8234" xr3:uid="{BE6A77A9-FA83-41EE-A0A2-C99B26A6CC0B}" name="Column8220"/>
    <tableColumn id="8235" xr3:uid="{08FF2E5F-B4FB-4156-8868-9D3699F37481}" name="Column8221"/>
    <tableColumn id="8236" xr3:uid="{6522AFDA-0842-42FF-A1E3-B9C5AABA83D3}" name="Column8222"/>
    <tableColumn id="8237" xr3:uid="{45B64B9F-97E9-4A85-824A-FFCAFD299963}" name="Column8223"/>
    <tableColumn id="8238" xr3:uid="{2E194B81-3E92-45B9-B72C-B659D899613D}" name="Column8224"/>
    <tableColumn id="8239" xr3:uid="{AA422FA8-92F5-4087-87C1-9123BDF93E07}" name="Column8225"/>
    <tableColumn id="8240" xr3:uid="{19F65B85-FD4F-4008-A9A6-F72927198681}" name="Column8226"/>
    <tableColumn id="8241" xr3:uid="{AA51195E-90B2-48A0-B6BD-03DD4AB84021}" name="Column8227"/>
    <tableColumn id="8242" xr3:uid="{AB294FA5-5ED1-47B7-A0EA-B6800E6EAD46}" name="Column8228"/>
    <tableColumn id="8243" xr3:uid="{9EBE13AC-BDBF-4EB6-972C-7A71AA141B77}" name="Column8229"/>
    <tableColumn id="8244" xr3:uid="{27D28A42-CFF5-4036-A4B4-01E02F4B5E9D}" name="Column8230"/>
    <tableColumn id="8245" xr3:uid="{A48B818D-A006-4018-92D5-B45F5A3993E6}" name="Column8231"/>
    <tableColumn id="8246" xr3:uid="{B22762BF-66AA-419B-8842-1B5CC69B3791}" name="Column8232"/>
    <tableColumn id="8247" xr3:uid="{C8A1864D-4E37-4977-847B-5FEB206D1279}" name="Column8233"/>
    <tableColumn id="8248" xr3:uid="{6AF6C248-EF35-40CE-9390-9C1570F6D2C1}" name="Column8234"/>
    <tableColumn id="8249" xr3:uid="{3998BAE4-8E33-4002-9C20-DF5990F61309}" name="Column8235"/>
    <tableColumn id="8250" xr3:uid="{64EFDF2E-F9E3-4C0E-9D89-0D52BE4B9B13}" name="Column8236"/>
    <tableColumn id="8251" xr3:uid="{CBB89EDC-B41D-48AB-B99F-FC239595E097}" name="Column8237"/>
    <tableColumn id="8252" xr3:uid="{3ABEF973-8329-4FB7-8A00-8D3BA5B3F889}" name="Column8238"/>
    <tableColumn id="8253" xr3:uid="{F570372B-D861-4963-AA2B-41959309027A}" name="Column8239"/>
    <tableColumn id="8254" xr3:uid="{B1B55DCF-C107-44AA-8D0F-70BA27999811}" name="Column8240"/>
    <tableColumn id="8255" xr3:uid="{C2019FF8-1DB2-4936-B3EA-1A90B5901478}" name="Column8241"/>
    <tableColumn id="8256" xr3:uid="{802F4E14-8D7B-48E4-A557-991F9D7D981B}" name="Column8242"/>
    <tableColumn id="8257" xr3:uid="{8347E498-EB52-407F-A556-B4700D4A9C5A}" name="Column8243"/>
    <tableColumn id="8258" xr3:uid="{BE7BD41A-CBF8-4FB7-A555-C20AEDDB7293}" name="Column8244"/>
    <tableColumn id="8259" xr3:uid="{377AE476-D567-4E24-B9C5-5B1F260E40B6}" name="Column8245"/>
    <tableColumn id="8260" xr3:uid="{F64A36B5-8B07-41A3-8B22-0F3E414468B9}" name="Column8246"/>
    <tableColumn id="8261" xr3:uid="{3175F5BF-F265-4D2E-8EEC-54BC2717999A}" name="Column8247"/>
    <tableColumn id="8262" xr3:uid="{39386C11-CBCC-407B-85B1-6B3B9DB4556A}" name="Column8248"/>
    <tableColumn id="8263" xr3:uid="{93E82741-F571-44A0-8FF6-5A4B030F6438}" name="Column8249"/>
    <tableColumn id="8264" xr3:uid="{D5B7B64C-43A6-4E4F-9949-C6FC2C0B3F0D}" name="Column8250"/>
    <tableColumn id="8265" xr3:uid="{BA89B3D1-B49C-4E90-8D25-EB40B8F1A4BD}" name="Column8251"/>
    <tableColumn id="8266" xr3:uid="{79ED4FD7-83CE-4243-A1D9-0C1B26D46096}" name="Column8252"/>
    <tableColumn id="8267" xr3:uid="{B21F8B4B-CF20-43D6-8B36-52BDFA1FDE74}" name="Column8253"/>
    <tableColumn id="8268" xr3:uid="{E6C51924-8966-46F6-B5A2-DDDA87D91E4D}" name="Column8254"/>
    <tableColumn id="8269" xr3:uid="{DE2FA18B-2BE8-40D4-987E-A38FCC1F4578}" name="Column8255"/>
    <tableColumn id="8270" xr3:uid="{4DB7F10E-1F85-40A9-9BD4-A68B4B814FA4}" name="Column8256"/>
    <tableColumn id="8271" xr3:uid="{E192DBFA-0867-42EA-BEE8-FB4BFE24B19A}" name="Column8257"/>
    <tableColumn id="8272" xr3:uid="{610407C2-9E21-4756-97A8-38EF15006146}" name="Column8258"/>
    <tableColumn id="8273" xr3:uid="{9E7AE834-89C7-4910-896F-70DEA39971CF}" name="Column8259"/>
    <tableColumn id="8274" xr3:uid="{106AFB46-F82F-4405-BAFD-8319EEE8F182}" name="Column8260"/>
    <tableColumn id="8275" xr3:uid="{68F3946A-B416-4B6E-AD37-443DD1C4138B}" name="Column8261"/>
    <tableColumn id="8276" xr3:uid="{52F54517-6468-414B-9B7C-CAEB331E3A6E}" name="Column8262"/>
    <tableColumn id="8277" xr3:uid="{B3B84D80-8B37-4764-9A05-61A624BA7D21}" name="Column8263"/>
    <tableColumn id="8278" xr3:uid="{834020F4-9DD3-4B46-80C4-3D003460F153}" name="Column8264"/>
    <tableColumn id="8279" xr3:uid="{71462976-8290-40E3-A952-B57DF9BAD37A}" name="Column8265"/>
    <tableColumn id="8280" xr3:uid="{4C3F590E-2036-45D6-8FB3-359420EC56B2}" name="Column8266"/>
    <tableColumn id="8281" xr3:uid="{1304BB4C-6BCB-4265-94D8-F9917A52165E}" name="Column8267"/>
    <tableColumn id="8282" xr3:uid="{A6CD2018-2C5B-49DD-BDFC-E14969D1867B}" name="Column8268"/>
    <tableColumn id="8283" xr3:uid="{A722C8F1-E285-4B43-88EA-3EDF3CB26C93}" name="Column8269"/>
    <tableColumn id="8284" xr3:uid="{96BF3676-8E64-43E7-A89D-1DF659B056DD}" name="Column8270"/>
    <tableColumn id="8285" xr3:uid="{BE8931CB-F4EE-497B-B111-0BB15DF81713}" name="Column8271"/>
    <tableColumn id="8286" xr3:uid="{C12BAEA9-4656-4E59-AABE-925CCD7DD56D}" name="Column8272"/>
    <tableColumn id="8287" xr3:uid="{21E2C3C9-07C6-43FE-9681-AA0F9C297B0A}" name="Column8273"/>
    <tableColumn id="8288" xr3:uid="{0B5E05E2-756F-4525-810C-061F58D948CF}" name="Column8274"/>
    <tableColumn id="8289" xr3:uid="{1A0BD0E5-91CF-4C3A-AB2C-9F687278D452}" name="Column8275"/>
    <tableColumn id="8290" xr3:uid="{E86489B7-A4AC-40C0-B2C1-DB1EEDD50593}" name="Column8276"/>
    <tableColumn id="8291" xr3:uid="{28D09C84-CDAF-4D60-99B1-D0D8E0C84821}" name="Column8277"/>
    <tableColumn id="8292" xr3:uid="{66719542-84E7-42E9-8D19-1952A4FFFE34}" name="Column8278"/>
    <tableColumn id="8293" xr3:uid="{13D12ADF-1557-45FE-A331-4DC5CAC3D7E5}" name="Column8279"/>
    <tableColumn id="8294" xr3:uid="{BF0CFC7F-1480-48EB-BE21-9FF0F34B9AC5}" name="Column8280"/>
    <tableColumn id="8295" xr3:uid="{8A51E475-047C-4007-8468-3209A4B149C8}" name="Column8281"/>
    <tableColumn id="8296" xr3:uid="{78188B45-F182-45EF-BCDC-FB1F27265446}" name="Column8282"/>
    <tableColumn id="8297" xr3:uid="{A0270980-ADDE-4923-BEC8-FDD86ADFC833}" name="Column8283"/>
    <tableColumn id="8298" xr3:uid="{737509C0-2A04-4FEC-980B-6D329970DFB9}" name="Column8284"/>
    <tableColumn id="8299" xr3:uid="{D55344CB-884B-451E-9EB4-74F68868F36E}" name="Column8285"/>
    <tableColumn id="8300" xr3:uid="{32BF7D09-54C4-4344-909C-3FCDB8754227}" name="Column8286"/>
    <tableColumn id="8301" xr3:uid="{730C604B-6BC5-4722-82BA-0F5E1F9B7717}" name="Column8287"/>
    <tableColumn id="8302" xr3:uid="{C1CB35FA-D67C-418A-BFA9-D2C2CE6A043A}" name="Column8288"/>
    <tableColumn id="8303" xr3:uid="{73AD29DE-25CF-4E16-8F9D-765109B49E07}" name="Column8289"/>
    <tableColumn id="8304" xr3:uid="{D2AB3AB7-CC63-420C-AD0D-8641C550E010}" name="Column8290"/>
    <tableColumn id="8305" xr3:uid="{F19CF4B1-E965-4ECC-8B9C-5D9892674714}" name="Column8291"/>
    <tableColumn id="8306" xr3:uid="{284E525D-FCC1-4AEE-B31E-EC8A3647A8A2}" name="Column8292"/>
    <tableColumn id="8307" xr3:uid="{F92960AE-E6D0-4CEC-8C8D-91FF0C4A0A6D}" name="Column8293"/>
    <tableColumn id="8308" xr3:uid="{FDD845C1-D8CC-4505-A386-1184635845BE}" name="Column8294"/>
    <tableColumn id="8309" xr3:uid="{7CD8D56A-04C2-4AD6-A335-B04D1984AB04}" name="Column8295"/>
    <tableColumn id="8310" xr3:uid="{BBA0A841-0E2B-4BCC-A009-05DA2BCEAD9A}" name="Column8296"/>
    <tableColumn id="8311" xr3:uid="{123EF05F-5B71-4A3F-A516-48044C7ED862}" name="Column8297"/>
    <tableColumn id="8312" xr3:uid="{ADAAB16D-2C2E-437E-AEAD-1805C8E826F7}" name="Column8298"/>
    <tableColumn id="8313" xr3:uid="{BC9575CF-B375-4BDB-ABAF-84B244B3B787}" name="Column8299"/>
    <tableColumn id="8314" xr3:uid="{8E476518-70E3-4651-92EA-EE6E205F2033}" name="Column8300"/>
    <tableColumn id="8315" xr3:uid="{CDA88EC7-872D-4EBE-8A61-49CF9878CEA4}" name="Column8301"/>
    <tableColumn id="8316" xr3:uid="{D844863B-03D0-4B30-AE4A-4F3BDA3D339E}" name="Column8302"/>
    <tableColumn id="8317" xr3:uid="{CF2148AF-208E-4470-97AE-85F4DF7C7045}" name="Column8303"/>
    <tableColumn id="8318" xr3:uid="{8B7496C3-D83A-4248-9235-880D16CE82C5}" name="Column8304"/>
    <tableColumn id="8319" xr3:uid="{C369D341-D310-4C00-8430-C3706272AD19}" name="Column8305"/>
    <tableColumn id="8320" xr3:uid="{D391C292-2E0E-4AA7-8F47-7C6338A15AB4}" name="Column8306"/>
    <tableColumn id="8321" xr3:uid="{DBC9A3E6-3FF7-4305-8DE0-D8790DB20748}" name="Column8307"/>
    <tableColumn id="8322" xr3:uid="{42481C97-24D0-4F1F-95EF-766CB8C5600E}" name="Column8308"/>
    <tableColumn id="8323" xr3:uid="{6748FF71-11D6-4E18-84CB-DC706256D7B1}" name="Column8309"/>
    <tableColumn id="8324" xr3:uid="{EEEC77D6-EF2F-4B8E-8B11-935EE837CD01}" name="Column8310"/>
    <tableColumn id="8325" xr3:uid="{5F7FA609-3EB6-4488-91A7-DBC6E51FFC31}" name="Column8311"/>
    <tableColumn id="8326" xr3:uid="{4C0DC4CE-7186-40A0-9E00-805D5034E164}" name="Column8312"/>
    <tableColumn id="8327" xr3:uid="{9D68F502-9E22-4739-B261-AFD8EEFE92C6}" name="Column8313"/>
    <tableColumn id="8328" xr3:uid="{C90CF48D-B77A-4503-9362-683918A09261}" name="Column8314"/>
    <tableColumn id="8329" xr3:uid="{F64934D8-4855-4120-96C3-9667FDBEBD04}" name="Column8315"/>
    <tableColumn id="8330" xr3:uid="{C7D64E4A-FB94-4983-8FC4-8B047B8B9B96}" name="Column8316"/>
    <tableColumn id="8331" xr3:uid="{AC4D34B6-AB4F-4A28-8F23-601DA673588E}" name="Column8317"/>
    <tableColumn id="8332" xr3:uid="{B028301A-5F1E-4F2C-A87B-2127BCC480D7}" name="Column8318"/>
    <tableColumn id="8333" xr3:uid="{A8E4E0AD-9BD5-4ADB-B321-3443532379E1}" name="Column8319"/>
    <tableColumn id="8334" xr3:uid="{1A7F02CC-656B-4837-8BCF-62642E516257}" name="Column8320"/>
    <tableColumn id="8335" xr3:uid="{D55F852A-7829-4A14-A05A-E4F15596A997}" name="Column8321"/>
    <tableColumn id="8336" xr3:uid="{BB7F0D37-EAF8-4E49-AE79-A5303CEAC67B}" name="Column8322"/>
    <tableColumn id="8337" xr3:uid="{AB055372-946D-498A-A4A6-1C97AA1CC77E}" name="Column8323"/>
    <tableColumn id="8338" xr3:uid="{F4D91ED2-2576-4870-A6B4-1B5824963A33}" name="Column8324"/>
    <tableColumn id="8339" xr3:uid="{5A85F8C6-2D2F-42C0-9437-9E191F784BD5}" name="Column8325"/>
    <tableColumn id="8340" xr3:uid="{6BE5C518-FB9C-4CF7-A999-5E3FAB79A114}" name="Column8326"/>
    <tableColumn id="8341" xr3:uid="{F6B2CB34-4DD4-4619-886D-B8DD18CD498D}" name="Column8327"/>
    <tableColumn id="8342" xr3:uid="{049A60D0-815F-4816-AB18-F99DF542D59D}" name="Column8328"/>
    <tableColumn id="8343" xr3:uid="{EE2B1892-A321-4061-BC19-31D971A89811}" name="Column8329"/>
    <tableColumn id="8344" xr3:uid="{0738E214-07F3-4D63-91C5-EB43B6777A6C}" name="Column8330"/>
    <tableColumn id="8345" xr3:uid="{7C4154F3-9762-4579-998A-8514C7D56DDA}" name="Column8331"/>
    <tableColumn id="8346" xr3:uid="{F88A9D08-645C-4E4F-A258-8862A1B2C6D0}" name="Column8332"/>
    <tableColumn id="8347" xr3:uid="{3BB486D2-1DE5-422C-8D24-CB7B84D4A50C}" name="Column8333"/>
    <tableColumn id="8348" xr3:uid="{7405D795-7AC3-4AEF-AB90-406A43CC3790}" name="Column8334"/>
    <tableColumn id="8349" xr3:uid="{6867D22A-8E58-4FE1-8CBA-ADB791E42021}" name="Column8335"/>
    <tableColumn id="8350" xr3:uid="{71D1456F-DC1B-4F46-BD5A-9F6C9576ED34}" name="Column8336"/>
    <tableColumn id="8351" xr3:uid="{31D96055-06C1-4390-B945-FE0E61CD0A92}" name="Column8337"/>
    <tableColumn id="8352" xr3:uid="{772F9CEF-B38C-4E6C-9208-11803B15E227}" name="Column8338"/>
    <tableColumn id="8353" xr3:uid="{08C122E7-8704-4DBA-A302-2ECCAFFFAF5B}" name="Column8339"/>
    <tableColumn id="8354" xr3:uid="{74C002F6-A51B-46FA-AB49-7DECB1F5E6B5}" name="Column8340"/>
    <tableColumn id="8355" xr3:uid="{1DE4D561-5068-47B5-8C41-ACEAFB00A9DA}" name="Column8341"/>
    <tableColumn id="8356" xr3:uid="{CE5B62F3-0790-4DC5-9FC1-A67EAE078164}" name="Column8342"/>
    <tableColumn id="8357" xr3:uid="{1660AFCE-030F-49DB-90A4-7877FDBBCA88}" name="Column8343"/>
    <tableColumn id="8358" xr3:uid="{355A0AEB-DD14-4D73-A85E-9CA69B8F6CA8}" name="Column8344"/>
    <tableColumn id="8359" xr3:uid="{4E4EC854-A92A-486D-B03E-3C096C43EA43}" name="Column8345"/>
    <tableColumn id="8360" xr3:uid="{9D15B1C3-397B-4A37-B284-FEF23441933C}" name="Column8346"/>
    <tableColumn id="8361" xr3:uid="{04579E32-062F-4DF3-A937-F5F8D93F85DB}" name="Column8347"/>
    <tableColumn id="8362" xr3:uid="{8F15A83E-F789-48E8-A34E-5B7389903B7C}" name="Column8348"/>
    <tableColumn id="8363" xr3:uid="{8311D8EA-10AB-4C4A-98EC-048738C2780A}" name="Column8349"/>
    <tableColumn id="8364" xr3:uid="{E805A984-ECB9-40FC-A639-C31535B6B525}" name="Column8350"/>
    <tableColumn id="8365" xr3:uid="{7020C6D2-01EC-41CA-897F-6809ECF43552}" name="Column8351"/>
    <tableColumn id="8366" xr3:uid="{4F74D7B1-CBFB-431C-9E38-F327A362B7B6}" name="Column8352"/>
    <tableColumn id="8367" xr3:uid="{61858858-FE2C-4CBE-8254-16A151153367}" name="Column8353"/>
    <tableColumn id="8368" xr3:uid="{80CF8D97-A483-45CB-94CF-60752F3E2413}" name="Column8354"/>
    <tableColumn id="8369" xr3:uid="{57A22126-7078-4049-B541-10EFF8E117B0}" name="Column8355"/>
    <tableColumn id="8370" xr3:uid="{BEF2D146-D4FD-4D1C-8644-320B57B5F93B}" name="Column8356"/>
    <tableColumn id="8371" xr3:uid="{D563CDE6-7EFF-4875-9897-E18187777FAC}" name="Column8357"/>
    <tableColumn id="8372" xr3:uid="{686B7243-D28D-4089-8AF5-FE80E59C3CC0}" name="Column8358"/>
    <tableColumn id="8373" xr3:uid="{26C7D23C-F018-4E19-A96E-0EB8B384D506}" name="Column8359"/>
    <tableColumn id="8374" xr3:uid="{21F7A563-E9D5-43B8-8F75-B282AB7E3054}" name="Column8360"/>
    <tableColumn id="8375" xr3:uid="{72727E76-071B-48EB-8E30-CE8D4E028909}" name="Column8361"/>
    <tableColumn id="8376" xr3:uid="{0C1F4B94-F634-4A7B-AB34-A0A67DF81D9B}" name="Column8362"/>
    <tableColumn id="8377" xr3:uid="{B9063311-F5F3-449A-AE35-F22810520A9E}" name="Column8363"/>
    <tableColumn id="8378" xr3:uid="{99B52980-1ABD-42D5-914C-7EA23DA2F710}" name="Column8364"/>
    <tableColumn id="8379" xr3:uid="{C3B0B8C4-BB1C-4F23-AF77-B7BDB765A344}" name="Column8365"/>
    <tableColumn id="8380" xr3:uid="{8F4CDD79-59FC-41A3-8567-838576D683B6}" name="Column8366"/>
    <tableColumn id="8381" xr3:uid="{C9CF6606-4C65-4210-ABA6-F39631781916}" name="Column8367"/>
    <tableColumn id="8382" xr3:uid="{C3F224D6-7BBF-40B6-8394-3AEC4527EC57}" name="Column8368"/>
    <tableColumn id="8383" xr3:uid="{C2C68DD7-3FB4-42D2-9E4C-CB67DE029DE8}" name="Column8369"/>
    <tableColumn id="8384" xr3:uid="{7572E136-0C7C-40E9-A38B-418541A84C4A}" name="Column8370"/>
    <tableColumn id="8385" xr3:uid="{4E981884-FA13-460A-B332-B0E76A65C5C2}" name="Column8371"/>
    <tableColumn id="8386" xr3:uid="{C5E264D6-3799-4F64-895E-079CCB7355F4}" name="Column8372"/>
    <tableColumn id="8387" xr3:uid="{76AC98A3-999A-44EA-AC8C-8DA396CFEEF0}" name="Column8373"/>
    <tableColumn id="8388" xr3:uid="{0ABA383C-4BFC-4E34-AF58-83D20D048770}" name="Column8374"/>
    <tableColumn id="8389" xr3:uid="{F634827A-A329-4EF9-95D6-774DB4B7ED5E}" name="Column8375"/>
    <tableColumn id="8390" xr3:uid="{40122F57-F6C5-4138-B83E-8FA17E364B4A}" name="Column8376"/>
    <tableColumn id="8391" xr3:uid="{9859BFD5-234B-41A9-94F0-2798812D3D21}" name="Column8377"/>
    <tableColumn id="8392" xr3:uid="{805CAC50-68BB-4758-8696-0DE71B3252C5}" name="Column8378"/>
    <tableColumn id="8393" xr3:uid="{F12D4211-69CE-4659-A331-8D45890E4175}" name="Column8379"/>
    <tableColumn id="8394" xr3:uid="{3C8AB23B-2AAB-4CE1-A15A-7B6C8DC87A46}" name="Column8380"/>
    <tableColumn id="8395" xr3:uid="{43355BCF-3541-4603-8EA4-ECFBFBD44842}" name="Column8381"/>
    <tableColumn id="8396" xr3:uid="{8DD5A338-6B68-4A1D-AFDF-D29E8CD157CC}" name="Column8382"/>
    <tableColumn id="8397" xr3:uid="{3F48B68C-640D-4315-A659-F1C165A7843A}" name="Column8383"/>
    <tableColumn id="8398" xr3:uid="{74C9E5C4-8D67-497C-9BF5-73C87528F065}" name="Column8384"/>
    <tableColumn id="8399" xr3:uid="{1FCAF0E7-1869-486A-A481-BF89E523FB8B}" name="Column8385"/>
    <tableColumn id="8400" xr3:uid="{5293DBD7-2040-41DA-8232-EDE050BD0541}" name="Column8386"/>
    <tableColumn id="8401" xr3:uid="{0D6DB6B0-9383-4C8A-9969-76AA99547DFA}" name="Column8387"/>
    <tableColumn id="8402" xr3:uid="{2DA240FD-9D17-4F28-8B4F-1FD4E2518723}" name="Column8388"/>
    <tableColumn id="8403" xr3:uid="{74E8A9D2-E866-46D6-8033-005DEC93E8F8}" name="Column8389"/>
    <tableColumn id="8404" xr3:uid="{35652E4F-7B6F-4EF9-8CF0-8FC375716885}" name="Column8390"/>
    <tableColumn id="8405" xr3:uid="{0AC30B09-65FF-46C1-847A-560D246A8636}" name="Column8391"/>
    <tableColumn id="8406" xr3:uid="{F8FC5212-B827-4B07-8F6A-39E564A1D4F3}" name="Column8392"/>
    <tableColumn id="8407" xr3:uid="{FD26D229-8BD7-4878-A4EB-2FA7AAA328AD}" name="Column8393"/>
    <tableColumn id="8408" xr3:uid="{662F6470-BE70-4DA4-99F2-615D3AED97B2}" name="Column8394"/>
    <tableColumn id="8409" xr3:uid="{FEA8BAEA-415F-4201-B503-B5709AB04DE6}" name="Column8395"/>
    <tableColumn id="8410" xr3:uid="{A5EBF285-77C6-47D7-99BD-8A41F0C89852}" name="Column8396"/>
    <tableColumn id="8411" xr3:uid="{07AE70B1-B083-4264-8C22-692748C1F2EB}" name="Column8397"/>
    <tableColumn id="8412" xr3:uid="{3C45CFDE-00B9-4693-8542-8CECC8C2AFC9}" name="Column8398"/>
    <tableColumn id="8413" xr3:uid="{63C529B2-6284-4EE0-8AA8-1748B85F96DD}" name="Column8399"/>
    <tableColumn id="8414" xr3:uid="{334A3C8B-8DFE-4139-A99F-BA421B7A9741}" name="Column8400"/>
    <tableColumn id="8415" xr3:uid="{0A2D7A2D-E10A-484C-9B78-C2E4AEE7638F}" name="Column8401"/>
    <tableColumn id="8416" xr3:uid="{8698C012-7D57-4267-893B-839AE8A0750D}" name="Column8402"/>
    <tableColumn id="8417" xr3:uid="{70596B1A-5B68-4C65-9831-B84C366D51EC}" name="Column8403"/>
    <tableColumn id="8418" xr3:uid="{801A3FDF-A2D3-42F5-B311-845DA2F4CEE0}" name="Column8404"/>
    <tableColumn id="8419" xr3:uid="{354F560C-5C0B-4824-A9ED-00733EAB96AF}" name="Column8405"/>
    <tableColumn id="8420" xr3:uid="{D2A31981-FED2-495F-8745-F953FC549F9A}" name="Column8406"/>
    <tableColumn id="8421" xr3:uid="{28D6DA77-C924-4026-AFC4-0E2B51485771}" name="Column8407"/>
    <tableColumn id="8422" xr3:uid="{FF3278D6-8DF1-4FE6-8AB9-42B2D5F18126}" name="Column8408"/>
    <tableColumn id="8423" xr3:uid="{D2982058-83FD-4A44-B3E1-93175EAAE8A8}" name="Column8409"/>
    <tableColumn id="8424" xr3:uid="{209C86EB-09F3-46EA-9938-CBFDA82D7963}" name="Column8410"/>
    <tableColumn id="8425" xr3:uid="{014A46C1-2C86-43B5-9890-CCF8D87763AC}" name="Column8411"/>
    <tableColumn id="8426" xr3:uid="{0E225635-7416-4206-843F-5D6AC4EC750F}" name="Column8412"/>
    <tableColumn id="8427" xr3:uid="{65ED4FAB-FA38-40A3-AFC6-5496C4E51121}" name="Column8413"/>
    <tableColumn id="8428" xr3:uid="{4DCCE746-724A-48E9-A414-2A99C531C738}" name="Column8414"/>
    <tableColumn id="8429" xr3:uid="{3EB679C7-0916-4688-915E-7279BE1159BC}" name="Column8415"/>
    <tableColumn id="8430" xr3:uid="{5FCC04AE-FC56-4B3D-9FD3-8DDA8892156F}" name="Column8416"/>
    <tableColumn id="8431" xr3:uid="{6D7EB49F-F00C-4BE0-BBDC-F544D57FE16D}" name="Column8417"/>
    <tableColumn id="8432" xr3:uid="{4F58CD08-79FF-4E51-8DF7-441944EAB68C}" name="Column8418"/>
    <tableColumn id="8433" xr3:uid="{AF354065-9583-4606-AA8D-89A633933CB6}" name="Column8419"/>
    <tableColumn id="8434" xr3:uid="{5BC3C4F8-980F-4926-AF07-13CCEEEF8D40}" name="Column8420"/>
    <tableColumn id="8435" xr3:uid="{9A183AEB-48E7-4EBD-852E-E509CE084B31}" name="Column8421"/>
    <tableColumn id="8436" xr3:uid="{5E4D0BD0-9751-4037-A17E-208B346ED99E}" name="Column8422"/>
    <tableColumn id="8437" xr3:uid="{DC1F06A0-C83F-4E74-A946-422853A9537A}" name="Column8423"/>
    <tableColumn id="8438" xr3:uid="{62331E97-4262-4D39-BC39-A617ACACB462}" name="Column8424"/>
    <tableColumn id="8439" xr3:uid="{F0DAE49F-2171-4D6B-BF2B-70C498E3396A}" name="Column8425"/>
    <tableColumn id="8440" xr3:uid="{8E327B5F-741E-4AD7-BECB-64184E204F6B}" name="Column8426"/>
    <tableColumn id="8441" xr3:uid="{954E053B-F1AA-4285-8B57-6120BBAC180A}" name="Column8427"/>
    <tableColumn id="8442" xr3:uid="{32676C9C-9227-4622-8BCF-8DB697A984D5}" name="Column8428"/>
    <tableColumn id="8443" xr3:uid="{7B4C0AF2-D124-4270-965D-255339BACDB6}" name="Column8429"/>
    <tableColumn id="8444" xr3:uid="{03F50720-EDD2-46D7-914A-E2D0730E3CC3}" name="Column8430"/>
    <tableColumn id="8445" xr3:uid="{F872C0E2-B664-40E1-AEEA-AF6A257F1122}" name="Column8431"/>
    <tableColumn id="8446" xr3:uid="{8F608D2E-2917-4186-8174-0418B82FA232}" name="Column8432"/>
    <tableColumn id="8447" xr3:uid="{C3CBA353-5B55-489B-B348-1A0FFB8F289A}" name="Column8433"/>
    <tableColumn id="8448" xr3:uid="{95C1B500-575E-4F04-A090-8F245B71A8D9}" name="Column8434"/>
    <tableColumn id="8449" xr3:uid="{4B515EC7-D653-4764-A799-F66D3AC504A1}" name="Column8435"/>
    <tableColumn id="8450" xr3:uid="{FF2FE7E2-3DD8-4EAD-9915-9E78EFA950F4}" name="Column8436"/>
    <tableColumn id="8451" xr3:uid="{B8F4A721-179A-44F2-AA27-8285CCEE11B5}" name="Column8437"/>
    <tableColumn id="8452" xr3:uid="{4CB9D4F4-D297-4C44-AE01-0FF05A6ED4F8}" name="Column8438"/>
    <tableColumn id="8453" xr3:uid="{172EE775-8FF0-47C9-A343-1F63CC361955}" name="Column8439"/>
    <tableColumn id="8454" xr3:uid="{44B0B5F1-4F3B-43A2-9D1B-06DDB316B36B}" name="Column8440"/>
    <tableColumn id="8455" xr3:uid="{F02A2AB3-1370-4621-8417-38C306B07D0F}" name="Column8441"/>
    <tableColumn id="8456" xr3:uid="{483BEE5C-60E5-46CE-8B3E-6BCE0AB5A7C8}" name="Column8442"/>
    <tableColumn id="8457" xr3:uid="{794D440F-F894-4854-98D8-FCE07536786E}" name="Column8443"/>
    <tableColumn id="8458" xr3:uid="{181F31A3-7052-409A-A26C-643DA4DCE287}" name="Column8444"/>
    <tableColumn id="8459" xr3:uid="{FFDC3E65-7BB4-4266-AD6D-79C9BB873E9A}" name="Column8445"/>
    <tableColumn id="8460" xr3:uid="{EF724E2F-6D00-4FB9-8551-A1844BBE639D}" name="Column8446"/>
    <tableColumn id="8461" xr3:uid="{E6BEFE7D-88A6-4895-AB49-2771BCA88946}" name="Column8447"/>
    <tableColumn id="8462" xr3:uid="{C4C52800-2CBF-4C9D-B6C5-AB91EC3208DD}" name="Column8448"/>
    <tableColumn id="8463" xr3:uid="{BFEDE565-2F6B-4FD5-836D-45A8C9ABD7C7}" name="Column8449"/>
    <tableColumn id="8464" xr3:uid="{C67FBD62-2143-43B1-95A7-7B76E04A9911}" name="Column8450"/>
    <tableColumn id="8465" xr3:uid="{6D28AC26-CE3B-4754-9AE6-C3D9F4EAF7ED}" name="Column8451"/>
    <tableColumn id="8466" xr3:uid="{92016588-7895-4B23-A166-337C11E94A91}" name="Column8452"/>
    <tableColumn id="8467" xr3:uid="{5F9F6F9A-50F7-4513-9485-0E4938EB2931}" name="Column8453"/>
    <tableColumn id="8468" xr3:uid="{83E38F8F-9269-48EC-ADFF-6870B61DAD5F}" name="Column8454"/>
    <tableColumn id="8469" xr3:uid="{806816DB-EBDB-4F6A-A700-AAAEEEFDC0F8}" name="Column8455"/>
    <tableColumn id="8470" xr3:uid="{2BA1FA40-C926-4307-82B4-DF627604B26A}" name="Column8456"/>
    <tableColumn id="8471" xr3:uid="{9165E15B-87BE-47DC-A83E-2BD56D031EE2}" name="Column8457"/>
    <tableColumn id="8472" xr3:uid="{32325478-3BCD-4ED0-890A-308CBE86F495}" name="Column8458"/>
    <tableColumn id="8473" xr3:uid="{8B1C0C2E-0D90-4F03-8A23-B4692116DE1F}" name="Column8459"/>
    <tableColumn id="8474" xr3:uid="{2310BDB7-12EA-4486-A4B8-21B2E9A75BC5}" name="Column8460"/>
    <tableColumn id="8475" xr3:uid="{68CD1D5C-6C35-4056-8B9B-3AB0E93AD873}" name="Column8461"/>
    <tableColumn id="8476" xr3:uid="{A7D134F1-2EF0-4EEA-ABE2-EFBCAD0EE9D0}" name="Column8462"/>
    <tableColumn id="8477" xr3:uid="{69F991A4-8008-4E63-A6F0-E1E73EAD8052}" name="Column8463"/>
    <tableColumn id="8478" xr3:uid="{FF439094-B7DC-435A-A8F6-00C8D91F9D9A}" name="Column8464"/>
    <tableColumn id="8479" xr3:uid="{0974274F-4AE2-42A0-9407-A582A200FD66}" name="Column8465"/>
    <tableColumn id="8480" xr3:uid="{DFECFBE0-C09D-4437-8C38-07B2DEF0492E}" name="Column8466"/>
    <tableColumn id="8481" xr3:uid="{AF1AC851-C0D2-495C-8848-EB02556EEF4E}" name="Column8467"/>
    <tableColumn id="8482" xr3:uid="{E419A62C-9508-4B0E-9422-764A73E42984}" name="Column8468"/>
    <tableColumn id="8483" xr3:uid="{417CC642-9033-4255-B192-FDCD46FF4CE8}" name="Column8469"/>
    <tableColumn id="8484" xr3:uid="{A612BA64-0F1E-43D6-B5CF-C3F2122150FE}" name="Column8470"/>
    <tableColumn id="8485" xr3:uid="{ED37BDBE-1B32-4D39-AE4B-CB005E3ECAF9}" name="Column8471"/>
    <tableColumn id="8486" xr3:uid="{A9841CDD-5AA9-4550-8E57-0E440CDEE6F1}" name="Column8472"/>
    <tableColumn id="8487" xr3:uid="{AA6F605A-8BFE-406A-8C3F-7885720FF62D}" name="Column8473"/>
    <tableColumn id="8488" xr3:uid="{BF93E7CA-A09A-40FC-B82A-F2FDAE14876C}" name="Column8474"/>
    <tableColumn id="8489" xr3:uid="{7AC1A9EE-BB0B-416B-859A-E48855E79D96}" name="Column8475"/>
    <tableColumn id="8490" xr3:uid="{DDC1561B-BD6D-4E43-A520-3EEF43E6F727}" name="Column8476"/>
    <tableColumn id="8491" xr3:uid="{18F459D6-833E-4C22-A354-73B5AB3322EB}" name="Column8477"/>
    <tableColumn id="8492" xr3:uid="{F0AD9A47-6446-4700-8F0A-5FBC3FD4A3E7}" name="Column8478"/>
    <tableColumn id="8493" xr3:uid="{CD21943F-4A4F-48DE-86BE-9D13B00AE770}" name="Column8479"/>
    <tableColumn id="8494" xr3:uid="{E47BB65B-310E-4606-8ACA-59E74AA7CB35}" name="Column8480"/>
    <tableColumn id="8495" xr3:uid="{7080175C-3F22-4FA6-B8CB-690D7B542038}" name="Column8481"/>
    <tableColumn id="8496" xr3:uid="{FA3E449F-3B7D-4CEA-807A-B46F33F1EC7C}" name="Column8482"/>
    <tableColumn id="8497" xr3:uid="{769FA3BA-6CE8-4F9B-BF7E-2BC2F5203AA4}" name="Column8483"/>
    <tableColumn id="8498" xr3:uid="{48EBCFA9-BE66-4C86-AE6D-C97326CC833D}" name="Column8484"/>
    <tableColumn id="8499" xr3:uid="{F6FD8073-8A74-4D15-809F-B4A8B9BCE2A1}" name="Column8485"/>
    <tableColumn id="8500" xr3:uid="{5020FE9E-24DF-4200-823A-C4DB582180F5}" name="Column8486"/>
    <tableColumn id="8501" xr3:uid="{B6E20ABD-3A02-441B-9E00-5A2C9E7B459C}" name="Column8487"/>
    <tableColumn id="8502" xr3:uid="{34ACD794-4ADB-4CDD-9AB6-EE8DC8349E13}" name="Column8488"/>
    <tableColumn id="8503" xr3:uid="{47B3C1FB-6E8D-4609-A8F4-1DAAF269D690}" name="Column8489"/>
    <tableColumn id="8504" xr3:uid="{969F9E72-E484-4602-89B0-876F632E2F3B}" name="Column8490"/>
    <tableColumn id="8505" xr3:uid="{2D2F5AA2-3A4F-4CD8-B1B5-DCF76662E918}" name="Column8491"/>
    <tableColumn id="8506" xr3:uid="{959613E4-6442-4B9B-8295-DF950176500D}" name="Column8492"/>
    <tableColumn id="8507" xr3:uid="{7F3B797E-DB41-474A-A1F0-304960B93080}" name="Column8493"/>
    <tableColumn id="8508" xr3:uid="{EC198EE6-B856-4C45-B71F-EC89B2F936F4}" name="Column8494"/>
    <tableColumn id="8509" xr3:uid="{15CEB590-70DF-4D8F-86FB-860B2879730B}" name="Column8495"/>
    <tableColumn id="8510" xr3:uid="{A4947C98-2DEA-4899-8079-4F420822FBFA}" name="Column8496"/>
    <tableColumn id="8511" xr3:uid="{B93E783F-CEDE-485D-A6EB-06A32FC86686}" name="Column8497"/>
    <tableColumn id="8512" xr3:uid="{708F4BE2-12BF-4812-AE2C-73EC6F4300D3}" name="Column8498"/>
    <tableColumn id="8513" xr3:uid="{E20DFCA4-F6B2-4F91-B57A-82ED971369E6}" name="Column8499"/>
    <tableColumn id="8514" xr3:uid="{EF39D8F7-D9F8-4BE9-8E21-48C8A1F65D0C}" name="Column8500"/>
    <tableColumn id="8515" xr3:uid="{391CAFA6-CD0B-44F8-A09F-0C17929ECAF9}" name="Column8501"/>
    <tableColumn id="8516" xr3:uid="{BB9991BA-3017-41E6-892C-CF950F47140E}" name="Column8502"/>
    <tableColumn id="8517" xr3:uid="{0E76F6C1-4F38-4C43-96CE-083DD49A726B}" name="Column8503"/>
    <tableColumn id="8518" xr3:uid="{C5AE0EDC-1215-4FFF-8CE1-3A2F3E65C658}" name="Column8504"/>
    <tableColumn id="8519" xr3:uid="{E4B82432-C2E3-4732-835F-58B9D799A69C}" name="Column8505"/>
    <tableColumn id="8520" xr3:uid="{CBC268E9-3A1F-4160-8199-F13CD80E87CA}" name="Column8506"/>
    <tableColumn id="8521" xr3:uid="{B0CC6D02-0316-4B35-8421-A3A2E1196FE5}" name="Column8507"/>
    <tableColumn id="8522" xr3:uid="{5F40CAAF-8800-4046-958B-7D40684885E1}" name="Column8508"/>
    <tableColumn id="8523" xr3:uid="{A1C328CE-BA7B-4942-954D-A978B2EF6AF3}" name="Column8509"/>
    <tableColumn id="8524" xr3:uid="{852BC16E-1824-4272-9B26-9B7F570EC586}" name="Column8510"/>
    <tableColumn id="8525" xr3:uid="{5B14E2F5-DEAA-43D4-992C-21949A8E21F3}" name="Column8511"/>
    <tableColumn id="8526" xr3:uid="{722FE61E-B6D5-488D-B4E7-3B2523A529DA}" name="Column8512"/>
    <tableColumn id="8527" xr3:uid="{B1A5B030-9619-4588-98D7-0DD07CD50456}" name="Column8513"/>
    <tableColumn id="8528" xr3:uid="{31500DEE-4047-4044-8EBD-4DC60D8B0C12}" name="Column8514"/>
    <tableColumn id="8529" xr3:uid="{F9F7188A-F4D2-41F4-897B-1903C92F13DF}" name="Column8515"/>
    <tableColumn id="8530" xr3:uid="{C43DBD77-94ED-4988-961C-7076DCED22F0}" name="Column8516"/>
    <tableColumn id="8531" xr3:uid="{27235996-C463-4134-BE7C-AF1DE75E17F2}" name="Column8517"/>
    <tableColumn id="8532" xr3:uid="{2CE581C7-51C4-4DEC-9DD6-4979EE94EE6D}" name="Column8518"/>
    <tableColumn id="8533" xr3:uid="{A6CD705A-E5B1-4E35-83B9-F14B809096A2}" name="Column8519"/>
    <tableColumn id="8534" xr3:uid="{75A10259-C92C-4AF1-A6BD-005E3F1952D3}" name="Column8520"/>
    <tableColumn id="8535" xr3:uid="{BA30B703-AA34-40A3-A44B-F194A4E96ECF}" name="Column8521"/>
    <tableColumn id="8536" xr3:uid="{203C669D-0512-4B44-80A6-B574192921C8}" name="Column8522"/>
    <tableColumn id="8537" xr3:uid="{830D084A-922C-4A52-AD04-E783DAC0B4B1}" name="Column8523"/>
    <tableColumn id="8538" xr3:uid="{A4AD15D7-8BA8-4790-B5BE-F3C13CC3D1CA}" name="Column8524"/>
    <tableColumn id="8539" xr3:uid="{BE2675AE-57EA-4AAB-B6F7-3C2200A49356}" name="Column8525"/>
    <tableColumn id="8540" xr3:uid="{C0824023-C699-48E2-9868-BE67363E97D4}" name="Column8526"/>
    <tableColumn id="8541" xr3:uid="{4A0387FD-38C7-43B9-8258-A24C52C7A149}" name="Column8527"/>
    <tableColumn id="8542" xr3:uid="{C0B80B5F-584C-4020-B7A3-57EE47B3EC6F}" name="Column8528"/>
    <tableColumn id="8543" xr3:uid="{42748422-21C6-4210-8860-982329C97BFB}" name="Column8529"/>
    <tableColumn id="8544" xr3:uid="{00EB5C64-AEB5-4427-A980-7A6B977AC2B1}" name="Column8530"/>
    <tableColumn id="8545" xr3:uid="{AD99E1F0-2B37-4B2C-8E99-BD8B34A008DA}" name="Column8531"/>
    <tableColumn id="8546" xr3:uid="{3A4FB3AA-FF06-4014-BED5-8C72E0EEA429}" name="Column8532"/>
    <tableColumn id="8547" xr3:uid="{F1F5CBA7-5BFA-4EDB-9B85-1BBD27C9D2B3}" name="Column8533"/>
    <tableColumn id="8548" xr3:uid="{4FE6E64D-DA45-41CD-8ABA-AB7449C20EFC}" name="Column8534"/>
    <tableColumn id="8549" xr3:uid="{57C657BA-ECCE-4BB3-95AC-5E7E5D83EA0F}" name="Column8535"/>
    <tableColumn id="8550" xr3:uid="{54627A0B-28A6-4B4E-9F03-AF764575FA6A}" name="Column8536"/>
    <tableColumn id="8551" xr3:uid="{04D9F2FB-71B7-4353-BBC6-2AE0D9D64EAA}" name="Column8537"/>
    <tableColumn id="8552" xr3:uid="{D3E334ED-3A4A-4B94-8F2C-9C5F3B0F836F}" name="Column8538"/>
    <tableColumn id="8553" xr3:uid="{556B673F-29F9-445E-9F0C-15DEE85DB7A1}" name="Column8539"/>
    <tableColumn id="8554" xr3:uid="{92F07BE2-7513-4077-BC98-EA05860EFB69}" name="Column8540"/>
    <tableColumn id="8555" xr3:uid="{AA8DE657-2D61-48E6-BA0F-E6F5F1B2DDB5}" name="Column8541"/>
    <tableColumn id="8556" xr3:uid="{06B8E299-9128-408F-B1FF-DBA6B33CE1A5}" name="Column8542"/>
    <tableColumn id="8557" xr3:uid="{93E83EFA-E562-42DC-836E-42CC9B92FE28}" name="Column8543"/>
    <tableColumn id="8558" xr3:uid="{69CB9B94-43C5-4686-B1F6-BC0926B0882E}" name="Column8544"/>
    <tableColumn id="8559" xr3:uid="{254ADF47-B74D-4538-AE8C-F8018EEC3648}" name="Column8545"/>
    <tableColumn id="8560" xr3:uid="{BAC89B5B-67B1-4E0D-BC0A-F6CB7F6F36C7}" name="Column8546"/>
    <tableColumn id="8561" xr3:uid="{AC53E2FE-D474-485C-82A4-B0220CDE92D9}" name="Column8547"/>
    <tableColumn id="8562" xr3:uid="{8E70577B-1270-4694-96E6-1FFBED8982C9}" name="Column8548"/>
    <tableColumn id="8563" xr3:uid="{6483818F-DCE3-499F-9409-9AB9694E2F8E}" name="Column8549"/>
    <tableColumn id="8564" xr3:uid="{9DB4F145-5F9D-4380-92EE-D28D893E1D78}" name="Column8550"/>
    <tableColumn id="8565" xr3:uid="{848BC699-7D55-4CDA-9CF2-2182CCA89CC7}" name="Column8551"/>
    <tableColumn id="8566" xr3:uid="{05CB3DC3-830A-4E54-939C-9250ABA3A68C}" name="Column8552"/>
    <tableColumn id="8567" xr3:uid="{1A17A19C-9B95-4CF5-8270-0C6AADAD90B0}" name="Column8553"/>
    <tableColumn id="8568" xr3:uid="{FEAF7B05-F6CA-440C-91C8-1B54A1BC65E4}" name="Column8554"/>
    <tableColumn id="8569" xr3:uid="{2246707F-5C83-4F5F-83B3-88E170D19B3A}" name="Column8555"/>
    <tableColumn id="8570" xr3:uid="{FB1D773C-8F59-41E8-B264-C17FC5532CED}" name="Column8556"/>
    <tableColumn id="8571" xr3:uid="{A9A8D7D6-D367-4F83-AC7B-211BEC4DC565}" name="Column8557"/>
    <tableColumn id="8572" xr3:uid="{CEAD91DD-9FB4-4C7E-8FB5-E15F79523548}" name="Column8558"/>
    <tableColumn id="8573" xr3:uid="{672CEEE2-DF7C-4336-9CB2-FA61C75802CD}" name="Column8559"/>
    <tableColumn id="8574" xr3:uid="{269917B8-CFEC-4E46-BBC3-69E9AB6ABDC0}" name="Column8560"/>
    <tableColumn id="8575" xr3:uid="{4496C274-A998-4326-8BEE-4F475F30DE46}" name="Column8561"/>
    <tableColumn id="8576" xr3:uid="{D0903BA4-556D-4E8E-A736-F970C207F8BC}" name="Column8562"/>
    <tableColumn id="8577" xr3:uid="{A97015D8-8114-4D7C-8222-1AB5B554F250}" name="Column8563"/>
    <tableColumn id="8578" xr3:uid="{26985D1A-60B2-4553-969A-B097B90D91E6}" name="Column8564"/>
    <tableColumn id="8579" xr3:uid="{0926D96F-7CE2-41B5-A526-6CFAC9C28ECF}" name="Column8565"/>
    <tableColumn id="8580" xr3:uid="{0D512E0C-71B5-4FFB-9E1B-99EB75F9CE7A}" name="Column8566"/>
    <tableColumn id="8581" xr3:uid="{19ED8E94-EB53-40FC-8202-0FB096650665}" name="Column8567"/>
    <tableColumn id="8582" xr3:uid="{C24E438E-B9BB-439D-9FDD-FEF39A2551B6}" name="Column8568"/>
    <tableColumn id="8583" xr3:uid="{FC7C330A-A3ED-465D-94EC-71E4438C7FB8}" name="Column8569"/>
    <tableColumn id="8584" xr3:uid="{74B69457-4EC3-4ABE-90A6-68DB9C24C11B}" name="Column8570"/>
    <tableColumn id="8585" xr3:uid="{2541E0DE-9985-43F4-8267-4BCB65DE4D61}" name="Column8571"/>
    <tableColumn id="8586" xr3:uid="{7EE9581A-CBFC-450B-8C55-0C04208D146E}" name="Column8572"/>
    <tableColumn id="8587" xr3:uid="{D0F94E5F-77D5-4C27-8213-BE1CE5E39C79}" name="Column8573"/>
    <tableColumn id="8588" xr3:uid="{989B3A5B-D915-473F-B14C-B74E2665F3BF}" name="Column8574"/>
    <tableColumn id="8589" xr3:uid="{E0265073-3BB8-42E2-BCE9-C5D9408524FA}" name="Column8575"/>
    <tableColumn id="8590" xr3:uid="{9EAC0540-E0B7-4F8B-9FBD-6DB0787E45F9}" name="Column8576"/>
    <tableColumn id="8591" xr3:uid="{213728CE-6A7F-4FA4-B558-C89F27B916EA}" name="Column8577"/>
    <tableColumn id="8592" xr3:uid="{1A11711D-6407-47A7-8A3E-DF776C25B647}" name="Column8578"/>
    <tableColumn id="8593" xr3:uid="{82E4308E-A668-4776-93EC-728C8DDA6BCF}" name="Column8579"/>
    <tableColumn id="8594" xr3:uid="{9189C123-4EA7-457D-B7C6-4B37E4D4B00E}" name="Column8580"/>
    <tableColumn id="8595" xr3:uid="{EC5B0174-7EDE-4399-81F2-43A79C7F1EDB}" name="Column8581"/>
    <tableColumn id="8596" xr3:uid="{0DA65681-F91E-4ABA-9B67-63D66DE5BA4D}" name="Column8582"/>
    <tableColumn id="8597" xr3:uid="{803F50D9-9F77-41B4-BC7F-674451DA21C0}" name="Column8583"/>
    <tableColumn id="8598" xr3:uid="{498B71C3-96D4-410F-B3C6-7379CAE61807}" name="Column8584"/>
    <tableColumn id="8599" xr3:uid="{8FEAD936-54C1-45CB-A589-6B095EA3A1D2}" name="Column8585"/>
    <tableColumn id="8600" xr3:uid="{E709DE39-B731-4412-85C7-88A0BD35BFC7}" name="Column8586"/>
    <tableColumn id="8601" xr3:uid="{67E301FA-EBDE-45E9-8415-417DA904DEBF}" name="Column8587"/>
    <tableColumn id="8602" xr3:uid="{11F55BD1-40AD-45FC-8E1A-B8318586F99B}" name="Column8588"/>
    <tableColumn id="8603" xr3:uid="{C93CAB23-E817-4826-9AB1-5A20617FF275}" name="Column8589"/>
    <tableColumn id="8604" xr3:uid="{0F89BCE7-125D-459E-952F-A94B5A89F2AE}" name="Column8590"/>
    <tableColumn id="8605" xr3:uid="{50C8C2F0-B657-46AA-B6D8-96B3FB5E57D2}" name="Column8591"/>
    <tableColumn id="8606" xr3:uid="{6513C6D0-229E-4C82-8CAF-908545EECDC9}" name="Column8592"/>
    <tableColumn id="8607" xr3:uid="{E22228DA-33BC-427F-BB2B-274F4F0BF34E}" name="Column8593"/>
    <tableColumn id="8608" xr3:uid="{D2691323-4CB2-4EFD-8F58-ADB2EFDAFE78}" name="Column8594"/>
    <tableColumn id="8609" xr3:uid="{433AB470-440B-4429-AC61-7B13CC88DB0F}" name="Column8595"/>
    <tableColumn id="8610" xr3:uid="{A896BB7A-2624-4121-AB3B-8BE61F27B492}" name="Column8596"/>
    <tableColumn id="8611" xr3:uid="{C6D50C51-3042-4381-9CBD-3522B78E0E83}" name="Column8597"/>
    <tableColumn id="8612" xr3:uid="{3472EC8C-4DA5-4084-91CF-CCEBE1137C17}" name="Column8598"/>
    <tableColumn id="8613" xr3:uid="{29D0CAFC-293C-413E-BB22-2B4F50810E7D}" name="Column8599"/>
    <tableColumn id="8614" xr3:uid="{FA7C2127-AF35-4EE4-BB76-A1E3B4B5B7D1}" name="Column8600"/>
    <tableColumn id="8615" xr3:uid="{772864F1-B285-412E-99DB-08F8AD7B94C9}" name="Column8601"/>
    <tableColumn id="8616" xr3:uid="{640514B3-560C-4153-B842-05821D0D2104}" name="Column8602"/>
    <tableColumn id="8617" xr3:uid="{367500AF-2533-4510-94A1-36819425F4DA}" name="Column8603"/>
    <tableColumn id="8618" xr3:uid="{9085D079-B7A7-4934-800C-5FF6D01ABE74}" name="Column8604"/>
    <tableColumn id="8619" xr3:uid="{794DF3F2-4B72-40A0-B768-7D96BF48AE4B}" name="Column8605"/>
    <tableColumn id="8620" xr3:uid="{AF605A53-CD94-472A-AA9C-8467D7C0A100}" name="Column8606"/>
    <tableColumn id="8621" xr3:uid="{70CCDC11-D19E-4599-90F8-7E04953C8374}" name="Column8607"/>
    <tableColumn id="8622" xr3:uid="{DBD505DF-576B-43B0-B803-C163C79DB331}" name="Column8608"/>
    <tableColumn id="8623" xr3:uid="{AE5E45D9-E42B-4F92-980F-C1F4EF8EBF4C}" name="Column8609"/>
    <tableColumn id="8624" xr3:uid="{BD09163D-1DE8-41AA-A220-4F51E83CB234}" name="Column8610"/>
    <tableColumn id="8625" xr3:uid="{8AAD64FE-2762-45A0-8DF6-95919AD8E9BD}" name="Column8611"/>
    <tableColumn id="8626" xr3:uid="{241668FF-3186-4AAF-BA8B-C0128DD6F466}" name="Column8612"/>
    <tableColumn id="8627" xr3:uid="{9B9221AF-A55E-4261-87E5-88F3D88EBCBC}" name="Column8613"/>
    <tableColumn id="8628" xr3:uid="{0D38DA6E-7A0B-42CE-B519-C596476675CB}" name="Column8614"/>
    <tableColumn id="8629" xr3:uid="{A10D1F38-E424-4601-B274-FCA57CDF178C}" name="Column8615"/>
    <tableColumn id="8630" xr3:uid="{8724777F-2F9B-4D05-8A5C-79440E787165}" name="Column8616"/>
    <tableColumn id="8631" xr3:uid="{B969FC7B-7BD1-4BE6-8355-7B35AF890C08}" name="Column8617"/>
    <tableColumn id="8632" xr3:uid="{1484109D-8D88-488F-A405-ED27DC9408CB}" name="Column8618"/>
    <tableColumn id="8633" xr3:uid="{50DB9E0D-E966-4126-AB0D-0A75E37C6850}" name="Column8619"/>
    <tableColumn id="8634" xr3:uid="{1140319E-63A9-49CE-86A4-D3A161770A74}" name="Column8620"/>
    <tableColumn id="8635" xr3:uid="{941A4715-9A87-4230-ABAE-76AF0DFCE2A9}" name="Column8621"/>
    <tableColumn id="8636" xr3:uid="{38C9895B-1D3E-4E54-8075-A294AF2868B5}" name="Column8622"/>
    <tableColumn id="8637" xr3:uid="{E9CB11A1-8BB6-4796-862D-41CE8494B33A}" name="Column8623"/>
    <tableColumn id="8638" xr3:uid="{45953659-037C-4560-85B7-2D3BC87C2967}" name="Column8624"/>
    <tableColumn id="8639" xr3:uid="{43711FD4-6641-4237-B8CF-A58A903F82EC}" name="Column8625"/>
    <tableColumn id="8640" xr3:uid="{DE84C78C-28A7-40AF-ADED-3F31393ADDEF}" name="Column8626"/>
    <tableColumn id="8641" xr3:uid="{B9D8B292-857F-4FC7-BCEC-91082A404087}" name="Column8627"/>
    <tableColumn id="8642" xr3:uid="{CA0AA1B8-6DC0-4A51-9818-863AAA73902C}" name="Column8628"/>
    <tableColumn id="8643" xr3:uid="{9B03EEBA-AEDD-4D2A-B123-A6905908DFF2}" name="Column8629"/>
    <tableColumn id="8644" xr3:uid="{4AB320AF-6DEA-4703-BFDF-FC2185D39129}" name="Column8630"/>
    <tableColumn id="8645" xr3:uid="{4D39BBDF-EF64-4053-8CF0-3D2A06967AEC}" name="Column8631"/>
    <tableColumn id="8646" xr3:uid="{A8BBF079-C10A-460A-9CE5-67C7F25A9D3D}" name="Column8632"/>
    <tableColumn id="8647" xr3:uid="{0ECB09ED-4BEF-450E-8CBC-143D0459723F}" name="Column8633"/>
    <tableColumn id="8648" xr3:uid="{59448ACA-6D8E-4593-AE7A-8B39C6B7A9C8}" name="Column8634"/>
    <tableColumn id="8649" xr3:uid="{DB7F8041-DF0F-4B2D-A22B-2757F6D75791}" name="Column8635"/>
    <tableColumn id="8650" xr3:uid="{2D4F590A-A1CF-4574-B833-98E25558BCC9}" name="Column8636"/>
    <tableColumn id="8651" xr3:uid="{7BDD5416-2171-4187-8095-BFC9F716D5FA}" name="Column8637"/>
    <tableColumn id="8652" xr3:uid="{D0610EC9-B911-4FFC-A670-AE09C1BECAF3}" name="Column8638"/>
    <tableColumn id="8653" xr3:uid="{E7ADC23A-43D5-48C9-9AB7-CF7B97F5E121}" name="Column8639"/>
    <tableColumn id="8654" xr3:uid="{19031CF8-2813-4716-9CA0-B3266ABA9370}" name="Column8640"/>
    <tableColumn id="8655" xr3:uid="{C62EBB86-6340-4473-8362-593E1D3A4B31}" name="Column8641"/>
    <tableColumn id="8656" xr3:uid="{39144039-5C96-4CA2-9D51-807003D7F63E}" name="Column8642"/>
    <tableColumn id="8657" xr3:uid="{14348FCA-E703-4D39-8F2D-9C318B5E1FDC}" name="Column8643"/>
    <tableColumn id="8658" xr3:uid="{B2AC84E3-A4EE-4F68-8F8C-810CAD5F59DC}" name="Column8644"/>
    <tableColumn id="8659" xr3:uid="{B63ADB12-413A-449B-AB03-05E084B2679C}" name="Column8645"/>
    <tableColumn id="8660" xr3:uid="{32D93BCF-9EAE-41C7-B45B-A6D00F8AF663}" name="Column8646"/>
    <tableColumn id="8661" xr3:uid="{EB0E1A3D-A740-4A08-96BB-1B5698F2F3CE}" name="Column8647"/>
    <tableColumn id="8662" xr3:uid="{F3E82832-0378-434A-8234-2C6167AC6235}" name="Column8648"/>
    <tableColumn id="8663" xr3:uid="{A4E1C53A-6EBA-4C56-9195-E2CBEE37862F}" name="Column8649"/>
    <tableColumn id="8664" xr3:uid="{08A6AE3A-1A4E-455C-8FE9-2AA266092011}" name="Column8650"/>
    <tableColumn id="8665" xr3:uid="{9DD7CFC5-9C42-4493-BD1F-B15BAEAE400F}" name="Column8651"/>
    <tableColumn id="8666" xr3:uid="{44B4EAF5-44AE-4795-845D-0D1A77ECF390}" name="Column8652"/>
    <tableColumn id="8667" xr3:uid="{9A441C31-960A-43C0-A485-92C4A39648BE}" name="Column8653"/>
    <tableColumn id="8668" xr3:uid="{FCD4D18D-A10C-4B63-8EE4-8D3C69A527C8}" name="Column8654"/>
    <tableColumn id="8669" xr3:uid="{BC6A7818-48D2-476F-877B-69FE4E7DC1BC}" name="Column8655"/>
    <tableColumn id="8670" xr3:uid="{97A336CF-236B-4CFC-AD81-70D36141D0E9}" name="Column8656"/>
    <tableColumn id="8671" xr3:uid="{ACC6735D-A23A-4043-B217-FC456C95924E}" name="Column8657"/>
    <tableColumn id="8672" xr3:uid="{D0EBEE8A-C70A-41B8-A9CB-0F6B3AD10E29}" name="Column8658"/>
    <tableColumn id="8673" xr3:uid="{755D3033-D9CB-4800-A1CE-30B1C8FF764F}" name="Column8659"/>
    <tableColumn id="8674" xr3:uid="{51E8CFFF-6E2A-44D6-940A-6EEF50E955E5}" name="Column8660"/>
    <tableColumn id="8675" xr3:uid="{BCBE4AE4-FEEA-4C68-82CB-34463C96A2C4}" name="Column8661"/>
    <tableColumn id="8676" xr3:uid="{47D5F6E6-6F31-4CA8-A863-5B1C67E603E5}" name="Column8662"/>
    <tableColumn id="8677" xr3:uid="{E0546857-60F5-4B3D-9F5D-3308CE73006D}" name="Column8663"/>
    <tableColumn id="8678" xr3:uid="{579789A5-0E02-4F0D-8795-5E96A5A94295}" name="Column8664"/>
    <tableColumn id="8679" xr3:uid="{8F9C337C-CF70-471C-A73F-9A843E568690}" name="Column8665"/>
    <tableColumn id="8680" xr3:uid="{A2C83BD5-1F50-4D5B-AEE3-52E433083B0C}" name="Column8666"/>
    <tableColumn id="8681" xr3:uid="{72CBAB2F-0FCE-41FE-8E47-785040955C61}" name="Column8667"/>
    <tableColumn id="8682" xr3:uid="{0D983369-1C08-4E27-9497-A71441766A6B}" name="Column8668"/>
    <tableColumn id="8683" xr3:uid="{F086A2D4-7461-4248-BD61-D3B61F05FE7A}" name="Column8669"/>
    <tableColumn id="8684" xr3:uid="{6550F47D-8EA3-4099-AF13-47C2AFCDD5E6}" name="Column8670"/>
    <tableColumn id="8685" xr3:uid="{2FC865F4-6E0A-47CD-9DF8-1D9EC1EDB935}" name="Column8671"/>
    <tableColumn id="8686" xr3:uid="{4C8CFD4D-2391-4095-A99C-11DF180F492D}" name="Column8672"/>
    <tableColumn id="8687" xr3:uid="{5CBE38B1-0073-4D0B-BA44-144DF73EF01C}" name="Column8673"/>
    <tableColumn id="8688" xr3:uid="{2B00A9D7-3970-491F-A887-4495456246BC}" name="Column8674"/>
    <tableColumn id="8689" xr3:uid="{766163F4-D9F2-491C-B3BC-3C4174D08F24}" name="Column8675"/>
    <tableColumn id="8690" xr3:uid="{2908FCE8-9AD9-4B58-AE41-FDD2069553FF}" name="Column8676"/>
    <tableColumn id="8691" xr3:uid="{5C170A8C-4A39-467A-9066-9C21E9C77977}" name="Column8677"/>
    <tableColumn id="8692" xr3:uid="{A4206D05-FE58-4CAC-9C7F-464238E632B2}" name="Column8678"/>
    <tableColumn id="8693" xr3:uid="{89260425-BCCD-4A11-BB1B-ED2E25BBF87E}" name="Column8679"/>
    <tableColumn id="8694" xr3:uid="{24AA941E-29DF-44E7-B586-1DC81A87DDD4}" name="Column8680"/>
    <tableColumn id="8695" xr3:uid="{7526F7C5-77BC-48DF-83B7-9D464C47E774}" name="Column8681"/>
    <tableColumn id="8696" xr3:uid="{F2B8AE34-2B60-415E-9833-8B77B27DD95A}" name="Column8682"/>
    <tableColumn id="8697" xr3:uid="{0A919981-C0BB-4749-8F15-86C9036904F3}" name="Column8683"/>
    <tableColumn id="8698" xr3:uid="{364A51AE-731B-4CAF-814D-411DCA28C9BF}" name="Column8684"/>
    <tableColumn id="8699" xr3:uid="{32BAE887-58D0-47C0-835D-8BFB459E17F3}" name="Column8685"/>
    <tableColumn id="8700" xr3:uid="{B9DDC89D-2FD0-4824-A39E-41A146086728}" name="Column8686"/>
    <tableColumn id="8701" xr3:uid="{B7A21168-4FD0-4B79-8704-E4920FF3B2D5}" name="Column8687"/>
    <tableColumn id="8702" xr3:uid="{651A0A3C-4FEF-462C-BCE8-2FF0FC45EE8C}" name="Column8688"/>
    <tableColumn id="8703" xr3:uid="{D486AF18-917F-4144-82DD-89ADAA804B99}" name="Column8689"/>
    <tableColumn id="8704" xr3:uid="{D5E99652-33DA-4F7D-AF12-A6B6F231A0F7}" name="Column8690"/>
    <tableColumn id="8705" xr3:uid="{A48E917F-E578-4477-8802-97F259FB2BAF}" name="Column8691"/>
    <tableColumn id="8706" xr3:uid="{7CCB4DA3-FCCA-47A9-92CD-6A44FAE88B72}" name="Column8692"/>
    <tableColumn id="8707" xr3:uid="{511610E5-ACCF-4E74-8183-C71B90886687}" name="Column8693"/>
    <tableColumn id="8708" xr3:uid="{7BB7F283-D47D-4F2B-BF7C-E474DF511035}" name="Column8694"/>
    <tableColumn id="8709" xr3:uid="{F7F197F7-AB2E-4681-A9D6-07379FA1A362}" name="Column8695"/>
    <tableColumn id="8710" xr3:uid="{C25C0D1B-23EB-44F5-BE0F-54D0DADE0022}" name="Column8696"/>
    <tableColumn id="8711" xr3:uid="{4F39A4E6-4A68-45F0-83D4-9020DA9BD82D}" name="Column8697"/>
    <tableColumn id="8712" xr3:uid="{CC3EA817-C129-40F9-9E20-ECA15786F59D}" name="Column8698"/>
    <tableColumn id="8713" xr3:uid="{E6382317-C3DF-4414-B713-75F21395A00B}" name="Column8699"/>
    <tableColumn id="8714" xr3:uid="{F63658E2-8B59-4EE7-8579-42DDEF0B84AB}" name="Column8700"/>
    <tableColumn id="8715" xr3:uid="{28782048-6958-446E-8C91-35683127305D}" name="Column8701"/>
    <tableColumn id="8716" xr3:uid="{993551CC-576E-47E5-AA94-224C6ECE5A47}" name="Column8702"/>
    <tableColumn id="8717" xr3:uid="{8A4F80D4-5900-465A-ADB0-71C2BEE8829F}" name="Column8703"/>
    <tableColumn id="8718" xr3:uid="{2DF62DFB-9A24-4122-B458-0C64AE4CB209}" name="Column8704"/>
    <tableColumn id="8719" xr3:uid="{1E7E7B2F-13D1-4D7F-8B06-58B87FD93F92}" name="Column8705"/>
    <tableColumn id="8720" xr3:uid="{C27EAC76-76A8-49BE-AAB0-D405382D6616}" name="Column8706"/>
    <tableColumn id="8721" xr3:uid="{3068F9EB-6224-47B6-82F4-18E6EEB58AED}" name="Column8707"/>
    <tableColumn id="8722" xr3:uid="{89557C9F-66AB-4574-93C6-508B567B458B}" name="Column8708"/>
    <tableColumn id="8723" xr3:uid="{E0C65C3D-F868-435E-8282-3787DCC07D79}" name="Column8709"/>
    <tableColumn id="8724" xr3:uid="{DF646300-6EDB-444C-A5CF-A4A9859781E9}" name="Column8710"/>
    <tableColumn id="8725" xr3:uid="{BF3B30E7-E907-4733-8CFD-143AF1ACEBBA}" name="Column8711"/>
    <tableColumn id="8726" xr3:uid="{58A48151-E2EF-4907-A23F-87888519C83A}" name="Column8712"/>
    <tableColumn id="8727" xr3:uid="{847A0EB6-723E-4F64-9A28-064E453FC310}" name="Column8713"/>
    <tableColumn id="8728" xr3:uid="{70C38114-39FE-4B7B-966D-D9AC422DB383}" name="Column8714"/>
    <tableColumn id="8729" xr3:uid="{337232CF-E522-478B-8BA6-4FBD1D65315E}" name="Column8715"/>
    <tableColumn id="8730" xr3:uid="{2C42FAD7-B1DD-4136-ACB4-3D0543429E7C}" name="Column8716"/>
    <tableColumn id="8731" xr3:uid="{DF6D58D1-25C6-4DCA-BD59-32F76C98735A}" name="Column8717"/>
    <tableColumn id="8732" xr3:uid="{90D58154-B20A-4F2F-AD82-D6E919D952C9}" name="Column8718"/>
    <tableColumn id="8733" xr3:uid="{F466C286-1F2A-4D26-A2EE-64EC5F0C8B13}" name="Column8719"/>
    <tableColumn id="8734" xr3:uid="{BB41A744-6F7A-472F-82EF-FA14B8DFECA8}" name="Column8720"/>
    <tableColumn id="8735" xr3:uid="{9DCE6E6B-0E25-433E-99D6-A6934D71390C}" name="Column8721"/>
    <tableColumn id="8736" xr3:uid="{12523593-35FF-4394-9365-A94B225B0683}" name="Column8722"/>
    <tableColumn id="8737" xr3:uid="{A25F6915-58DD-49CA-B0B5-42F520EAF76B}" name="Column8723"/>
    <tableColumn id="8738" xr3:uid="{D696A48D-86AE-432D-8230-F508D5C71397}" name="Column8724"/>
    <tableColumn id="8739" xr3:uid="{1720A601-885A-4B81-92A2-D290E292B261}" name="Column8725"/>
    <tableColumn id="8740" xr3:uid="{B2EF19DE-AF72-43CB-BB47-F310E607739D}" name="Column8726"/>
    <tableColumn id="8741" xr3:uid="{3ADFD97E-76E3-454D-96B1-DD0F229A4319}" name="Column8727"/>
    <tableColumn id="8742" xr3:uid="{045367DE-056D-41B9-A8EC-AEAF0D9D3DAC}" name="Column8728"/>
    <tableColumn id="8743" xr3:uid="{C5ABF0E8-C2E5-42E0-905F-A3107456F42F}" name="Column8729"/>
    <tableColumn id="8744" xr3:uid="{8891F387-E641-44D5-97CF-AEE0F09C9C8C}" name="Column8730"/>
    <tableColumn id="8745" xr3:uid="{EB49E419-57DA-4FCC-8279-74E1D008CB4C}" name="Column8731"/>
    <tableColumn id="8746" xr3:uid="{D896EC32-6723-4F71-9B67-5AADE29C540D}" name="Column8732"/>
    <tableColumn id="8747" xr3:uid="{3007B226-23CA-4FD3-A963-F315227120A3}" name="Column8733"/>
    <tableColumn id="8748" xr3:uid="{5BA6860D-A977-460F-9B66-00CAC6B9A887}" name="Column8734"/>
    <tableColumn id="8749" xr3:uid="{C9EFE7A8-18D3-4869-8F7E-663FF09144B5}" name="Column8735"/>
    <tableColumn id="8750" xr3:uid="{A273CE5B-E61C-4A74-9B44-B8747753AE6A}" name="Column8736"/>
    <tableColumn id="8751" xr3:uid="{FEFA3041-01A4-433B-9792-F33BB1932845}" name="Column8737"/>
    <tableColumn id="8752" xr3:uid="{9ACC3FDB-7E22-49C3-B9AA-858F8A4EDDF1}" name="Column8738"/>
    <tableColumn id="8753" xr3:uid="{31C37C74-D4D6-4A12-BA7C-E57334515F6B}" name="Column8739"/>
    <tableColumn id="8754" xr3:uid="{352FAB82-5838-43C5-8D44-BFA82E991A6F}" name="Column8740"/>
    <tableColumn id="8755" xr3:uid="{A53078E0-3A8B-4627-8815-4DF604710915}" name="Column8741"/>
    <tableColumn id="8756" xr3:uid="{D87B7772-0DA2-4103-87FF-21DF9B73570E}" name="Column8742"/>
    <tableColumn id="8757" xr3:uid="{43455DC9-8584-4E4A-B008-51D404015FF6}" name="Column8743"/>
    <tableColumn id="8758" xr3:uid="{0AAA5206-B5B2-44A5-96C0-41253D1DDE81}" name="Column8744"/>
    <tableColumn id="8759" xr3:uid="{4DE14378-CEAB-4EAE-8FC1-4B869B19866C}" name="Column8745"/>
    <tableColumn id="8760" xr3:uid="{A56B0121-472D-42F1-8F3D-10844237C7EE}" name="Column8746"/>
    <tableColumn id="8761" xr3:uid="{49DDCB9F-2C31-4164-94BE-4389796F1D51}" name="Column8747"/>
    <tableColumn id="8762" xr3:uid="{312AD8FD-0AAC-439E-B620-C13BE74B116B}" name="Column8748"/>
    <tableColumn id="8763" xr3:uid="{46FCC35D-B0FC-4DBC-A20C-591A269606E6}" name="Column8749"/>
    <tableColumn id="8764" xr3:uid="{8F1C552A-8E40-4E2A-AC89-2F53A5889D7F}" name="Column8750"/>
    <tableColumn id="8765" xr3:uid="{BA9A3727-58A9-482F-86D1-036F9D9EA18E}" name="Column8751"/>
    <tableColumn id="8766" xr3:uid="{0801E524-16AC-41AD-BA6B-702EFEFEB5BA}" name="Column8752"/>
    <tableColumn id="8767" xr3:uid="{618AB5CA-038F-4FC1-B3B3-86A5A9377D94}" name="Column8753"/>
    <tableColumn id="8768" xr3:uid="{666E8AA1-EC75-47D5-BA91-A521342E14A2}" name="Column8754"/>
    <tableColumn id="8769" xr3:uid="{CDC1C075-787C-441A-A73B-4F6CE02056F9}" name="Column8755"/>
    <tableColumn id="8770" xr3:uid="{543480E3-83A7-4A91-95F9-E27B8F549F87}" name="Column8756"/>
    <tableColumn id="8771" xr3:uid="{DBD69441-75EF-472F-BF91-6229EB0553B6}" name="Column8757"/>
    <tableColumn id="8772" xr3:uid="{17DB8A9F-F055-4D2E-BE9C-EEF5F9623497}" name="Column8758"/>
    <tableColumn id="8773" xr3:uid="{BB079D1C-DBF4-4709-96F4-8C03F8C5BF71}" name="Column8759"/>
    <tableColumn id="8774" xr3:uid="{BB820B5A-CD08-4A1A-8BAD-6AA018DFBE88}" name="Column8760"/>
    <tableColumn id="8775" xr3:uid="{778D9DBA-BB2E-45FC-925D-EA2538E71F59}" name="Column8761"/>
    <tableColumn id="8776" xr3:uid="{51F2999A-A72C-4E16-8B62-D0BE30C07FC3}" name="Column8762"/>
    <tableColumn id="8777" xr3:uid="{99E49760-1774-49AD-B431-2C495173F23E}" name="Column8763"/>
    <tableColumn id="8778" xr3:uid="{806F64DC-82D2-4F95-9038-15A029BDD62A}" name="Column8764"/>
    <tableColumn id="8779" xr3:uid="{4552D55A-73F5-4567-97E4-A6A409F37681}" name="Column8765"/>
    <tableColumn id="8780" xr3:uid="{93663918-4AF7-491B-818B-F8975911E215}" name="Column8766"/>
    <tableColumn id="8781" xr3:uid="{4BE7240A-220A-46CF-8C44-4FAF8C025443}" name="Column8767"/>
    <tableColumn id="8782" xr3:uid="{C627A402-C18E-4CB5-8748-5AE6159C0284}" name="Column8768"/>
    <tableColumn id="8783" xr3:uid="{A6082FD2-DC58-4798-A4FB-D2BC600E0AAE}" name="Column8769"/>
    <tableColumn id="8784" xr3:uid="{617C6639-5B05-4FB1-8354-AC8CAB9AD548}" name="Column8770"/>
    <tableColumn id="8785" xr3:uid="{F4AD1492-BC4E-48BE-84E7-FF4442A3B2BB}" name="Column8771"/>
    <tableColumn id="8786" xr3:uid="{3056DCC8-8630-4526-988A-D82D4D4A0574}" name="Column8772"/>
    <tableColumn id="8787" xr3:uid="{D944490C-4DB0-4D58-AF12-9A4DFC35B935}" name="Column8773"/>
    <tableColumn id="8788" xr3:uid="{7713302A-B8E5-4A1F-B481-1BC0DDF69041}" name="Column8774"/>
    <tableColumn id="8789" xr3:uid="{EB554524-228B-4C20-8EB9-BFE5FE758876}" name="Column8775"/>
    <tableColumn id="8790" xr3:uid="{A8BF74E8-EAAA-4E36-97A0-BD8A4BE9D76C}" name="Column8776"/>
    <tableColumn id="8791" xr3:uid="{5CF38A89-2700-4D8B-B888-0B2D059EA82E}" name="Column8777"/>
    <tableColumn id="8792" xr3:uid="{2CD6886E-099F-44EE-A34D-BDD2B85D2CF5}" name="Column8778"/>
    <tableColumn id="8793" xr3:uid="{BEDB0FCF-8D4F-4F22-A1FD-AD3F56765E8E}" name="Column8779"/>
    <tableColumn id="8794" xr3:uid="{7D1A2D7A-4345-4BBD-B457-C691B14A2C80}" name="Column8780"/>
    <tableColumn id="8795" xr3:uid="{6F5CD78F-C62D-4697-B907-4F3B58D91742}" name="Column8781"/>
    <tableColumn id="8796" xr3:uid="{4338E7D4-8E6A-49CE-8329-A294FB83FC4D}" name="Column8782"/>
    <tableColumn id="8797" xr3:uid="{02FBE4B9-DA9B-496A-B361-E426A6F7033F}" name="Column8783"/>
    <tableColumn id="8798" xr3:uid="{2B8849D3-AF56-487F-AF7C-6A6005629FAE}" name="Column8784"/>
    <tableColumn id="8799" xr3:uid="{B61B5364-E4DC-45CB-B87A-27E1E3A5210A}" name="Column8785"/>
    <tableColumn id="8800" xr3:uid="{F7086321-757F-41C1-82FF-A800BE68082E}" name="Column8786"/>
    <tableColumn id="8801" xr3:uid="{A8736D94-04EE-4761-A43F-2605299626FE}" name="Column8787"/>
    <tableColumn id="8802" xr3:uid="{C3CA0C72-B172-42DE-BD74-DF7DF7ED512F}" name="Column8788"/>
    <tableColumn id="8803" xr3:uid="{BB2C0C1E-D98C-42B7-9AB7-20146410C127}" name="Column8789"/>
    <tableColumn id="8804" xr3:uid="{546D54A0-B3EC-4D57-9390-6ADA9ECCF4D6}" name="Column8790"/>
    <tableColumn id="8805" xr3:uid="{61F8C98B-07D6-444A-A4BB-A1C3409ED312}" name="Column8791"/>
    <tableColumn id="8806" xr3:uid="{BBBC0397-A66C-481A-9E86-C90FA84585B2}" name="Column8792"/>
    <tableColumn id="8807" xr3:uid="{1B0AEDB4-2D02-4462-8431-9C7A0E8D8886}" name="Column8793"/>
    <tableColumn id="8808" xr3:uid="{0C9AD933-A1BF-41B1-9AFE-88FE29D849DB}" name="Column8794"/>
    <tableColumn id="8809" xr3:uid="{7D962780-80B1-43DB-BBE3-A9AE46942FCD}" name="Column8795"/>
    <tableColumn id="8810" xr3:uid="{F94A1F80-950C-4E4A-A5E7-84E5C58503A1}" name="Column8796"/>
    <tableColumn id="8811" xr3:uid="{84FF7E16-5237-49F9-9325-9FE390DC6DF3}" name="Column8797"/>
    <tableColumn id="8812" xr3:uid="{5CCBD75D-F285-4E3D-9671-73801E11D9DC}" name="Column8798"/>
    <tableColumn id="8813" xr3:uid="{A3E49DF7-8384-4180-994F-37BE522F6B14}" name="Column8799"/>
    <tableColumn id="8814" xr3:uid="{5444A416-5E42-47D6-8D4B-CFF36E5CDD8C}" name="Column8800"/>
    <tableColumn id="8815" xr3:uid="{26C5692C-34A9-434B-B587-828C3A7C721A}" name="Column8801"/>
    <tableColumn id="8816" xr3:uid="{928802D1-379C-47DF-AD98-C2EDD997656A}" name="Column8802"/>
    <tableColumn id="8817" xr3:uid="{27EBF2C6-3F2E-416E-8FA8-7AF7DA721571}" name="Column8803"/>
    <tableColumn id="8818" xr3:uid="{15CD9B69-2247-4030-9341-B2A21F96D3DA}" name="Column8804"/>
    <tableColumn id="8819" xr3:uid="{4C1C0F38-8C43-40F2-8AA0-56F4E7C57D86}" name="Column8805"/>
    <tableColumn id="8820" xr3:uid="{88677C26-9327-4DEC-8095-469465E04825}" name="Column8806"/>
    <tableColumn id="8821" xr3:uid="{1AAFD2C5-19C5-4C0A-9D13-5955E5E0946D}" name="Column8807"/>
    <tableColumn id="8822" xr3:uid="{97017C14-390A-4C86-B8D9-4FA49AF395D0}" name="Column8808"/>
    <tableColumn id="8823" xr3:uid="{1091A83B-35E8-4917-AFB9-C3B37876EEE1}" name="Column8809"/>
    <tableColumn id="8824" xr3:uid="{C99BB8DA-6464-4472-AE02-1B3D0C669AD9}" name="Column8810"/>
    <tableColumn id="8825" xr3:uid="{687910A2-402C-4479-B352-550213812B3F}" name="Column8811"/>
    <tableColumn id="8826" xr3:uid="{23FC9A02-27EA-48AA-BDE7-6AE4DEE5F0C9}" name="Column8812"/>
    <tableColumn id="8827" xr3:uid="{A0DA2460-7E87-4BFC-8FD1-5606450DD8D5}" name="Column8813"/>
    <tableColumn id="8828" xr3:uid="{B6141F67-EED2-49E9-8F91-72FA96BB68A1}" name="Column8814"/>
    <tableColumn id="8829" xr3:uid="{808CA5A4-27C3-4A57-8BB7-5097FEE3EC38}" name="Column8815"/>
    <tableColumn id="8830" xr3:uid="{369F7CAE-09E9-48D2-AF4B-6F602960E33D}" name="Column8816"/>
    <tableColumn id="8831" xr3:uid="{F63F6EF1-3541-452E-BA29-91B3DF363101}" name="Column8817"/>
    <tableColumn id="8832" xr3:uid="{4A94106C-3BE3-4DD8-9679-8AFF8D9BB710}" name="Column8818"/>
    <tableColumn id="8833" xr3:uid="{60EBFC77-6BA7-463C-9810-4BF8BCD9BE35}" name="Column8819"/>
    <tableColumn id="8834" xr3:uid="{98486DA8-36EB-40CE-B7E6-2D488D187594}" name="Column8820"/>
    <tableColumn id="8835" xr3:uid="{75CC8460-A3BB-416D-8248-8D615FEBB4D3}" name="Column8821"/>
    <tableColumn id="8836" xr3:uid="{18583556-B3BD-4F5A-82F6-325E1D78700A}" name="Column8822"/>
    <tableColumn id="8837" xr3:uid="{8D9B2D0F-E505-4B38-AEE3-37984E5C929C}" name="Column8823"/>
    <tableColumn id="8838" xr3:uid="{4A2467E0-E36D-434D-9421-375ACE8F3A79}" name="Column8824"/>
    <tableColumn id="8839" xr3:uid="{C57FB7C1-0255-4C61-83BE-90042C552C1F}" name="Column8825"/>
    <tableColumn id="8840" xr3:uid="{AB27828E-E5C3-4091-81EA-B8D3FA4F4328}" name="Column8826"/>
    <tableColumn id="8841" xr3:uid="{A6256B0D-3ADE-49EE-86A0-B22EC24DD39B}" name="Column8827"/>
    <tableColumn id="8842" xr3:uid="{7F20A6F4-CE00-4ACA-B94C-DE0F7AAAB035}" name="Column8828"/>
    <tableColumn id="8843" xr3:uid="{4E47D388-8706-4534-A63B-EA3A98C8C809}" name="Column8829"/>
    <tableColumn id="8844" xr3:uid="{8C608B0A-0A94-46B0-B07E-72A0E0672CCC}" name="Column8830"/>
    <tableColumn id="8845" xr3:uid="{751B85AD-6FA6-472F-ABA4-97059BE7260E}" name="Column8831"/>
    <tableColumn id="8846" xr3:uid="{EC9D24D2-11D6-41AD-91B5-6293E1C52E37}" name="Column8832"/>
    <tableColumn id="8847" xr3:uid="{192534CA-4A9B-456F-A9BF-B38885536AB0}" name="Column8833"/>
    <tableColumn id="8848" xr3:uid="{A0CE18F4-F1C0-4587-A691-F61F3C84F3B4}" name="Column8834"/>
    <tableColumn id="8849" xr3:uid="{2A7FB1B9-A17D-41AF-83D9-F6B98B9F0172}" name="Column8835"/>
    <tableColumn id="8850" xr3:uid="{192291FA-1D17-4FA1-940D-E9F40BA33DBA}" name="Column8836"/>
    <tableColumn id="8851" xr3:uid="{70CD3CEF-1A18-4607-BE0A-3BDCCE3D41BC}" name="Column8837"/>
    <tableColumn id="8852" xr3:uid="{81BCCF27-0D52-4D32-9675-F4D4DDA3E5AE}" name="Column8838"/>
    <tableColumn id="8853" xr3:uid="{8EBE5726-230F-4AA2-9986-C55D3AF7F350}" name="Column8839"/>
    <tableColumn id="8854" xr3:uid="{1B99B573-F502-4768-98FB-80BDD66A30D6}" name="Column8840"/>
    <tableColumn id="8855" xr3:uid="{2D61E042-8614-458B-B87A-E06CC2F32C4E}" name="Column8841"/>
    <tableColumn id="8856" xr3:uid="{27D3FC2A-2A43-43B2-9D9D-C63F9BFDCAA3}" name="Column8842"/>
    <tableColumn id="8857" xr3:uid="{82675288-C7B7-4C3B-A412-295AE4736A7F}" name="Column8843"/>
    <tableColumn id="8858" xr3:uid="{EC0CE094-82E5-4D5E-891B-1989EB1ECF02}" name="Column8844"/>
    <tableColumn id="8859" xr3:uid="{4873620F-3FDD-49FB-865B-D07D832B5453}" name="Column8845"/>
    <tableColumn id="8860" xr3:uid="{544D9831-9EC0-4A8C-89FE-EB6A7DC70883}" name="Column8846"/>
    <tableColumn id="8861" xr3:uid="{5B349455-3FB8-4C3F-8534-46349FC15A29}" name="Column8847"/>
    <tableColumn id="8862" xr3:uid="{1B3A6DB9-C9C3-46A9-8766-1476BCCE5350}" name="Column8848"/>
    <tableColumn id="8863" xr3:uid="{A76CEB89-FF77-48E2-AA0B-47DCC0088716}" name="Column8849"/>
    <tableColumn id="8864" xr3:uid="{55F66DA4-983E-4E2B-8794-CC8921F75EF6}" name="Column8850"/>
    <tableColumn id="8865" xr3:uid="{C61F916E-C001-4FFE-BF21-7C68F24F5B46}" name="Column8851"/>
    <tableColumn id="8866" xr3:uid="{3123C686-1ACA-480B-995C-658061BF3362}" name="Column8852"/>
    <tableColumn id="8867" xr3:uid="{7E9E4460-6966-4600-BED6-38AE77618DD6}" name="Column8853"/>
    <tableColumn id="8868" xr3:uid="{29AB1BCA-DBD3-4076-9159-3535AE2C6BBA}" name="Column8854"/>
    <tableColumn id="8869" xr3:uid="{626A8E7C-A36D-49C4-9110-96C8016D3923}" name="Column8855"/>
    <tableColumn id="8870" xr3:uid="{A3C1F1B3-BB28-4931-ACD6-C78E6749C624}" name="Column8856"/>
    <tableColumn id="8871" xr3:uid="{B99781FE-A4CE-4BE0-AD6B-D9E3625D1400}" name="Column8857"/>
    <tableColumn id="8872" xr3:uid="{BA6EDB3A-8FFA-4B97-AF92-7CBDCC53CA61}" name="Column8858"/>
    <tableColumn id="8873" xr3:uid="{AB57B927-DEA9-4CDB-AAD8-EF25001F28D1}" name="Column8859"/>
    <tableColumn id="8874" xr3:uid="{CD4D1C9E-D1B2-4D40-ADCC-AE705BED076A}" name="Column8860"/>
    <tableColumn id="8875" xr3:uid="{5EA38083-DF3F-4306-9998-6F357BDA1150}" name="Column8861"/>
    <tableColumn id="8876" xr3:uid="{41629444-F0D2-4EEE-B87E-EF1E4A29100E}" name="Column8862"/>
    <tableColumn id="8877" xr3:uid="{6CC838D3-B124-49F7-A2F4-EDC96D46564A}" name="Column8863"/>
    <tableColumn id="8878" xr3:uid="{1A4130A7-F8C6-45D8-B2C8-E67AAB9745ED}" name="Column8864"/>
    <tableColumn id="8879" xr3:uid="{A4B2DCF0-603A-444B-80BF-B498D1E0127D}" name="Column8865"/>
    <tableColumn id="8880" xr3:uid="{1815BE37-3C46-48E1-89C9-54A8882F0CFD}" name="Column8866"/>
    <tableColumn id="8881" xr3:uid="{2A7463CC-363F-47FE-9734-D1130558866E}" name="Column8867"/>
    <tableColumn id="8882" xr3:uid="{0451CAB2-EDDA-498A-AC4C-701B4A7A2C08}" name="Column8868"/>
    <tableColumn id="8883" xr3:uid="{6850E62B-A575-469A-A240-B69C7AFF8CB9}" name="Column8869"/>
    <tableColumn id="8884" xr3:uid="{10309F48-553C-4C3B-938F-0830171F1FAB}" name="Column8870"/>
    <tableColumn id="8885" xr3:uid="{FDC41B64-0B52-4EB7-A819-8D78B2F8A731}" name="Column8871"/>
    <tableColumn id="8886" xr3:uid="{C40E5024-3B99-4DE9-B39A-4F9BF3F40E59}" name="Column8872"/>
    <tableColumn id="8887" xr3:uid="{CE2AF5EC-0D16-421E-99EB-57D124764745}" name="Column8873"/>
    <tableColumn id="8888" xr3:uid="{1A933ABB-8C65-4808-B530-5706BF34EF95}" name="Column8874"/>
    <tableColumn id="8889" xr3:uid="{AFE7CE3F-FFA2-4011-9D9A-9E9F745BF611}" name="Column8875"/>
    <tableColumn id="8890" xr3:uid="{F84FF3D2-DFED-46D0-BCF4-2F90D18F973B}" name="Column8876"/>
    <tableColumn id="8891" xr3:uid="{0E6E786D-E9EE-4238-94C8-FFDA43CD7D9A}" name="Column8877"/>
    <tableColumn id="8892" xr3:uid="{DA3601A4-2CE8-48DB-9681-512367000930}" name="Column8878"/>
    <tableColumn id="8893" xr3:uid="{E8553248-CE53-498B-82EC-B60707D81ABC}" name="Column8879"/>
    <tableColumn id="8894" xr3:uid="{06C1BC94-B1C4-4002-A084-482A39B62157}" name="Column8880"/>
    <tableColumn id="8895" xr3:uid="{0EE03C34-3102-4C45-8B44-88D699C8AB35}" name="Column8881"/>
    <tableColumn id="8896" xr3:uid="{47EDCEB9-7496-4D91-BB18-6B1E0E9AB41F}" name="Column8882"/>
    <tableColumn id="8897" xr3:uid="{25E59C47-52B5-44CB-8C0A-8C6C8BD51860}" name="Column8883"/>
    <tableColumn id="8898" xr3:uid="{43532A65-BD45-4DC8-AA72-F78ED3918F80}" name="Column8884"/>
    <tableColumn id="8899" xr3:uid="{DCE198A3-41E4-441E-82F0-28DF7ACF91AD}" name="Column8885"/>
    <tableColumn id="8900" xr3:uid="{41084A1B-9BA1-48CB-A061-1E930E8EC9C0}" name="Column8886"/>
    <tableColumn id="8901" xr3:uid="{862BDEB1-2915-4AB1-8DBB-1ED5A89A9258}" name="Column8887"/>
    <tableColumn id="8902" xr3:uid="{D70DE4B0-48F5-4039-A541-0B4CDFA01546}" name="Column8888"/>
    <tableColumn id="8903" xr3:uid="{654DBD95-6894-42F0-93E4-01B8E762E842}" name="Column8889"/>
    <tableColumn id="8904" xr3:uid="{84362F99-F086-4A03-86DC-09588ED6CE06}" name="Column8890"/>
    <tableColumn id="8905" xr3:uid="{53C2A31E-C253-4BF6-A6E4-6CA05E9D7120}" name="Column8891"/>
    <tableColumn id="8906" xr3:uid="{A0AE3F97-4BD8-4782-B0EE-823C0F0E77AD}" name="Column8892"/>
    <tableColumn id="8907" xr3:uid="{47AC63F5-A453-40B8-836B-F10AF2B6CC0D}" name="Column8893"/>
    <tableColumn id="8908" xr3:uid="{2BD3DCD1-E368-4846-9560-B68A03AA0FE1}" name="Column8894"/>
    <tableColumn id="8909" xr3:uid="{731C59E3-AE1F-4A1B-94BB-961E65EB5878}" name="Column8895"/>
    <tableColumn id="8910" xr3:uid="{DD0C0AF5-DDB7-4446-89D4-7B7C51488E5F}" name="Column8896"/>
    <tableColumn id="8911" xr3:uid="{03495037-2519-475E-935B-5C02513097E2}" name="Column8897"/>
    <tableColumn id="8912" xr3:uid="{158390C9-A560-4169-BA8B-EB5CB3A1A2E2}" name="Column8898"/>
    <tableColumn id="8913" xr3:uid="{FCE17179-4F1D-4550-A73E-8B091049E179}" name="Column8899"/>
    <tableColumn id="8914" xr3:uid="{25BCFF64-10FE-4892-AF39-BFBEC9D1CD69}" name="Column8900"/>
    <tableColumn id="8915" xr3:uid="{665DCD6D-8CC6-41F4-8AAB-45653DF7920C}" name="Column8901"/>
    <tableColumn id="8916" xr3:uid="{917A1C91-C39F-4767-A2D6-6AFB07B041A9}" name="Column8902"/>
    <tableColumn id="8917" xr3:uid="{1FB48EFE-D338-428F-AD7C-B82A05F8F80C}" name="Column8903"/>
    <tableColumn id="8918" xr3:uid="{8293278B-FE19-4F53-A346-2B39FD2EC06C}" name="Column8904"/>
    <tableColumn id="8919" xr3:uid="{820809CF-2BB5-4964-BF3B-C7EC5CAF7840}" name="Column8905"/>
    <tableColumn id="8920" xr3:uid="{A92BCAB4-C53C-47DC-B245-3BF8CAA9BC7D}" name="Column8906"/>
    <tableColumn id="8921" xr3:uid="{5F008C82-7945-4B07-BCBD-01F827B57E47}" name="Column8907"/>
    <tableColumn id="8922" xr3:uid="{89918AF1-1FDE-4469-8FCE-3D0BA6E1C624}" name="Column8908"/>
    <tableColumn id="8923" xr3:uid="{EA05F29C-2880-4633-B878-DDC9F8762438}" name="Column8909"/>
    <tableColumn id="8924" xr3:uid="{60E071B7-9FDC-4FE5-992E-D951450512CB}" name="Column8910"/>
    <tableColumn id="8925" xr3:uid="{E2B31FB0-6A7E-4E3A-931A-FDEF76D7DE54}" name="Column8911"/>
    <tableColumn id="8926" xr3:uid="{7DB55272-7E33-40C2-9435-44DD748E7D54}" name="Column8912"/>
    <tableColumn id="8927" xr3:uid="{4E4654C8-18C5-480F-B974-5D9D34BF39E6}" name="Column8913"/>
    <tableColumn id="8928" xr3:uid="{188CEEAD-02F3-4A5F-880F-99D25955CF55}" name="Column8914"/>
    <tableColumn id="8929" xr3:uid="{B9B11246-FA1C-481A-ADB5-A9EE0BA93701}" name="Column8915"/>
    <tableColumn id="8930" xr3:uid="{BFAD9A3A-F667-49E0-9DF2-BD8BA4E9B76D}" name="Column8916"/>
    <tableColumn id="8931" xr3:uid="{072FC703-3A18-465F-8F82-DF72F741A32C}" name="Column8917"/>
    <tableColumn id="8932" xr3:uid="{CA40F199-0694-427A-A1E7-7A99D93CEBBC}" name="Column8918"/>
    <tableColumn id="8933" xr3:uid="{91F1129E-0220-4955-969F-D0D5C12B51D4}" name="Column8919"/>
    <tableColumn id="8934" xr3:uid="{C2A973F5-B6EC-4983-B146-894A3C6A1197}" name="Column8920"/>
    <tableColumn id="8935" xr3:uid="{139EF9D8-2669-41EF-96E8-271A2B84151D}" name="Column8921"/>
    <tableColumn id="8936" xr3:uid="{87662232-2915-45C8-8367-8C169B448708}" name="Column8922"/>
    <tableColumn id="8937" xr3:uid="{37D4350D-0A7C-4EC2-B76D-932F2C4BFABD}" name="Column8923"/>
    <tableColumn id="8938" xr3:uid="{4768ABF4-C627-4F9C-9142-6AD4609C3AA8}" name="Column8924"/>
    <tableColumn id="8939" xr3:uid="{DF54697A-FC99-458F-92FC-1B2960464EA3}" name="Column8925"/>
    <tableColumn id="8940" xr3:uid="{DCADB149-8D0D-470E-93C8-47CD4A19ABE5}" name="Column8926"/>
    <tableColumn id="8941" xr3:uid="{9B201BF6-C3A6-495B-8DA7-0BDC9FD97F65}" name="Column8927"/>
    <tableColumn id="8942" xr3:uid="{2905A6E6-0B32-4DDA-947E-38AADC331C12}" name="Column8928"/>
    <tableColumn id="8943" xr3:uid="{9E2B4B87-5719-4E74-9E52-DDE009D199E6}" name="Column8929"/>
    <tableColumn id="8944" xr3:uid="{4C52101D-56A2-48BE-8EAA-926B78944239}" name="Column8930"/>
    <tableColumn id="8945" xr3:uid="{50E19FEE-0463-4155-A342-C37AEA5CA304}" name="Column8931"/>
    <tableColumn id="8946" xr3:uid="{2E0301BE-CF54-4F69-A4F3-74E771185F26}" name="Column8932"/>
    <tableColumn id="8947" xr3:uid="{B58C1569-064E-4D4A-91C0-F8DCEF54EF4D}" name="Column8933"/>
    <tableColumn id="8948" xr3:uid="{2EEE81CE-BA55-46D9-BA32-9FE4A053DFB6}" name="Column8934"/>
    <tableColumn id="8949" xr3:uid="{558887F8-BEB5-4F6E-977F-E6C932C0D48F}" name="Column8935"/>
    <tableColumn id="8950" xr3:uid="{D9922255-070E-40A9-9DCC-7CCDB182A30F}" name="Column8936"/>
    <tableColumn id="8951" xr3:uid="{AABD5A5C-9006-4BBF-9B5C-C7237FC0DF3F}" name="Column8937"/>
    <tableColumn id="8952" xr3:uid="{D0A93F55-CA1B-4919-9C90-739F2521D802}" name="Column8938"/>
    <tableColumn id="8953" xr3:uid="{4CC6B709-4DB3-438D-99EB-B72CB86745D1}" name="Column8939"/>
    <tableColumn id="8954" xr3:uid="{812B4150-AC97-4F8A-8FE3-FA97DDAC80FE}" name="Column8940"/>
    <tableColumn id="8955" xr3:uid="{5A56F443-4D15-4F85-ADF8-AD8EBF298CE8}" name="Column8941"/>
    <tableColumn id="8956" xr3:uid="{49F8A85B-8C9B-48BC-9F6A-1043008B6D89}" name="Column8942"/>
    <tableColumn id="8957" xr3:uid="{9D97E126-2289-4A51-8EA0-B5D3F8944906}" name="Column8943"/>
    <tableColumn id="8958" xr3:uid="{21FD644C-17E1-4174-9963-201461A84BA8}" name="Column8944"/>
    <tableColumn id="8959" xr3:uid="{E46E4E48-44A4-4A64-9444-7966798DD0D3}" name="Column8945"/>
    <tableColumn id="8960" xr3:uid="{AE934696-100C-47A2-8FC6-6121E48E16CF}" name="Column8946"/>
    <tableColumn id="8961" xr3:uid="{722D068B-558D-40C3-A8B8-6AD85B8B18B1}" name="Column8947"/>
    <tableColumn id="8962" xr3:uid="{8C43F249-6AEF-461F-AD3B-6300738BCF3A}" name="Column8948"/>
    <tableColumn id="8963" xr3:uid="{DF8E2299-0BDF-4200-8244-834DA6DD22F5}" name="Column8949"/>
    <tableColumn id="8964" xr3:uid="{071E5C9E-6234-409D-871D-FE80A3ADAAAA}" name="Column8950"/>
    <tableColumn id="8965" xr3:uid="{99D59F56-D00E-49B9-A810-A00FC8DCAF32}" name="Column8951"/>
    <tableColumn id="8966" xr3:uid="{5B0F69B7-C7BC-4281-BC58-36F9DF20ED14}" name="Column8952"/>
    <tableColumn id="8967" xr3:uid="{4175883A-F7D3-4F07-A446-DD983CEA1937}" name="Column8953"/>
    <tableColumn id="8968" xr3:uid="{20805E26-5B99-4580-91A9-50D95FC6C8CF}" name="Column8954"/>
    <tableColumn id="8969" xr3:uid="{1ACEA3A6-065F-4A54-8A73-6D9434914A91}" name="Column8955"/>
    <tableColumn id="8970" xr3:uid="{2EADC6D8-CFAF-488D-8B8E-C7E05C1AB9A6}" name="Column8956"/>
    <tableColumn id="8971" xr3:uid="{9F4EB362-9024-42D6-B81D-59A3317530BA}" name="Column8957"/>
    <tableColumn id="8972" xr3:uid="{511B6AA9-6FC6-4645-928A-4E7424CB6D4C}" name="Column8958"/>
    <tableColumn id="8973" xr3:uid="{71D6FB1B-11CD-4444-AB30-1FDCF7D67D07}" name="Column8959"/>
    <tableColumn id="8974" xr3:uid="{98BE2CA4-F191-46D1-90DB-185312F2D535}" name="Column8960"/>
    <tableColumn id="8975" xr3:uid="{BBC471D7-8C0C-42CD-B5A1-77FA319F8F89}" name="Column8961"/>
    <tableColumn id="8976" xr3:uid="{B3FE4A62-46CE-44DC-8848-3737B41FEED3}" name="Column8962"/>
    <tableColumn id="8977" xr3:uid="{8BCBA49F-4AC9-42BA-B6B6-9BC8AB946068}" name="Column8963"/>
    <tableColumn id="8978" xr3:uid="{1490D7DD-9F2F-4C5E-BFCA-B5C1878933F5}" name="Column8964"/>
    <tableColumn id="8979" xr3:uid="{EA936304-6C04-4BA3-A5A7-997066765BA7}" name="Column8965"/>
    <tableColumn id="8980" xr3:uid="{428DF8ED-0D3A-41B2-8B99-1BC76C3EB172}" name="Column8966"/>
    <tableColumn id="8981" xr3:uid="{A220F5A9-010D-450F-A6D9-9C8C9B844570}" name="Column8967"/>
    <tableColumn id="8982" xr3:uid="{A8FB8DAF-8A25-4FF3-8D94-BF7E52C0B4E0}" name="Column8968"/>
    <tableColumn id="8983" xr3:uid="{80FF3DF7-BAA7-475B-B61E-7197FC2A349E}" name="Column8969"/>
    <tableColumn id="8984" xr3:uid="{37F7FD7D-045B-410F-8E0D-371C4AC8358B}" name="Column8970"/>
    <tableColumn id="8985" xr3:uid="{F586FCCA-1D88-44FE-B28D-30ED769A0DF3}" name="Column8971"/>
    <tableColumn id="8986" xr3:uid="{916DF12F-A13E-4C60-8A9A-76482E77A807}" name="Column8972"/>
    <tableColumn id="8987" xr3:uid="{AB881792-0B6C-4CE0-B259-25854EBC4060}" name="Column8973"/>
    <tableColumn id="8988" xr3:uid="{39A615EF-1FB7-4F78-B11A-75C796443387}" name="Column8974"/>
    <tableColumn id="8989" xr3:uid="{3C13A268-2DF9-4663-ACB2-E9423FD382BF}" name="Column8975"/>
    <tableColumn id="8990" xr3:uid="{E191A6E3-B908-43DF-908C-104A5444C1A0}" name="Column8976"/>
    <tableColumn id="8991" xr3:uid="{4336F32B-8FE5-496B-BB58-FD1C9289DB7E}" name="Column8977"/>
    <tableColumn id="8992" xr3:uid="{2705C547-137B-493D-B06A-31A2459965B1}" name="Column8978"/>
    <tableColumn id="8993" xr3:uid="{4456F348-EB2D-4EEA-8956-EA27CB0152D2}" name="Column8979"/>
    <tableColumn id="8994" xr3:uid="{36100D7B-061D-4A05-A523-86C261431321}" name="Column8980"/>
    <tableColumn id="8995" xr3:uid="{E5D5AEA1-0C44-4FD8-89F3-774B37638D96}" name="Column8981"/>
    <tableColumn id="8996" xr3:uid="{C0AC5455-A399-483D-A220-F74C91613386}" name="Column8982"/>
    <tableColumn id="8997" xr3:uid="{E35C3E9D-C578-43AD-9118-BBB0AF8A8C01}" name="Column8983"/>
    <tableColumn id="8998" xr3:uid="{6179E5DB-0797-40B4-99F9-E9E6F7B2727A}" name="Column8984"/>
    <tableColumn id="8999" xr3:uid="{B1EAC40B-387A-4693-8D35-40492A18AED1}" name="Column8985"/>
    <tableColumn id="9000" xr3:uid="{05024F3D-C125-45E9-8475-98D7B1FDCCF4}" name="Column8986"/>
    <tableColumn id="9001" xr3:uid="{0877604A-6DB9-4789-BC64-6861B5EE1BA4}" name="Column8987"/>
    <tableColumn id="9002" xr3:uid="{DFC631A8-FFDD-44C9-A103-5EC56DE9BAB8}" name="Column8988"/>
    <tableColumn id="9003" xr3:uid="{244CEDB6-E75E-4592-8904-D8DEB2FCD826}" name="Column8989"/>
    <tableColumn id="9004" xr3:uid="{9A9BA6E3-E041-4652-973A-6FDABDF6D3CB}" name="Column8990"/>
    <tableColumn id="9005" xr3:uid="{CC47FED6-EE83-4DF0-AAA1-CECD2E349C3D}" name="Column8991"/>
    <tableColumn id="9006" xr3:uid="{7BF70559-5D66-43AA-B284-6084CB7E7AC2}" name="Column8992"/>
    <tableColumn id="9007" xr3:uid="{1E903402-1FA1-453A-AA67-A10FF82F7AA7}" name="Column8993"/>
    <tableColumn id="9008" xr3:uid="{7658EB0E-AA13-499B-A8E1-DBF8244EB510}" name="Column8994"/>
    <tableColumn id="9009" xr3:uid="{572C484E-D3F1-47EC-B80C-43BA2FDDB7DF}" name="Column8995"/>
    <tableColumn id="9010" xr3:uid="{9DF6165A-5FCC-4DC8-BBFF-486881A2E518}" name="Column8996"/>
    <tableColumn id="9011" xr3:uid="{E1CFA30A-06BE-410E-9512-A9D0367C8E94}" name="Column8997"/>
    <tableColumn id="9012" xr3:uid="{70430E5B-6100-448B-AEEC-9ECAF575DD40}" name="Column8998"/>
    <tableColumn id="9013" xr3:uid="{30054029-7C35-4C64-BE7D-BEEC581F06D6}" name="Column8999"/>
    <tableColumn id="9014" xr3:uid="{28AD3E40-0FB5-4226-8B76-3D7898B77243}" name="Column9000"/>
    <tableColumn id="9015" xr3:uid="{A94BF4E9-F189-4152-A2DC-3221EFC661A3}" name="Column9001"/>
    <tableColumn id="9016" xr3:uid="{A6873114-549F-4E33-B582-B31668879F88}" name="Column9002"/>
    <tableColumn id="9017" xr3:uid="{C3FBE07E-0F40-4D80-A8B3-203B4A69E445}" name="Column9003"/>
    <tableColumn id="9018" xr3:uid="{51031311-A723-410E-9A10-9689BFCB7D2D}" name="Column9004"/>
    <tableColumn id="9019" xr3:uid="{D650ADCC-8F39-4F90-9BAB-03EBF97FEF40}" name="Column9005"/>
    <tableColumn id="9020" xr3:uid="{C5228732-F0DE-4699-B778-FA91F2041FC1}" name="Column9006"/>
    <tableColumn id="9021" xr3:uid="{1719D1E3-8499-42EC-B3F2-054BE335B1ED}" name="Column9007"/>
    <tableColumn id="9022" xr3:uid="{1706BDDF-8A67-4DBB-9527-9BE36C998AF7}" name="Column9008"/>
    <tableColumn id="9023" xr3:uid="{2C6056C9-63C5-4E35-8731-AA8CB276BF8D}" name="Column9009"/>
    <tableColumn id="9024" xr3:uid="{6EDD076D-9A62-438E-BFB1-545589DA3249}" name="Column9010"/>
    <tableColumn id="9025" xr3:uid="{F7B0F42C-3E8F-4F29-AC4C-C202CB99C4BA}" name="Column9011"/>
    <tableColumn id="9026" xr3:uid="{178DDEBA-05C0-4349-A5A8-99F5DCECBC59}" name="Column9012"/>
    <tableColumn id="9027" xr3:uid="{2857AD14-BA76-4048-8E40-ADEF6CF810F5}" name="Column9013"/>
    <tableColumn id="9028" xr3:uid="{323F0D37-DC85-4AD0-BEB2-D82938CE3918}" name="Column9014"/>
    <tableColumn id="9029" xr3:uid="{113D5F45-6D6D-4EA7-8862-9B5449FC5A31}" name="Column9015"/>
    <tableColumn id="9030" xr3:uid="{E948F113-415E-4709-8FB4-14EF88D39F1F}" name="Column9016"/>
    <tableColumn id="9031" xr3:uid="{0FF2425B-AC40-4777-8858-C0CC347097AE}" name="Column9017"/>
    <tableColumn id="9032" xr3:uid="{5495DA5F-D7B5-4416-858E-C9B66F0CE058}" name="Column9018"/>
    <tableColumn id="9033" xr3:uid="{F83BDB1A-5815-4B3D-899E-02CFD440FC90}" name="Column9019"/>
    <tableColumn id="9034" xr3:uid="{F10EE3CA-D12C-4AF6-9A87-D8C6BE711713}" name="Column9020"/>
    <tableColumn id="9035" xr3:uid="{33E4D182-45B2-4CFE-974B-D58EAB2498B9}" name="Column9021"/>
    <tableColumn id="9036" xr3:uid="{72900C86-EDF4-4F85-ADE4-98CB0F098699}" name="Column9022"/>
    <tableColumn id="9037" xr3:uid="{30D38EF3-7DA6-4E44-ACE4-F62290E34347}" name="Column9023"/>
    <tableColumn id="9038" xr3:uid="{D219ACBB-5BA8-4FB4-8F56-67A5A1518D37}" name="Column9024"/>
    <tableColumn id="9039" xr3:uid="{52D0C23A-D31D-431A-9866-630ED691D731}" name="Column9025"/>
    <tableColumn id="9040" xr3:uid="{A23A5DB9-C859-4E7A-9D3B-A026368B2766}" name="Column9026"/>
    <tableColumn id="9041" xr3:uid="{3B6600D3-799A-48A3-8ED1-021C4736E9CB}" name="Column9027"/>
    <tableColumn id="9042" xr3:uid="{81CFF536-D0D7-4E5A-9CE0-3CA432D77F69}" name="Column9028"/>
    <tableColumn id="9043" xr3:uid="{C56AE272-35E5-4E49-AF14-FB197957AC1B}" name="Column9029"/>
    <tableColumn id="9044" xr3:uid="{E8FE9167-A762-4FEB-AA15-DBAA7C556357}" name="Column9030"/>
    <tableColumn id="9045" xr3:uid="{E22FC131-1FDF-4D55-87E9-1CD9E5BDE518}" name="Column9031"/>
    <tableColumn id="9046" xr3:uid="{2E23AACC-6D63-45E6-8DD5-26210C18B891}" name="Column9032"/>
    <tableColumn id="9047" xr3:uid="{BB41304D-EACB-4BAE-81C1-CB6D45606582}" name="Column9033"/>
    <tableColumn id="9048" xr3:uid="{A7D537C9-F5D0-4E79-AAFA-1597D8265922}" name="Column9034"/>
    <tableColumn id="9049" xr3:uid="{762C2C5E-8D07-4D38-B115-6315AE27098B}" name="Column9035"/>
    <tableColumn id="9050" xr3:uid="{C0E2253D-4321-4F18-AF0B-ABA03ADAC001}" name="Column9036"/>
    <tableColumn id="9051" xr3:uid="{2418146B-B531-4A7B-B195-5F13F2778A6B}" name="Column9037"/>
    <tableColumn id="9052" xr3:uid="{0C2A38AC-0700-4869-BB4D-C951980C4841}" name="Column9038"/>
    <tableColumn id="9053" xr3:uid="{C8478D1D-A724-4439-B451-662E917E9419}" name="Column9039"/>
    <tableColumn id="9054" xr3:uid="{84017E94-75CD-4EFC-8EF2-87722FF7726F}" name="Column9040"/>
    <tableColumn id="9055" xr3:uid="{B69BBB62-6FA6-4616-95D0-5E10FC0B4413}" name="Column9041"/>
    <tableColumn id="9056" xr3:uid="{9B1D2B18-5294-422B-B9B3-BEC01763F74D}" name="Column9042"/>
    <tableColumn id="9057" xr3:uid="{A605676A-33B0-4432-8E64-9C62E9143EFA}" name="Column9043"/>
    <tableColumn id="9058" xr3:uid="{EA6A42DE-42AD-4541-A1BE-DB6E619F9261}" name="Column9044"/>
    <tableColumn id="9059" xr3:uid="{044ECB87-DE5F-4C06-9236-5427954BD272}" name="Column9045"/>
    <tableColumn id="9060" xr3:uid="{B2F82AED-2DA2-48C1-A7BC-74200B75EAFF}" name="Column9046"/>
    <tableColumn id="9061" xr3:uid="{A4521576-5B8E-41D9-8444-712002E3ADB8}" name="Column9047"/>
    <tableColumn id="9062" xr3:uid="{C82E2F33-F75B-46A9-9834-978FB2E8102A}" name="Column9048"/>
    <tableColumn id="9063" xr3:uid="{73ABE96F-1502-4893-83DC-89927BA7184D}" name="Column9049"/>
    <tableColumn id="9064" xr3:uid="{FFEE0467-A258-4306-AE2A-C2404C4CE4F5}" name="Column9050"/>
    <tableColumn id="9065" xr3:uid="{EA81933D-63A5-4FF0-A696-EE5673B0DE6F}" name="Column9051"/>
    <tableColumn id="9066" xr3:uid="{FD5DAD90-D536-47B8-935C-DC9FB483CE69}" name="Column9052"/>
    <tableColumn id="9067" xr3:uid="{9D9123BF-F183-4DFC-AA67-50107AACF69B}" name="Column9053"/>
    <tableColumn id="9068" xr3:uid="{5F66305A-E72A-4EBE-A2FE-2B23F4DEA04C}" name="Column9054"/>
    <tableColumn id="9069" xr3:uid="{2D6CCA4D-BA50-42D0-BE91-77C8384EDEE9}" name="Column9055"/>
    <tableColumn id="9070" xr3:uid="{07C62185-7D20-4CD7-81FA-D91B45DA7724}" name="Column9056"/>
    <tableColumn id="9071" xr3:uid="{3724815E-BF24-401F-91CB-F5891FCF4C8B}" name="Column9057"/>
    <tableColumn id="9072" xr3:uid="{874E16BF-E8D2-43AC-901C-977A781E1E38}" name="Column9058"/>
    <tableColumn id="9073" xr3:uid="{A80BF538-3A59-4DF8-AAF8-C2AD5A3B81AE}" name="Column9059"/>
    <tableColumn id="9074" xr3:uid="{3F14E1E8-3D60-44F8-9B57-0CDDC9D735FC}" name="Column9060"/>
    <tableColumn id="9075" xr3:uid="{5E140DC0-A6B1-4903-8193-7327545B6642}" name="Column9061"/>
    <tableColumn id="9076" xr3:uid="{E91C0812-49B3-41A1-98E9-5D98D5CDD379}" name="Column9062"/>
    <tableColumn id="9077" xr3:uid="{AC416A26-EDB7-40E2-9F4E-020023119EA1}" name="Column9063"/>
    <tableColumn id="9078" xr3:uid="{A5E7A013-7538-422E-85AD-D9D23D70AF5C}" name="Column9064"/>
    <tableColumn id="9079" xr3:uid="{0909E13B-8909-46AE-814B-8AC7074C04A5}" name="Column9065"/>
    <tableColumn id="9080" xr3:uid="{49B4103B-5238-4B20-90FB-96837829413E}" name="Column9066"/>
    <tableColumn id="9081" xr3:uid="{00F40A70-8CE3-4871-8E43-4FD47AE1383C}" name="Column9067"/>
    <tableColumn id="9082" xr3:uid="{670AA20F-0F03-444C-92BA-3CFEF5BEAE5E}" name="Column9068"/>
    <tableColumn id="9083" xr3:uid="{9979D014-68E6-4087-91CA-8295B1F5CB3D}" name="Column9069"/>
    <tableColumn id="9084" xr3:uid="{0BD7E6F7-B014-426C-B35A-EF1EBE436414}" name="Column9070"/>
    <tableColumn id="9085" xr3:uid="{D72D34A5-8140-40B3-B028-7E62554A6F41}" name="Column9071"/>
    <tableColumn id="9086" xr3:uid="{FFE63C5F-EE74-419E-932F-313E5CBF7DA6}" name="Column9072"/>
    <tableColumn id="9087" xr3:uid="{17E12027-CDB1-42BC-82C4-7E3F6DA0665E}" name="Column9073"/>
    <tableColumn id="9088" xr3:uid="{BFEDF38F-69D9-405B-94FE-88F1F58E0F36}" name="Column9074"/>
    <tableColumn id="9089" xr3:uid="{F09A7195-F6EC-4BA9-925C-588F7AD60E42}" name="Column9075"/>
    <tableColumn id="9090" xr3:uid="{7A6D2765-75AB-425D-BCDA-09846405FA58}" name="Column9076"/>
    <tableColumn id="9091" xr3:uid="{3FC4600A-D0AB-44A2-BEDF-BCE49EBE7681}" name="Column9077"/>
    <tableColumn id="9092" xr3:uid="{4DC5A44F-5333-4139-9EA7-5967FD85B72B}" name="Column9078"/>
    <tableColumn id="9093" xr3:uid="{F3D831E6-30A0-4AA0-B9B9-A434C35B4108}" name="Column9079"/>
    <tableColumn id="9094" xr3:uid="{6D7AD86F-395F-4E4A-9E69-B06A5EC45DBB}" name="Column9080"/>
    <tableColumn id="9095" xr3:uid="{BCC9C774-E9A1-4CE2-8198-4C03F0531F1E}" name="Column9081"/>
    <tableColumn id="9096" xr3:uid="{E2E76827-0D01-4464-BE00-9DB6E48D4938}" name="Column9082"/>
    <tableColumn id="9097" xr3:uid="{8C45F602-3BC7-42E2-9120-48B5A1760233}" name="Column9083"/>
    <tableColumn id="9098" xr3:uid="{699915EA-13B9-4DE1-8715-B3BA384D4062}" name="Column9084"/>
    <tableColumn id="9099" xr3:uid="{88766B40-5A97-4980-8B3B-9F9286CF3872}" name="Column9085"/>
    <tableColumn id="9100" xr3:uid="{A9DA6EFA-1BFA-4150-8A75-C4AF46BB3511}" name="Column9086"/>
    <tableColumn id="9101" xr3:uid="{236AE21D-7E73-47B2-8D06-E682C12997A1}" name="Column9087"/>
    <tableColumn id="9102" xr3:uid="{BA4569F6-3C01-4CB2-AED8-56F309C8941D}" name="Column9088"/>
    <tableColumn id="9103" xr3:uid="{C55DBE71-AEF4-47F5-A201-94ADE79ED49F}" name="Column9089"/>
    <tableColumn id="9104" xr3:uid="{E008E8D3-38A7-4BF7-A911-99D385EC8E54}" name="Column9090"/>
    <tableColumn id="9105" xr3:uid="{94064542-A435-472F-877A-4130A1CA392B}" name="Column9091"/>
    <tableColumn id="9106" xr3:uid="{E25A8606-951A-4CB7-BD03-CB90092C94B8}" name="Column9092"/>
    <tableColumn id="9107" xr3:uid="{ABC50047-0F82-455F-98CB-D25DAF95C8DE}" name="Column9093"/>
    <tableColumn id="9108" xr3:uid="{8381650D-BE7A-432D-BD6F-EABA05A7B8DB}" name="Column9094"/>
    <tableColumn id="9109" xr3:uid="{5EF2D89D-741C-463E-A89D-59C45A10663C}" name="Column9095"/>
    <tableColumn id="9110" xr3:uid="{6CADFA31-C383-4134-B85F-B167E8F1AFD3}" name="Column9096"/>
    <tableColumn id="9111" xr3:uid="{65E05A2A-75F8-4AA4-A300-92CF486F12E6}" name="Column9097"/>
    <tableColumn id="9112" xr3:uid="{D07B9157-6613-4B0D-927A-400E63074723}" name="Column9098"/>
    <tableColumn id="9113" xr3:uid="{233B4EA7-C860-45CF-91A0-6DB7A2C90404}" name="Column9099"/>
    <tableColumn id="9114" xr3:uid="{74691DF4-0833-4F64-877E-3E650C13BEE4}" name="Column9100"/>
    <tableColumn id="9115" xr3:uid="{E3650334-B4C3-4500-A872-90218A871A9E}" name="Column9101"/>
    <tableColumn id="9116" xr3:uid="{2AB0DCA0-E6D4-4E18-8BCE-21910E0FEDB4}" name="Column9102"/>
    <tableColumn id="9117" xr3:uid="{582346A9-85A4-4606-89CD-FE60192DCC6E}" name="Column9103"/>
    <tableColumn id="9118" xr3:uid="{D302006B-96E6-4385-8912-CAA364D149A8}" name="Column9104"/>
    <tableColumn id="9119" xr3:uid="{D526B464-984C-48D8-BF4F-1AFA63E6814B}" name="Column9105"/>
    <tableColumn id="9120" xr3:uid="{A692E94D-6BE4-44CC-AF71-9FDDB8A51529}" name="Column9106"/>
    <tableColumn id="9121" xr3:uid="{1FA61D90-12A3-413E-8029-1A78A470BB86}" name="Column9107"/>
    <tableColumn id="9122" xr3:uid="{B9A1A2D8-2903-4F78-8225-7B6362310541}" name="Column9108"/>
    <tableColumn id="9123" xr3:uid="{B52470AE-CBF7-4373-846E-8F69CBB2265C}" name="Column9109"/>
    <tableColumn id="9124" xr3:uid="{A3F504AB-0DF1-44EF-81FC-61C48BC1D46E}" name="Column9110"/>
    <tableColumn id="9125" xr3:uid="{30A18D23-506D-4D14-A64D-B20FB51E6841}" name="Column9111"/>
    <tableColumn id="9126" xr3:uid="{11E728AC-9C07-4470-90B2-A3E905739E17}" name="Column9112"/>
    <tableColumn id="9127" xr3:uid="{50256809-7A90-4977-B09C-537293349572}" name="Column9113"/>
    <tableColumn id="9128" xr3:uid="{3019A338-7EED-4745-8E2A-60A61A54EEB3}" name="Column9114"/>
    <tableColumn id="9129" xr3:uid="{51B38367-374C-4949-8D9D-4122D5562D11}" name="Column9115"/>
    <tableColumn id="9130" xr3:uid="{02DF364A-0A2B-4C8A-A284-D3262DA25673}" name="Column9116"/>
    <tableColumn id="9131" xr3:uid="{572F56BD-51B5-47AF-BADF-85AB9B526B09}" name="Column9117"/>
    <tableColumn id="9132" xr3:uid="{05E5EA22-5C20-40A8-B6F0-9A32FF270DDB}" name="Column9118"/>
    <tableColumn id="9133" xr3:uid="{54D75F4C-9E15-431D-BD69-0E2E81FFB4C8}" name="Column9119"/>
    <tableColumn id="9134" xr3:uid="{CEA0E7C4-4D62-4BAF-89D7-A64B31133383}" name="Column9120"/>
    <tableColumn id="9135" xr3:uid="{45018110-28C2-4C12-9BD3-E9EC1957271B}" name="Column9121"/>
    <tableColumn id="9136" xr3:uid="{A8E737AB-7796-4908-9590-FB9FB5CAC2E4}" name="Column9122"/>
    <tableColumn id="9137" xr3:uid="{F05A43D7-4831-41C6-B2F4-3CD489F15F22}" name="Column9123"/>
    <tableColumn id="9138" xr3:uid="{26C7A197-FAA9-41AD-BD37-CEC8A77FF0F7}" name="Column9124"/>
    <tableColumn id="9139" xr3:uid="{22F30744-AFDB-46F5-8F61-80D59CED126C}" name="Column9125"/>
    <tableColumn id="9140" xr3:uid="{02FFD4EA-5622-458D-BE39-59C7115C7EF8}" name="Column9126"/>
    <tableColumn id="9141" xr3:uid="{0646DB50-C0EA-476F-AFEE-1B4381D819C6}" name="Column9127"/>
    <tableColumn id="9142" xr3:uid="{2CC8D5BE-9FDC-4E30-BBB5-66478C6F8DBA}" name="Column9128"/>
    <tableColumn id="9143" xr3:uid="{5AFD9672-80C5-4B93-A9EF-780770120728}" name="Column9129"/>
    <tableColumn id="9144" xr3:uid="{A4F79C3E-D03D-4E8B-BF95-C99B4FE33BC9}" name="Column9130"/>
    <tableColumn id="9145" xr3:uid="{8739B867-A9DD-48E6-8591-28EA7A6126B4}" name="Column9131"/>
    <tableColumn id="9146" xr3:uid="{82E5DA22-1EFF-47B9-AC65-EE2F687E20A3}" name="Column9132"/>
    <tableColumn id="9147" xr3:uid="{C33D70B7-C2C6-4557-96F2-84C843808E6D}" name="Column9133"/>
    <tableColumn id="9148" xr3:uid="{602CEDD2-5AA1-47CE-9919-7A99683CCF6A}" name="Column9134"/>
    <tableColumn id="9149" xr3:uid="{FB3013E1-125C-487E-B663-EE25AF9393E3}" name="Column9135"/>
    <tableColumn id="9150" xr3:uid="{20A599AA-DF9D-45FE-8368-F6C785621FEA}" name="Column9136"/>
    <tableColumn id="9151" xr3:uid="{98AD73F0-9B5B-495D-8E0E-57F659AB95F7}" name="Column9137"/>
    <tableColumn id="9152" xr3:uid="{06FB3925-696F-4798-B0B3-3C7C12543C22}" name="Column9138"/>
    <tableColumn id="9153" xr3:uid="{F3CA7E23-0DFD-4745-81A6-270AA7AEF026}" name="Column9139"/>
    <tableColumn id="9154" xr3:uid="{567E426B-C8AA-4759-BB8C-612980412B15}" name="Column9140"/>
    <tableColumn id="9155" xr3:uid="{D7E4ED9B-F905-4D4A-93FF-44FD2F354292}" name="Column9141"/>
    <tableColumn id="9156" xr3:uid="{941629D7-25C2-45ED-B6C3-5588F9E0F507}" name="Column9142"/>
    <tableColumn id="9157" xr3:uid="{5A75733E-100F-4A8A-98E0-4747C3A89CEE}" name="Column9143"/>
    <tableColumn id="9158" xr3:uid="{4527A64F-CB67-42E9-8E02-F31BD877954D}" name="Column9144"/>
    <tableColumn id="9159" xr3:uid="{BB9468E8-000E-4F94-9AD4-B9C1504934E3}" name="Column9145"/>
    <tableColumn id="9160" xr3:uid="{D9AC941A-6B63-4FF2-BE4A-70F6E915C1E9}" name="Column9146"/>
    <tableColumn id="9161" xr3:uid="{43DF8FB2-8E4F-49A6-A601-E1AFDBFCE364}" name="Column9147"/>
    <tableColumn id="9162" xr3:uid="{E066BC6A-1BA1-4A39-8104-8FB14DB0A7C6}" name="Column9148"/>
    <tableColumn id="9163" xr3:uid="{8D0A7D52-5BD8-433C-BD17-A3C48A714318}" name="Column9149"/>
    <tableColumn id="9164" xr3:uid="{417D61A7-000A-4D83-B219-69433184AFCC}" name="Column9150"/>
    <tableColumn id="9165" xr3:uid="{EC97C4E9-1C4B-48F6-83CF-9DA8C6B2A86C}" name="Column9151"/>
    <tableColumn id="9166" xr3:uid="{DF7AB228-51B2-4388-9832-68DCE96968A3}" name="Column9152"/>
    <tableColumn id="9167" xr3:uid="{94661C4C-6F0E-4851-B1A0-7A05DCD92F42}" name="Column9153"/>
    <tableColumn id="9168" xr3:uid="{F9F7AE89-0E8F-41A0-A892-ABD210171EA3}" name="Column9154"/>
    <tableColumn id="9169" xr3:uid="{4EC7C0CB-03B0-48C6-A84E-EE557310F0A9}" name="Column9155"/>
    <tableColumn id="9170" xr3:uid="{AE257415-B2A4-4A5B-AF60-A336DD5EB345}" name="Column9156"/>
    <tableColumn id="9171" xr3:uid="{3970235C-2DA9-4C33-B120-8667A561DA97}" name="Column9157"/>
    <tableColumn id="9172" xr3:uid="{7561D7D9-98BB-47BE-A47A-DF54AEDCAC7D}" name="Column9158"/>
    <tableColumn id="9173" xr3:uid="{47B63265-EAC5-4B7C-86E6-DCF2BA2E2571}" name="Column9159"/>
    <tableColumn id="9174" xr3:uid="{7841FCF0-A320-4E29-BAF5-AD5AC0D10FB9}" name="Column9160"/>
    <tableColumn id="9175" xr3:uid="{8CE070CC-F9BF-4E45-8DFC-3E3AD5DB9F93}" name="Column9161"/>
    <tableColumn id="9176" xr3:uid="{10B3DB3C-FE27-431D-AEBC-A8B935D25E22}" name="Column9162"/>
    <tableColumn id="9177" xr3:uid="{FA6550DB-855C-4926-9EA0-688DE70104E1}" name="Column9163"/>
    <tableColumn id="9178" xr3:uid="{098C3840-C80B-45D7-8EFB-8A8ADF63B21A}" name="Column9164"/>
    <tableColumn id="9179" xr3:uid="{16BF9A0D-B5CE-437E-B27A-09631414B42B}" name="Column9165"/>
    <tableColumn id="9180" xr3:uid="{24499016-C057-479F-A201-52D90F6CFDCC}" name="Column9166"/>
    <tableColumn id="9181" xr3:uid="{1E03263D-8523-493A-AAEB-07250CD145B6}" name="Column9167"/>
    <tableColumn id="9182" xr3:uid="{A730D3BA-BB19-43FB-B837-2755B9842B62}" name="Column9168"/>
    <tableColumn id="9183" xr3:uid="{389DF569-6485-4EAC-B477-CAB8A6A80DA3}" name="Column9169"/>
    <tableColumn id="9184" xr3:uid="{852B8C63-6395-4384-9C3A-C24A903AB0DD}" name="Column9170"/>
    <tableColumn id="9185" xr3:uid="{5467B069-1640-4204-BF3B-F0B066F82C9D}" name="Column9171"/>
    <tableColumn id="9186" xr3:uid="{ED41EB9F-1C5A-4793-9F17-F3C533962914}" name="Column9172"/>
    <tableColumn id="9187" xr3:uid="{5F48BE39-9BC1-44FD-A6B0-E9476FF45580}" name="Column9173"/>
    <tableColumn id="9188" xr3:uid="{976CBDF5-6B41-43F8-A028-9264321CCB71}" name="Column9174"/>
    <tableColumn id="9189" xr3:uid="{A57208ED-A1E2-4F0F-A073-9179CF2C843A}" name="Column9175"/>
    <tableColumn id="9190" xr3:uid="{5147FDFA-38BF-4DEA-A2AA-D4D297A860AB}" name="Column9176"/>
    <tableColumn id="9191" xr3:uid="{3AA7B678-87AE-4D98-9C32-07D704FFC825}" name="Column9177"/>
    <tableColumn id="9192" xr3:uid="{7E33E5CB-D645-4A7C-8CCA-B17F9DD512DC}" name="Column9178"/>
    <tableColumn id="9193" xr3:uid="{975C9493-5F37-4113-936C-587776760116}" name="Column9179"/>
    <tableColumn id="9194" xr3:uid="{D0009D0D-995C-4B38-80FC-CD871ECD6871}" name="Column9180"/>
    <tableColumn id="9195" xr3:uid="{77C932E2-5A36-4A2F-A599-B509178ED3B4}" name="Column9181"/>
    <tableColumn id="9196" xr3:uid="{73584C7C-5AE9-4CBC-8CAF-6B37FACA8500}" name="Column9182"/>
    <tableColumn id="9197" xr3:uid="{A7B97E95-DCD4-417D-A1D3-655F212865B8}" name="Column9183"/>
    <tableColumn id="9198" xr3:uid="{5DE1BFB7-343D-4259-BCFD-D254E176BE08}" name="Column9184"/>
    <tableColumn id="9199" xr3:uid="{6D9A756D-D01F-4F26-A5ED-8FE88A58C725}" name="Column9185"/>
    <tableColumn id="9200" xr3:uid="{56F162CE-E26C-4719-805D-068387869DB6}" name="Column9186"/>
    <tableColumn id="9201" xr3:uid="{33083C20-E02F-4F20-B9B9-87F821228F26}" name="Column9187"/>
    <tableColumn id="9202" xr3:uid="{1CED30C8-15EB-451B-B9D8-A916BA7D37E0}" name="Column9188"/>
    <tableColumn id="9203" xr3:uid="{DAEF08C9-88CB-413B-894E-26B2F27F06F3}" name="Column9189"/>
    <tableColumn id="9204" xr3:uid="{D963746E-683F-4DB1-A4D8-2222EE002CA0}" name="Column9190"/>
    <tableColumn id="9205" xr3:uid="{0C117B3D-C501-41AC-A1A4-8E110CFB500E}" name="Column9191"/>
    <tableColumn id="9206" xr3:uid="{B32796E9-1E8E-4C98-9E8D-24AD7729A4C5}" name="Column9192"/>
    <tableColumn id="9207" xr3:uid="{A40C31C9-C4F2-4389-9DCD-AF6A3EF03CA6}" name="Column9193"/>
    <tableColumn id="9208" xr3:uid="{4F75A917-D952-420C-9570-C55472463A5A}" name="Column9194"/>
    <tableColumn id="9209" xr3:uid="{A3333EFD-4CD5-45EA-821F-84DD9A526E69}" name="Column9195"/>
    <tableColumn id="9210" xr3:uid="{55EEFC6B-CE3E-4A46-94B4-7A23FFD3C8D1}" name="Column9196"/>
    <tableColumn id="9211" xr3:uid="{7FDB29BF-154D-4766-9D7B-E59079856661}" name="Column9197"/>
    <tableColumn id="9212" xr3:uid="{60719A30-E65E-4FB3-89BC-12A88D003730}" name="Column9198"/>
    <tableColumn id="9213" xr3:uid="{F736BBD9-095D-4670-8B05-EF511A4DA2B0}" name="Column9199"/>
    <tableColumn id="9214" xr3:uid="{2DEB40DB-A018-460B-AE08-E93F0EE53DAD}" name="Column9200"/>
    <tableColumn id="9215" xr3:uid="{43D14B8D-E0B1-441D-B6ED-6A90967DA0AB}" name="Column9201"/>
    <tableColumn id="9216" xr3:uid="{97E77CD8-E76A-4839-BCCD-41D695671223}" name="Column9202"/>
    <tableColumn id="9217" xr3:uid="{28043561-25FD-40CA-B70C-0198401E695E}" name="Column9203"/>
    <tableColumn id="9218" xr3:uid="{5CEE70DB-A63E-4F5A-866B-E94F76474692}" name="Column9204"/>
    <tableColumn id="9219" xr3:uid="{72A70671-7C13-42F7-A9DF-B597A287C250}" name="Column9205"/>
    <tableColumn id="9220" xr3:uid="{49969D53-0DF2-47D1-9FB1-6B4DC14775AC}" name="Column9206"/>
    <tableColumn id="9221" xr3:uid="{7CCE1AA0-7C7F-48E5-B0E8-E6F563F51ACE}" name="Column9207"/>
    <tableColumn id="9222" xr3:uid="{E185A6B2-3459-48BA-8388-6FED167D04DA}" name="Column9208"/>
    <tableColumn id="9223" xr3:uid="{4035398F-F76E-4965-931D-4CB5D2C68DED}" name="Column9209"/>
    <tableColumn id="9224" xr3:uid="{8C8C2E71-41F3-4B48-B84B-AA7C1E539180}" name="Column9210"/>
    <tableColumn id="9225" xr3:uid="{29FCBD0F-D466-425A-BAE7-78E3F4CA7CD0}" name="Column9211"/>
    <tableColumn id="9226" xr3:uid="{1FA9A734-9D08-4F42-8272-806A8B2EE11A}" name="Column9212"/>
    <tableColumn id="9227" xr3:uid="{77DDCF01-FEE1-4EB6-AF1A-CFF0580502E8}" name="Column9213"/>
    <tableColumn id="9228" xr3:uid="{021E8B2B-8A2B-4F51-A83D-18785C71408E}" name="Column9214"/>
    <tableColumn id="9229" xr3:uid="{C491873C-6A4B-4B61-9305-97E53A1E77D3}" name="Column9215"/>
    <tableColumn id="9230" xr3:uid="{68A6C6AA-AADA-4603-9FF8-7FAE6BCA0992}" name="Column9216"/>
    <tableColumn id="9231" xr3:uid="{7AFC0D34-C75F-42A2-A749-DB5D3FC4E4FC}" name="Column9217"/>
    <tableColumn id="9232" xr3:uid="{63621C2A-D3A9-4626-878D-A272E895C408}" name="Column9218"/>
    <tableColumn id="9233" xr3:uid="{633BBA6B-CA43-45C2-895F-11507994BE0D}" name="Column9219"/>
    <tableColumn id="9234" xr3:uid="{C9DFDB34-45D7-48BB-A735-8B292D32AEEA}" name="Column9220"/>
    <tableColumn id="9235" xr3:uid="{D52189B8-95DE-443C-97BC-58896147FE53}" name="Column9221"/>
    <tableColumn id="9236" xr3:uid="{CA00C29F-7DF7-4B69-890A-DEF7F0EE770C}" name="Column9222"/>
    <tableColumn id="9237" xr3:uid="{E98E0E76-356D-4086-8D64-9B7A026A1613}" name="Column9223"/>
    <tableColumn id="9238" xr3:uid="{BF7278DE-5713-43A4-8932-428152E2F72E}" name="Column9224"/>
    <tableColumn id="9239" xr3:uid="{AB9AF36C-9627-4324-BE8A-AF4165DEE711}" name="Column9225"/>
    <tableColumn id="9240" xr3:uid="{2B4E59B7-B902-4971-9C92-9AA8E6F7B132}" name="Column9226"/>
    <tableColumn id="9241" xr3:uid="{4EB462EF-D610-46CF-9C12-7DA7560AF931}" name="Column9227"/>
    <tableColumn id="9242" xr3:uid="{28786F7F-1EE8-459B-8D04-38E9F945DBBA}" name="Column9228"/>
    <tableColumn id="9243" xr3:uid="{1418583E-82B7-4FFD-8FA8-5489172C8EFB}" name="Column9229"/>
    <tableColumn id="9244" xr3:uid="{A67D1FF4-23E0-4E6D-BF1D-A301DE874653}" name="Column9230"/>
    <tableColumn id="9245" xr3:uid="{351D7F36-8351-4175-95EC-5919119084B9}" name="Column9231"/>
    <tableColumn id="9246" xr3:uid="{B8D671C5-488E-4CC2-A844-2AADC97F4B7C}" name="Column9232"/>
    <tableColumn id="9247" xr3:uid="{A80C32F9-486D-4137-95B1-5634A6A00BE1}" name="Column9233"/>
    <tableColumn id="9248" xr3:uid="{98AF8914-D43B-4201-B68D-E6F1D7A2F096}" name="Column9234"/>
    <tableColumn id="9249" xr3:uid="{90B1F9F7-6554-4D76-987F-34BD058BF399}" name="Column9235"/>
    <tableColumn id="9250" xr3:uid="{38A268AA-6725-4AFC-8360-3D9590C4FDC5}" name="Column9236"/>
    <tableColumn id="9251" xr3:uid="{46AD618C-4CD6-47A8-A67F-EBAD8F63EAF8}" name="Column9237"/>
    <tableColumn id="9252" xr3:uid="{493D62EA-3639-4E9C-89FF-24900BD8551F}" name="Column9238"/>
    <tableColumn id="9253" xr3:uid="{86348BEB-EA16-42EB-AC00-B2DFA47D0EFA}" name="Column9239"/>
    <tableColumn id="9254" xr3:uid="{35813BA9-B7F3-4BFD-AAFE-2DC5BF660AAD}" name="Column9240"/>
    <tableColumn id="9255" xr3:uid="{69FA8328-ACBC-44D4-9FB6-4C84597BBCDE}" name="Column9241"/>
    <tableColumn id="9256" xr3:uid="{89ED6D36-F259-4C24-AE30-8FA6B2A30EE7}" name="Column9242"/>
    <tableColumn id="9257" xr3:uid="{8E454600-7989-41E3-953C-F5DF4AFAD902}" name="Column9243"/>
    <tableColumn id="9258" xr3:uid="{07BCE870-2942-40B7-8304-64D1AA620AEC}" name="Column9244"/>
    <tableColumn id="9259" xr3:uid="{B32A8A22-3E77-42ED-A33E-A7782F5F2E30}" name="Column9245"/>
    <tableColumn id="9260" xr3:uid="{D09CFDA7-03D5-4EC7-B2D3-7364DDCA2F29}" name="Column9246"/>
    <tableColumn id="9261" xr3:uid="{3FC1BADF-D264-46C7-95B3-8543D15C0D1E}" name="Column9247"/>
    <tableColumn id="9262" xr3:uid="{48727103-1B2A-46FF-A696-4D3AC99FC610}" name="Column9248"/>
    <tableColumn id="9263" xr3:uid="{91C65B74-6ED9-4C19-B06C-6F8C84A87DE7}" name="Column9249"/>
    <tableColumn id="9264" xr3:uid="{00FC8718-4E8E-4961-92C9-7535F158E5E9}" name="Column9250"/>
    <tableColumn id="9265" xr3:uid="{A57E4D25-D10E-413C-9A8A-191691656A90}" name="Column9251"/>
    <tableColumn id="9266" xr3:uid="{EE3831F0-AD9A-4AE1-90A4-95676356368C}" name="Column9252"/>
    <tableColumn id="9267" xr3:uid="{E94A6848-4ABF-4358-B6C6-009B4F927C75}" name="Column9253"/>
    <tableColumn id="9268" xr3:uid="{78282006-3B16-4646-8CA2-BF94DC0D2897}" name="Column9254"/>
    <tableColumn id="9269" xr3:uid="{F553A3AE-D95A-4168-939C-085F9352750A}" name="Column9255"/>
    <tableColumn id="9270" xr3:uid="{28C59111-F273-4593-B7E9-E1B6295F86DC}" name="Column9256"/>
    <tableColumn id="9271" xr3:uid="{08074369-3CA0-44B4-9820-56EBDA928452}" name="Column9257"/>
    <tableColumn id="9272" xr3:uid="{B2E4302A-46E7-460A-B780-E91C9F9922FA}" name="Column9258"/>
    <tableColumn id="9273" xr3:uid="{75A8E19B-74FB-4330-96E1-358C9BCD37CF}" name="Column9259"/>
    <tableColumn id="9274" xr3:uid="{E2665479-EEFB-4C3C-BCA4-26B188AC2137}" name="Column9260"/>
    <tableColumn id="9275" xr3:uid="{A768DF69-C7AE-49CB-935F-62D5FCA79008}" name="Column9261"/>
    <tableColumn id="9276" xr3:uid="{D0279990-B6C6-488F-B7D2-5CD72DEFE0ED}" name="Column9262"/>
    <tableColumn id="9277" xr3:uid="{7DEE00E0-1B36-4103-AAC1-89ACE10B213D}" name="Column9263"/>
    <tableColumn id="9278" xr3:uid="{68A51BEA-8178-4340-B4B9-C246DB1B65B4}" name="Column9264"/>
    <tableColumn id="9279" xr3:uid="{40D68E7C-7C25-4BF4-8493-A27CB9A11554}" name="Column9265"/>
    <tableColumn id="9280" xr3:uid="{6CF62A39-79BF-4D2A-9F49-09EC29CFF3CA}" name="Column9266"/>
    <tableColumn id="9281" xr3:uid="{858499F4-4403-4184-90DC-340B0CBACAE6}" name="Column9267"/>
    <tableColumn id="9282" xr3:uid="{B35505CD-ACB2-40BD-BE3E-28B5897F642D}" name="Column9268"/>
    <tableColumn id="9283" xr3:uid="{B581FBFA-845E-48C5-8402-01B076A83C1E}" name="Column9269"/>
    <tableColumn id="9284" xr3:uid="{F7B0C2A1-99C3-454C-82BA-89ABF3317FE0}" name="Column9270"/>
    <tableColumn id="9285" xr3:uid="{89FC0941-AFBF-4004-9097-A89EB4765E8C}" name="Column9271"/>
    <tableColumn id="9286" xr3:uid="{2DD8EB2D-25AB-47FF-928D-A2ED0E420D94}" name="Column9272"/>
    <tableColumn id="9287" xr3:uid="{275674D2-D29F-467F-ACAA-DAE01A8DCA56}" name="Column9273"/>
    <tableColumn id="9288" xr3:uid="{401FF0E4-C215-4C99-A2C2-5A23AC72C13A}" name="Column9274"/>
    <tableColumn id="9289" xr3:uid="{43C02865-7635-4F55-A9AD-10FB328C2ADF}" name="Column9275"/>
    <tableColumn id="9290" xr3:uid="{8953D94A-D413-425D-8E23-F53D6FA2C728}" name="Column9276"/>
    <tableColumn id="9291" xr3:uid="{F5BAD8A8-05A3-4CDA-B0C9-11D60E49B24A}" name="Column9277"/>
    <tableColumn id="9292" xr3:uid="{64DF0607-2EE2-4F69-BBCC-5CBC6D8610D2}" name="Column9278"/>
    <tableColumn id="9293" xr3:uid="{EAE80937-790D-4171-81C1-571571AB000B}" name="Column9279"/>
    <tableColumn id="9294" xr3:uid="{123DE875-9801-43BE-AD44-AE4BF45D23D4}" name="Column9280"/>
    <tableColumn id="9295" xr3:uid="{FF752E16-B078-424E-AFF6-DFC2A845CE50}" name="Column9281"/>
    <tableColumn id="9296" xr3:uid="{06648A35-522A-436B-8E17-E17882C12A08}" name="Column9282"/>
    <tableColumn id="9297" xr3:uid="{A535C54A-B27B-49D9-A60C-0D69E1769628}" name="Column9283"/>
    <tableColumn id="9298" xr3:uid="{8B193F1A-8E7B-4918-942F-751B9541827E}" name="Column9284"/>
    <tableColumn id="9299" xr3:uid="{4001407A-5A1D-4495-82ED-FDF81AA353C9}" name="Column9285"/>
    <tableColumn id="9300" xr3:uid="{287EC9ED-1A0A-468A-8A39-B1586EA48930}" name="Column9286"/>
    <tableColumn id="9301" xr3:uid="{B639F58A-BE56-4033-ABC4-FC5542EF3CF4}" name="Column9287"/>
    <tableColumn id="9302" xr3:uid="{B5F060DD-9E15-404F-929C-422C69773E34}" name="Column9288"/>
    <tableColumn id="9303" xr3:uid="{D9A288C7-75F4-4C52-9304-685EFF2AC40B}" name="Column9289"/>
    <tableColumn id="9304" xr3:uid="{67BFA0AD-59BB-4F57-9B31-728716CB4104}" name="Column9290"/>
    <tableColumn id="9305" xr3:uid="{04BA72F3-6560-4C83-A8CD-DF8975F9FAA8}" name="Column9291"/>
    <tableColumn id="9306" xr3:uid="{FE86D251-966A-4DF8-A27D-69E19917939D}" name="Column9292"/>
    <tableColumn id="9307" xr3:uid="{430926DA-B32F-4A2F-83F7-6C78796C4960}" name="Column9293"/>
    <tableColumn id="9308" xr3:uid="{E9345CF4-5F33-4C9E-AAF3-F65ED227001B}" name="Column9294"/>
    <tableColumn id="9309" xr3:uid="{AA26CF62-03D5-4D78-BF9E-45C490CE7FF0}" name="Column9295"/>
    <tableColumn id="9310" xr3:uid="{547F0F8B-D0A5-424E-B7AF-DCDD2B0373B7}" name="Column9296"/>
    <tableColumn id="9311" xr3:uid="{A6E94C23-A35C-4E22-9CCD-4E236FC358D5}" name="Column9297"/>
    <tableColumn id="9312" xr3:uid="{717B1E59-2445-4820-9E50-4835A607420A}" name="Column9298"/>
    <tableColumn id="9313" xr3:uid="{28852E94-CA85-46DB-B61B-A23FC3C65DAB}" name="Column9299"/>
    <tableColumn id="9314" xr3:uid="{0C20D230-B2E3-4677-95DF-8516B1195390}" name="Column9300"/>
    <tableColumn id="9315" xr3:uid="{85D91648-F744-49E5-8873-B39430DB3746}" name="Column9301"/>
    <tableColumn id="9316" xr3:uid="{41C8B674-17B7-42B3-8AD1-D7F732CB4659}" name="Column9302"/>
    <tableColumn id="9317" xr3:uid="{E4CD4311-6076-4D1E-A371-57BAE55EC965}" name="Column9303"/>
    <tableColumn id="9318" xr3:uid="{54D32AF0-A419-40A2-94C8-A13025D76303}" name="Column9304"/>
    <tableColumn id="9319" xr3:uid="{65D034C1-7F3E-403D-B2DC-F45C6B11F1ED}" name="Column9305"/>
    <tableColumn id="9320" xr3:uid="{992EE47E-F468-4023-B9A7-77F717A6F6BD}" name="Column9306"/>
    <tableColumn id="9321" xr3:uid="{89183FD4-74E2-427C-9C01-000027B8F6B1}" name="Column9307"/>
    <tableColumn id="9322" xr3:uid="{4834CF99-8C87-4905-90F7-BF05FBE9CDD7}" name="Column9308"/>
    <tableColumn id="9323" xr3:uid="{AB6098D6-883F-4E07-9F2A-6EAD66104949}" name="Column9309"/>
    <tableColumn id="9324" xr3:uid="{3622DB31-F5D1-4FBD-9F37-A2F6BF85B41D}" name="Column9310"/>
    <tableColumn id="9325" xr3:uid="{9B3D30E5-896D-438F-B847-2F94D3B30AFE}" name="Column9311"/>
    <tableColumn id="9326" xr3:uid="{3FC8D892-7E5D-4625-9B63-0768FD6F074E}" name="Column9312"/>
    <tableColumn id="9327" xr3:uid="{BCE06CA9-97A0-4E6E-9547-762E13A76C1C}" name="Column9313"/>
    <tableColumn id="9328" xr3:uid="{2EA78604-3736-4711-893A-E2A290B08814}" name="Column9314"/>
    <tableColumn id="9329" xr3:uid="{45D66797-905D-4728-A5FD-4297F3905779}" name="Column9315"/>
    <tableColumn id="9330" xr3:uid="{41B5DC0E-73E4-47CA-A848-1F237252900F}" name="Column9316"/>
    <tableColumn id="9331" xr3:uid="{5ECD8BEE-AEB2-4F55-B40C-402C44A42628}" name="Column9317"/>
    <tableColumn id="9332" xr3:uid="{600BB08C-FA73-4082-85B6-C641B12448CA}" name="Column9318"/>
    <tableColumn id="9333" xr3:uid="{72E21E98-F005-4DE5-BBD2-2F9CCD29CEA2}" name="Column9319"/>
    <tableColumn id="9334" xr3:uid="{52B6CCBA-9942-4B38-92A9-DB4377CAB213}" name="Column9320"/>
    <tableColumn id="9335" xr3:uid="{208E5864-AFA5-4DAB-9F97-D72FC2A46D0C}" name="Column9321"/>
    <tableColumn id="9336" xr3:uid="{77EE4B70-94E4-4F41-BDF4-33F16F8104E4}" name="Column9322"/>
    <tableColumn id="9337" xr3:uid="{66191F9D-F5FC-49DA-B1D4-1779C4A053D8}" name="Column9323"/>
    <tableColumn id="9338" xr3:uid="{931671CE-2EEE-4ACC-A2F5-6948C1A61270}" name="Column9324"/>
    <tableColumn id="9339" xr3:uid="{5DE3138B-B320-485A-BA0D-04CEEF37B570}" name="Column9325"/>
    <tableColumn id="9340" xr3:uid="{3C25E5E2-872F-497A-884E-44628B26ECD6}" name="Column9326"/>
    <tableColumn id="9341" xr3:uid="{695481CB-8447-4B10-8348-667A85BF0B45}" name="Column9327"/>
    <tableColumn id="9342" xr3:uid="{D7B5958C-4CAE-49F3-AACD-5DC69AAE85F5}" name="Column9328"/>
    <tableColumn id="9343" xr3:uid="{0F4C292C-8DDB-4526-8FED-33ED296BCE66}" name="Column9329"/>
    <tableColumn id="9344" xr3:uid="{7175A589-1F78-48B5-919A-84B3A953775D}" name="Column9330"/>
    <tableColumn id="9345" xr3:uid="{E4179CBE-FB67-49BB-95D8-8DAEC4AE9D35}" name="Column9331"/>
    <tableColumn id="9346" xr3:uid="{513DFD5B-39C7-474D-8C48-AE3C14CFE62E}" name="Column9332"/>
    <tableColumn id="9347" xr3:uid="{B68DA637-40FB-4F8A-AE06-47D0099708FF}" name="Column9333"/>
    <tableColumn id="9348" xr3:uid="{A12CF58B-0917-46BE-9085-134EB8D403E4}" name="Column9334"/>
    <tableColumn id="9349" xr3:uid="{76262F0F-2BA6-449D-93E2-58715CF74311}" name="Column9335"/>
    <tableColumn id="9350" xr3:uid="{59D675AE-A1D5-4C43-8891-391AF07BE573}" name="Column9336"/>
    <tableColumn id="9351" xr3:uid="{5B7ABCA3-C559-4D84-9F42-3EAB04F99BE0}" name="Column9337"/>
    <tableColumn id="9352" xr3:uid="{C2261919-CD89-4E01-B21F-D3D517DCB3DB}" name="Column9338"/>
    <tableColumn id="9353" xr3:uid="{C2AF6FEE-C6AA-4A55-BDC2-B3F141515FD6}" name="Column9339"/>
    <tableColumn id="9354" xr3:uid="{BCB0D5D0-D970-4843-A396-F49F3F25756E}" name="Column9340"/>
    <tableColumn id="9355" xr3:uid="{833C2028-F889-4A68-BA2D-D069FE85E631}" name="Column9341"/>
    <tableColumn id="9356" xr3:uid="{C86CB3BD-D574-4030-A365-F8CEE34B303A}" name="Column9342"/>
    <tableColumn id="9357" xr3:uid="{291845BF-EC21-4414-93D2-CFD215667F1F}" name="Column9343"/>
    <tableColumn id="9358" xr3:uid="{B9AB8C73-4BAC-4883-9902-E8A9C8E44F03}" name="Column9344"/>
    <tableColumn id="9359" xr3:uid="{BD246520-5C6A-4808-BEF6-FA94E9D438E4}" name="Column9345"/>
    <tableColumn id="9360" xr3:uid="{26A8FEB8-63F6-4020-89E6-73BF58580409}" name="Column9346"/>
    <tableColumn id="9361" xr3:uid="{7154D21A-68F1-4F0A-8E44-64C1FC799066}" name="Column9347"/>
    <tableColumn id="9362" xr3:uid="{30EA8C29-1C0F-4DC4-A1A0-52B365124758}" name="Column9348"/>
    <tableColumn id="9363" xr3:uid="{BB748FFF-EAB6-4A2F-9A99-385CAF6C95BA}" name="Column9349"/>
    <tableColumn id="9364" xr3:uid="{3264E090-F14F-4E2E-8424-9AC1BE2901A3}" name="Column9350"/>
    <tableColumn id="9365" xr3:uid="{AE38DEA9-605D-47BE-AEBA-D5541BD149CF}" name="Column9351"/>
    <tableColumn id="9366" xr3:uid="{07D3ADC9-7D6B-40E1-ACE5-28EAABE45654}" name="Column9352"/>
    <tableColumn id="9367" xr3:uid="{D6CCE2EA-44FD-424C-ADDC-781E31E00A4C}" name="Column9353"/>
    <tableColumn id="9368" xr3:uid="{F99C8C9B-2B61-437A-B60E-CD8875CE6577}" name="Column9354"/>
    <tableColumn id="9369" xr3:uid="{DDC0221C-CA58-40BF-9F56-BA3AB55BA082}" name="Column9355"/>
    <tableColumn id="9370" xr3:uid="{507B09BD-B90B-4F76-B439-BD919CC515BD}" name="Column9356"/>
    <tableColumn id="9371" xr3:uid="{6C2E3850-598F-4010-A7E2-E4C719C54B9A}" name="Column9357"/>
    <tableColumn id="9372" xr3:uid="{B3B51C2F-45C3-4D1D-89B0-1FDED4124A89}" name="Column9358"/>
    <tableColumn id="9373" xr3:uid="{864D0824-9CDE-4810-8764-CEF1FDCCDFC8}" name="Column9359"/>
    <tableColumn id="9374" xr3:uid="{570E65F0-66E0-44C3-A396-23EABC602C6B}" name="Column9360"/>
    <tableColumn id="9375" xr3:uid="{D288DBA7-1ECF-4F55-BA75-73094BD0B311}" name="Column9361"/>
    <tableColumn id="9376" xr3:uid="{7784AF65-144F-4357-851B-BC6BF6075652}" name="Column9362"/>
    <tableColumn id="9377" xr3:uid="{30D9D638-5246-4CB6-A585-3E3DE7403A37}" name="Column9363"/>
    <tableColumn id="9378" xr3:uid="{FA1640B4-5E5F-452F-9CC1-0AE437DA309D}" name="Column9364"/>
    <tableColumn id="9379" xr3:uid="{3432AC96-7371-4D59-AADF-DBC962FEA585}" name="Column9365"/>
    <tableColumn id="9380" xr3:uid="{EEF6BA2B-D0B2-420A-AB22-40F3703BD00C}" name="Column9366"/>
    <tableColumn id="9381" xr3:uid="{AE1CF12C-E5D0-4DC1-88C7-88DF5A707DA6}" name="Column9367"/>
    <tableColumn id="9382" xr3:uid="{2AD47EED-6834-4253-BFD5-A7934D057A8D}" name="Column9368"/>
    <tableColumn id="9383" xr3:uid="{9DD8CA45-9C15-491A-A125-7D574B476582}" name="Column9369"/>
    <tableColumn id="9384" xr3:uid="{361668E4-CD68-4B59-A69F-A266BE9E007F}" name="Column9370"/>
    <tableColumn id="9385" xr3:uid="{E8B1CD52-81EF-420A-85D2-43A4A9EC7476}" name="Column9371"/>
    <tableColumn id="9386" xr3:uid="{21B46260-8569-441D-8498-17AF15DB8690}" name="Column9372"/>
    <tableColumn id="9387" xr3:uid="{62F1A292-604C-4475-9842-0A40CBE5B720}" name="Column9373"/>
    <tableColumn id="9388" xr3:uid="{DF42784D-4E32-438E-9D65-B758D41FD951}" name="Column9374"/>
    <tableColumn id="9389" xr3:uid="{3CB122D3-8D20-40B1-B35D-BD824EAA4D0B}" name="Column9375"/>
    <tableColumn id="9390" xr3:uid="{6DE42284-BABC-42D5-B588-A0347BFEE1E2}" name="Column9376"/>
    <tableColumn id="9391" xr3:uid="{3755F77C-DD23-460E-AB3A-9CC25E3F263A}" name="Column9377"/>
    <tableColumn id="9392" xr3:uid="{BF08038F-75F6-413B-B876-4E8710293DC1}" name="Column9378"/>
    <tableColumn id="9393" xr3:uid="{C6562679-0874-40D1-9C05-2687DA58CB44}" name="Column9379"/>
    <tableColumn id="9394" xr3:uid="{4380C787-446F-4B06-B80E-D849CE4BC2EF}" name="Column9380"/>
    <tableColumn id="9395" xr3:uid="{9759C3E2-BC62-4108-813D-ECF7C6B4DBFE}" name="Column9381"/>
    <tableColumn id="9396" xr3:uid="{49ED3E33-FCC5-4301-99C5-47732D244836}" name="Column9382"/>
    <tableColumn id="9397" xr3:uid="{7FFE3789-F6E3-473A-9A35-49A0405EA2E0}" name="Column9383"/>
    <tableColumn id="9398" xr3:uid="{37EDA277-51CA-4875-AD55-413C84B4B5DA}" name="Column9384"/>
    <tableColumn id="9399" xr3:uid="{CF5BCFDD-EBDB-44B7-BC49-42F84F9E7200}" name="Column9385"/>
    <tableColumn id="9400" xr3:uid="{5F93DBA9-A7FB-4E38-BE34-CC3CA39A8973}" name="Column9386"/>
    <tableColumn id="9401" xr3:uid="{67BA6924-AA42-4F27-8725-0E3901F4C95D}" name="Column9387"/>
    <tableColumn id="9402" xr3:uid="{991E3C5E-1F7B-41EF-B19C-B7771A5223CE}" name="Column9388"/>
    <tableColumn id="9403" xr3:uid="{4F91BEEE-070C-4620-9C80-FA11A468CEF3}" name="Column9389"/>
    <tableColumn id="9404" xr3:uid="{00330B6B-87A8-4CA6-AB03-FEF9EE3FA1A1}" name="Column9390"/>
    <tableColumn id="9405" xr3:uid="{C4DA0B1C-33F4-4B6D-8B81-34FEBE23259F}" name="Column9391"/>
    <tableColumn id="9406" xr3:uid="{20C510BA-AB40-477F-9D70-FEAEAFCA29CA}" name="Column9392"/>
    <tableColumn id="9407" xr3:uid="{C9163509-A091-4F28-BD6D-74253697604F}" name="Column9393"/>
    <tableColumn id="9408" xr3:uid="{74C44955-CA88-4BF9-94DF-2E4FE2A623D2}" name="Column9394"/>
    <tableColumn id="9409" xr3:uid="{853BCC69-2869-4B2A-AA33-17ACED843395}" name="Column9395"/>
    <tableColumn id="9410" xr3:uid="{80593098-F8B6-48E1-B97E-D965F0989680}" name="Column9396"/>
    <tableColumn id="9411" xr3:uid="{FD56ED84-677C-447B-BB61-1CC38456919A}" name="Column9397"/>
    <tableColumn id="9412" xr3:uid="{1EEF015F-3812-48DB-8AF9-8964405BC24F}" name="Column9398"/>
    <tableColumn id="9413" xr3:uid="{BB637A77-AFA9-47BF-871D-8E851FDBDB63}" name="Column9399"/>
    <tableColumn id="9414" xr3:uid="{4ECBD19A-D970-4DE4-966D-E2145EE0651B}" name="Column9400"/>
    <tableColumn id="9415" xr3:uid="{9B028CBE-886F-416A-B6C9-C45F16687695}" name="Column9401"/>
    <tableColumn id="9416" xr3:uid="{9C4E7FD0-48DF-4A72-AB4F-B25EB0F93928}" name="Column9402"/>
    <tableColumn id="9417" xr3:uid="{F61A53B7-58BC-4269-82DF-D4A300DBCE50}" name="Column9403"/>
    <tableColumn id="9418" xr3:uid="{EC88D5A7-9C28-44F5-BB54-5E519DB8BD30}" name="Column9404"/>
    <tableColumn id="9419" xr3:uid="{1D1A8295-224A-4728-A742-FF58516A7069}" name="Column9405"/>
    <tableColumn id="9420" xr3:uid="{072CE4E2-211C-471A-AF9B-48DADFA86DC1}" name="Column9406"/>
    <tableColumn id="9421" xr3:uid="{9264BC53-2142-447E-B292-0E3DBC7A4EEA}" name="Column9407"/>
    <tableColumn id="9422" xr3:uid="{398C6AE0-D680-427E-ABB7-929B652327FC}" name="Column9408"/>
    <tableColumn id="9423" xr3:uid="{4FA2A711-10A0-44CE-BFF9-ABF5E62F4D98}" name="Column9409"/>
    <tableColumn id="9424" xr3:uid="{46106D9E-0787-4DB3-BC66-3A1D2E8E05E9}" name="Column9410"/>
    <tableColumn id="9425" xr3:uid="{E8708798-33A9-42C4-84B7-D2901593691D}" name="Column9411"/>
    <tableColumn id="9426" xr3:uid="{6C6142CE-B39A-4AD5-B956-C1C2F1469C49}" name="Column9412"/>
    <tableColumn id="9427" xr3:uid="{95C1463D-C3BD-4164-AEB4-69789791C4C7}" name="Column9413"/>
    <tableColumn id="9428" xr3:uid="{24669D32-0A03-4E2E-9DF1-895E711A81DC}" name="Column9414"/>
    <tableColumn id="9429" xr3:uid="{D93F4D45-8D8E-4241-AD0A-D050DA9607B2}" name="Column9415"/>
    <tableColumn id="9430" xr3:uid="{429BDBA8-537F-4555-B51B-C6EF205CF1A8}" name="Column9416"/>
    <tableColumn id="9431" xr3:uid="{EF5ACFEE-E30F-467E-BFF3-BD3DA58ED917}" name="Column9417"/>
    <tableColumn id="9432" xr3:uid="{B98B2F3D-5B86-4922-8CF7-E01C72FF12C7}" name="Column9418"/>
    <tableColumn id="9433" xr3:uid="{6F55155F-2E33-4AF9-B566-310B16340132}" name="Column9419"/>
    <tableColumn id="9434" xr3:uid="{2419860B-79E9-431D-AA29-F9412721D072}" name="Column9420"/>
    <tableColumn id="9435" xr3:uid="{CD9D0DFF-B449-4056-B6EF-48774CA40AA4}" name="Column9421"/>
    <tableColumn id="9436" xr3:uid="{8047C4C9-FA32-4265-B63A-6D4FD97FBB55}" name="Column9422"/>
    <tableColumn id="9437" xr3:uid="{83F098B4-B81A-4AE1-A3A2-125392C1C834}" name="Column9423"/>
    <tableColumn id="9438" xr3:uid="{4C96FEC5-513C-4FF7-AF1F-8F01627FA719}" name="Column9424"/>
    <tableColumn id="9439" xr3:uid="{54F21B67-782C-4F90-A324-F128D63E8FF0}" name="Column9425"/>
    <tableColumn id="9440" xr3:uid="{F6EE9B78-D641-4EFA-947C-E716C2D69FB6}" name="Column9426"/>
    <tableColumn id="9441" xr3:uid="{60B8626F-7913-4829-9273-3E25D5C01F50}" name="Column9427"/>
    <tableColumn id="9442" xr3:uid="{9B651080-DD7D-4E13-A390-74BAD854FA25}" name="Column9428"/>
    <tableColumn id="9443" xr3:uid="{D355DC9D-03C7-45F7-AF41-1CAB77714B4F}" name="Column9429"/>
    <tableColumn id="9444" xr3:uid="{93DF70F4-C320-4618-B55F-DDC84903F4DD}" name="Column9430"/>
    <tableColumn id="9445" xr3:uid="{8F0538AC-2A75-407B-AF1E-5A833A36B6C6}" name="Column9431"/>
    <tableColumn id="9446" xr3:uid="{A204BC73-450A-465F-B159-DD228DA6AA9C}" name="Column9432"/>
    <tableColumn id="9447" xr3:uid="{EEAE9BA5-579D-4408-9682-B9D150AC5AD4}" name="Column9433"/>
    <tableColumn id="9448" xr3:uid="{48F332F1-B871-4643-82AB-8BAC790B54FF}" name="Column9434"/>
    <tableColumn id="9449" xr3:uid="{8A5AC48C-920A-4A48-8D16-913A096B9FDB}" name="Column9435"/>
    <tableColumn id="9450" xr3:uid="{60D0AB27-C90A-4532-8A08-56350E99CB30}" name="Column9436"/>
    <tableColumn id="9451" xr3:uid="{9CD0705D-CA56-4624-8837-14C9AE68798B}" name="Column9437"/>
    <tableColumn id="9452" xr3:uid="{35F940EA-0743-40C7-BDBD-6A5FBD1BBA17}" name="Column9438"/>
    <tableColumn id="9453" xr3:uid="{60807394-4725-4468-9745-4527F1857BED}" name="Column9439"/>
    <tableColumn id="9454" xr3:uid="{80BC6FE9-E19E-419F-AE12-E55CB53D0703}" name="Column9440"/>
    <tableColumn id="9455" xr3:uid="{FADF4A13-14A7-4A99-B1AE-5FBA3584AE48}" name="Column9441"/>
    <tableColumn id="9456" xr3:uid="{5372BA48-7590-4A9F-83D0-2EB925B7C399}" name="Column9442"/>
    <tableColumn id="9457" xr3:uid="{0CBB21A8-7F97-4D48-B0C1-7B97FCF9F22C}" name="Column9443"/>
    <tableColumn id="9458" xr3:uid="{B6B34CFC-4CE7-4D07-A333-24BE3089B8EC}" name="Column9444"/>
    <tableColumn id="9459" xr3:uid="{468A66EA-52C6-43A1-A907-4CB1006637C2}" name="Column9445"/>
    <tableColumn id="9460" xr3:uid="{0293D5AC-CEE4-42B3-AD9E-EE4396EC6F7C}" name="Column9446"/>
    <tableColumn id="9461" xr3:uid="{4768FF4D-217D-4ECB-9414-D9628956AE7A}" name="Column9447"/>
    <tableColumn id="9462" xr3:uid="{37476C53-C671-4537-907B-0707C706FB76}" name="Column9448"/>
    <tableColumn id="9463" xr3:uid="{7E8D327B-0C55-47D5-A665-B8796242EE6B}" name="Column9449"/>
    <tableColumn id="9464" xr3:uid="{196EEDC7-C887-4615-BAE2-315C41935519}" name="Column9450"/>
    <tableColumn id="9465" xr3:uid="{2556C938-C3B4-4149-98EC-E37C75148B60}" name="Column9451"/>
    <tableColumn id="9466" xr3:uid="{2A118D10-3CC8-4793-84D8-EAFFA4475D17}" name="Column9452"/>
    <tableColumn id="9467" xr3:uid="{324AC34A-4C08-4795-823D-2405E44A12F8}" name="Column9453"/>
    <tableColumn id="9468" xr3:uid="{84CDD2A9-0264-4D15-B422-67C46CB4D87B}" name="Column9454"/>
    <tableColumn id="9469" xr3:uid="{53996CE1-F1AF-4727-92B4-A4830B6E77E1}" name="Column9455"/>
    <tableColumn id="9470" xr3:uid="{D184D934-3EE5-4117-B092-74AB655D4F5F}" name="Column9456"/>
    <tableColumn id="9471" xr3:uid="{0E9FBDF6-D77E-46A7-B0A0-46F12D977E2A}" name="Column9457"/>
    <tableColumn id="9472" xr3:uid="{654BE139-2A39-409E-BD84-BA63C8B706F2}" name="Column9458"/>
    <tableColumn id="9473" xr3:uid="{27A5ED06-A783-44C8-AF57-FD6059A162C5}" name="Column9459"/>
    <tableColumn id="9474" xr3:uid="{00F13878-DDE7-4942-ABC4-3A5085A589C8}" name="Column9460"/>
    <tableColumn id="9475" xr3:uid="{84C4E8C4-AB35-4E3A-BFF0-498B2EFA6B34}" name="Column9461"/>
    <tableColumn id="9476" xr3:uid="{CD9A41B8-203A-40D3-8442-F6FAB9BA3570}" name="Column9462"/>
    <tableColumn id="9477" xr3:uid="{B11C925F-97D6-4396-97EF-DBC43181DA9A}" name="Column9463"/>
    <tableColumn id="9478" xr3:uid="{C42C6034-8ADF-4C3A-97C3-7DA4E1C8D82A}" name="Column9464"/>
    <tableColumn id="9479" xr3:uid="{AE952D3D-A8F8-4EEB-8C2F-CD03DFCBBF25}" name="Column9465"/>
    <tableColumn id="9480" xr3:uid="{4659FC46-F7FF-4C71-B16F-6DDAC4216FCB}" name="Column9466"/>
    <tableColumn id="9481" xr3:uid="{A6FD137C-AADE-43F6-8A9A-6126685B3DEC}" name="Column9467"/>
    <tableColumn id="9482" xr3:uid="{4A57D819-0ADB-4A64-9D26-31FC4FE2F67B}" name="Column9468"/>
    <tableColumn id="9483" xr3:uid="{9FD0CBF6-E8F1-43AA-A9EC-716A1119351C}" name="Column9469"/>
    <tableColumn id="9484" xr3:uid="{AEF99C41-19FC-41FD-A8AF-74458C7B781E}" name="Column9470"/>
    <tableColumn id="9485" xr3:uid="{9816CE71-C1F1-437C-AB24-6A1DEB1B2C3F}" name="Column9471"/>
    <tableColumn id="9486" xr3:uid="{082FF86A-8782-4229-9EB8-53B8E7D89109}" name="Column9472"/>
    <tableColumn id="9487" xr3:uid="{DE15B45A-2A63-41D6-BD65-41A3476CE23E}" name="Column9473"/>
    <tableColumn id="9488" xr3:uid="{92049682-27E7-46C9-B374-EB0F4F797615}" name="Column9474"/>
    <tableColumn id="9489" xr3:uid="{36130808-40D1-40BA-99C7-769243E34040}" name="Column9475"/>
    <tableColumn id="9490" xr3:uid="{0E407710-53F4-47C4-9AC2-D355288FEBF6}" name="Column9476"/>
    <tableColumn id="9491" xr3:uid="{DE77A8AB-1687-4EE1-AE43-1BC3054E46B8}" name="Column9477"/>
    <tableColumn id="9492" xr3:uid="{C2DFC6B4-0C50-4DEC-BB5C-DDCE186B7C59}" name="Column9478"/>
    <tableColumn id="9493" xr3:uid="{DD1A1242-97F7-45D4-BDF0-4E6C34425951}" name="Column9479"/>
    <tableColumn id="9494" xr3:uid="{168BB348-F25F-451A-A064-B93963835332}" name="Column9480"/>
    <tableColumn id="9495" xr3:uid="{8143F923-AB4A-4312-9629-DB7A1E149495}" name="Column9481"/>
    <tableColumn id="9496" xr3:uid="{AA1EEF1E-657A-4A24-945E-6391D252BF3F}" name="Column9482"/>
    <tableColumn id="9497" xr3:uid="{3A0541CA-0CDB-4DC8-9825-42E401CA6D92}" name="Column9483"/>
    <tableColumn id="9498" xr3:uid="{02A94D00-D94B-4760-8FA2-11C72FCE64D5}" name="Column9484"/>
    <tableColumn id="9499" xr3:uid="{AA1ECBA7-A810-4669-A2EA-E76D7B3F3F56}" name="Column9485"/>
    <tableColumn id="9500" xr3:uid="{5DD8C081-E221-4CDF-B8A5-ADBE13B1F0BC}" name="Column9486"/>
    <tableColumn id="9501" xr3:uid="{83DC9094-3868-45D0-A937-109215F62BFF}" name="Column9487"/>
    <tableColumn id="9502" xr3:uid="{622E8FA3-764B-41A0-9377-DC4A1EA0F828}" name="Column9488"/>
    <tableColumn id="9503" xr3:uid="{81051F39-D486-4823-B478-24DFB9EC0C1B}" name="Column9489"/>
    <tableColumn id="9504" xr3:uid="{6A6E4BB9-B8C3-40F6-AC54-6FFB1AA4DAC0}" name="Column9490"/>
    <tableColumn id="9505" xr3:uid="{FF0EFA02-231B-4A37-B808-CBE08A1ED844}" name="Column9491"/>
    <tableColumn id="9506" xr3:uid="{31EE3A05-F58F-4AB0-BED6-BB2DF942E212}" name="Column9492"/>
    <tableColumn id="9507" xr3:uid="{666B37ED-0A84-46BF-A8A5-0A1AF96DA5ED}" name="Column9493"/>
    <tableColumn id="9508" xr3:uid="{9033CF0D-B47A-4394-A66F-25243D20316E}" name="Column9494"/>
    <tableColumn id="9509" xr3:uid="{52FFAC3A-5619-4A73-91BC-5F8B1FE55D3A}" name="Column9495"/>
    <tableColumn id="9510" xr3:uid="{1E021C7B-C385-4445-B342-50F539F946CE}" name="Column9496"/>
    <tableColumn id="9511" xr3:uid="{958995E9-BF81-42A2-8E49-D51E905731C7}" name="Column9497"/>
    <tableColumn id="9512" xr3:uid="{A00BEDCD-FADB-40A9-B971-2C395F842A8B}" name="Column9498"/>
    <tableColumn id="9513" xr3:uid="{5C760A10-4044-40C7-9125-DA84FEC8B6E5}" name="Column9499"/>
    <tableColumn id="9514" xr3:uid="{554FABC6-2C69-47DF-8B23-1173C5647500}" name="Column9500"/>
    <tableColumn id="9515" xr3:uid="{65FB4A45-4F1C-4F8A-BF73-35C4F4FEF67D}" name="Column9501"/>
    <tableColumn id="9516" xr3:uid="{056D055C-F573-4A8E-A9DC-3BB8E936C280}" name="Column9502"/>
    <tableColumn id="9517" xr3:uid="{9A1C5168-475B-47F7-998D-430B3CEF9C50}" name="Column9503"/>
    <tableColumn id="9518" xr3:uid="{18EDB36C-6360-4E15-9C3A-9323D8FBDA9B}" name="Column9504"/>
    <tableColumn id="9519" xr3:uid="{E3B261F2-D764-4E97-AD2A-C6B8884462CE}" name="Column9505"/>
    <tableColumn id="9520" xr3:uid="{79DD92CD-F4CE-44C0-AEFB-B2F3AF4836FF}" name="Column9506"/>
    <tableColumn id="9521" xr3:uid="{34D02E0D-708B-4F9B-B191-391632E53509}" name="Column9507"/>
    <tableColumn id="9522" xr3:uid="{35AA93D6-731E-47CB-B26B-D8DEEFD9764A}" name="Column9508"/>
    <tableColumn id="9523" xr3:uid="{1AFB8EF9-01E2-418A-874D-7BBC53888B83}" name="Column9509"/>
    <tableColumn id="9524" xr3:uid="{A5E1C9A2-151F-4286-AEB5-924BEECDF585}" name="Column9510"/>
    <tableColumn id="9525" xr3:uid="{F225C35B-95D2-4603-9E22-C40AEB16203F}" name="Column9511"/>
    <tableColumn id="9526" xr3:uid="{B5BFDF66-295A-43BB-94E1-63EF874E12D7}" name="Column9512"/>
    <tableColumn id="9527" xr3:uid="{4E6AF8DA-ADDB-4E30-97F8-C271E010726A}" name="Column9513"/>
    <tableColumn id="9528" xr3:uid="{394E570D-1590-47A5-B3B0-E317EF130A73}" name="Column9514"/>
    <tableColumn id="9529" xr3:uid="{6AECCB9C-8740-4AD4-8538-0E4D7E171DB5}" name="Column9515"/>
    <tableColumn id="9530" xr3:uid="{51D0183A-544F-4EB4-93AC-1E6A778BB60A}" name="Column9516"/>
    <tableColumn id="9531" xr3:uid="{6BB97962-6757-40A4-ADB5-01EAA0582B0E}" name="Column9517"/>
    <tableColumn id="9532" xr3:uid="{F0E34DD2-7AD2-4763-A0D8-A2AD977B4634}" name="Column9518"/>
    <tableColumn id="9533" xr3:uid="{485CA9E7-0550-4C24-BB82-D2A05314FCD7}" name="Column9519"/>
    <tableColumn id="9534" xr3:uid="{114998D6-0ABA-422C-826A-D17F281DD649}" name="Column9520"/>
    <tableColumn id="9535" xr3:uid="{D9DC7519-AA6B-4C75-919C-51B1E3452408}" name="Column9521"/>
    <tableColumn id="9536" xr3:uid="{69B0E23B-B3F3-4CA1-831D-F58ED8774CEE}" name="Column9522"/>
    <tableColumn id="9537" xr3:uid="{89522569-D878-4C65-9E75-A5B46340D74E}" name="Column9523"/>
    <tableColumn id="9538" xr3:uid="{22F8606D-9404-4896-821E-E2D01C22F224}" name="Column9524"/>
    <tableColumn id="9539" xr3:uid="{314DE13D-ADF6-443A-87A9-9970C19FD4D5}" name="Column9525"/>
    <tableColumn id="9540" xr3:uid="{1EBEEAFA-4E17-4FCD-8E67-A8D77ABCAF79}" name="Column9526"/>
    <tableColumn id="9541" xr3:uid="{911BAC0D-CA1D-4C90-84D6-26491BD3890A}" name="Column9527"/>
    <tableColumn id="9542" xr3:uid="{DC1D2A37-6359-4F08-8E0E-F5D59C096A2B}" name="Column9528"/>
    <tableColumn id="9543" xr3:uid="{7ED38611-95AA-40D1-A579-5D02C5B2FC57}" name="Column9529"/>
    <tableColumn id="9544" xr3:uid="{8132A336-D6BF-4603-A971-DFE1F2A6A7C7}" name="Column9530"/>
    <tableColumn id="9545" xr3:uid="{061B0019-5CAB-4C9E-8AF0-F3921A4A8478}" name="Column9531"/>
    <tableColumn id="9546" xr3:uid="{858FCF19-8469-4BEE-8CF3-6051A9CFB6EB}" name="Column9532"/>
    <tableColumn id="9547" xr3:uid="{15150285-99BE-4A40-A847-EBA04D8981C7}" name="Column9533"/>
    <tableColumn id="9548" xr3:uid="{44CB2AA1-9314-439A-9C96-C17891D9CB47}" name="Column9534"/>
    <tableColumn id="9549" xr3:uid="{A4BF10E9-41C0-42F1-84E8-DD5A2EACE001}" name="Column9535"/>
    <tableColumn id="9550" xr3:uid="{B25D4FF5-9A39-47D4-9BAE-1A4CF4B0B0F1}" name="Column9536"/>
    <tableColumn id="9551" xr3:uid="{E284FF76-3097-4E73-B350-EEA1E9507D99}" name="Column9537"/>
    <tableColumn id="9552" xr3:uid="{48E67F54-60C0-4599-9529-F0901DBEC200}" name="Column9538"/>
    <tableColumn id="9553" xr3:uid="{7F9B3EB4-9EE6-4F53-8162-1985B38B4233}" name="Column9539"/>
    <tableColumn id="9554" xr3:uid="{22127B1A-7B4A-4CE4-A5E3-2DF80A25AB8D}" name="Column9540"/>
    <tableColumn id="9555" xr3:uid="{F1595B9F-61CC-4BC5-8420-D9187F61EB17}" name="Column9541"/>
    <tableColumn id="9556" xr3:uid="{0C2EB0D5-BF55-4A9D-BF44-C21E9D7B6159}" name="Column9542"/>
    <tableColumn id="9557" xr3:uid="{7335162F-2935-41A3-AA53-7D1AEC3CCC3F}" name="Column9543"/>
    <tableColumn id="9558" xr3:uid="{67CCC62C-CB79-43CE-AF00-F739FF3BAA8F}" name="Column9544"/>
    <tableColumn id="9559" xr3:uid="{AB4D10AF-121F-4893-BDCA-4517F20ABBF5}" name="Column9545"/>
    <tableColumn id="9560" xr3:uid="{5890EBDE-C262-422B-AF3D-DAF78A413DC5}" name="Column9546"/>
    <tableColumn id="9561" xr3:uid="{82ACE501-D08D-41E6-8AE7-1A1783BFC54A}" name="Column9547"/>
    <tableColumn id="9562" xr3:uid="{2DD83B3C-3696-4CF3-BA84-7B6086636219}" name="Column9548"/>
    <tableColumn id="9563" xr3:uid="{B8F9E0D5-E59B-4552-AC60-B8949D21A264}" name="Column9549"/>
    <tableColumn id="9564" xr3:uid="{7D02942F-EFD7-48C4-ADBF-DAFD2FE1D725}" name="Column9550"/>
    <tableColumn id="9565" xr3:uid="{3DEB5654-5D15-44D5-846D-663BF384885B}" name="Column9551"/>
    <tableColumn id="9566" xr3:uid="{9106E99C-F57B-42A3-B26C-D46A431F4C91}" name="Column9552"/>
    <tableColumn id="9567" xr3:uid="{B8ED0F85-5FE0-46E1-B98A-82D287ACDC9B}" name="Column9553"/>
    <tableColumn id="9568" xr3:uid="{A423C7D3-406A-482C-B288-D62ECB44440D}" name="Column9554"/>
    <tableColumn id="9569" xr3:uid="{3DF14C2A-62EB-4099-A87E-F1F6DA6F41DE}" name="Column9555"/>
    <tableColumn id="9570" xr3:uid="{22AA5645-59A1-466B-B780-7EAB6EEB3E53}" name="Column9556"/>
    <tableColumn id="9571" xr3:uid="{DA1C37D7-DC1B-4CBC-A2E8-B22B0A899F98}" name="Column9557"/>
    <tableColumn id="9572" xr3:uid="{E6B518CF-AC18-4974-B62D-326B5377FCA7}" name="Column9558"/>
    <tableColumn id="9573" xr3:uid="{56DC0B96-C2C9-476E-AF2F-50E81D92AE6D}" name="Column9559"/>
    <tableColumn id="9574" xr3:uid="{4289D20E-30B0-445D-9097-4F43E615D92D}" name="Column9560"/>
    <tableColumn id="9575" xr3:uid="{4B6BF608-1A87-4613-9ADD-94E64503D995}" name="Column9561"/>
    <tableColumn id="9576" xr3:uid="{97CFCFF4-4F38-454F-94E4-2EED1EEDE9D9}" name="Column9562"/>
    <tableColumn id="9577" xr3:uid="{CDCE0299-893D-4F96-8F83-ABF6F7970FC1}" name="Column9563"/>
    <tableColumn id="9578" xr3:uid="{31E9A0DA-0874-412F-883B-FB1EA2209759}" name="Column9564"/>
    <tableColumn id="9579" xr3:uid="{C0F012A8-4211-4284-A563-B0916B7A9BF2}" name="Column9565"/>
    <tableColumn id="9580" xr3:uid="{36080A4F-A5C8-49DA-8A3F-F8E2AD922F7B}" name="Column9566"/>
    <tableColumn id="9581" xr3:uid="{D60CEE32-9792-4057-9277-34A8A1CAF71B}" name="Column9567"/>
    <tableColumn id="9582" xr3:uid="{396A6947-B17D-441C-8576-44646BC621C2}" name="Column9568"/>
    <tableColumn id="9583" xr3:uid="{60728AA4-690E-4F2B-B925-43BC9DFF7181}" name="Column9569"/>
    <tableColumn id="9584" xr3:uid="{D115E8F0-B273-42F2-8B07-28EEE434DDD8}" name="Column9570"/>
    <tableColumn id="9585" xr3:uid="{E65829CB-896C-486C-ABB2-01F218D734D0}" name="Column9571"/>
    <tableColumn id="9586" xr3:uid="{B852D7FD-C65B-47FD-ABA1-E278C12622E6}" name="Column9572"/>
    <tableColumn id="9587" xr3:uid="{AB40F8B8-F4ED-4DA8-8925-6B9EC84871DD}" name="Column9573"/>
    <tableColumn id="9588" xr3:uid="{86136976-713C-4121-AEBF-5ED99EC7B493}" name="Column9574"/>
    <tableColumn id="9589" xr3:uid="{B64AB8BA-2BEE-4D98-8FB0-AACB7B4EEAA4}" name="Column9575"/>
    <tableColumn id="9590" xr3:uid="{78D262E3-99EE-4880-A9DF-6CD9D7140868}" name="Column9576"/>
    <tableColumn id="9591" xr3:uid="{B55CDBD1-997E-41C3-9325-12983F776B02}" name="Column9577"/>
    <tableColumn id="9592" xr3:uid="{CE0122DB-9119-45AD-94BE-874EB643E911}" name="Column9578"/>
    <tableColumn id="9593" xr3:uid="{4BAFD60C-9D5F-40CC-8B0E-D0601D052E9C}" name="Column9579"/>
    <tableColumn id="9594" xr3:uid="{7B8F2EE2-41AC-4E4B-BA63-D021D3B81F54}" name="Column9580"/>
    <tableColumn id="9595" xr3:uid="{D39EC0ED-20BA-4C4F-8C3B-C0D5F7A1C6FE}" name="Column9581"/>
    <tableColumn id="9596" xr3:uid="{E84003EE-8BF4-4259-9C13-3F8F9259457E}" name="Column9582"/>
    <tableColumn id="9597" xr3:uid="{918B7EB7-5BAD-4839-9029-BD35944E8CBF}" name="Column9583"/>
    <tableColumn id="9598" xr3:uid="{2C99A094-CFDF-448B-9245-5112A2F12F3E}" name="Column9584"/>
    <tableColumn id="9599" xr3:uid="{B876836A-E26F-470F-AD4E-FFC08A4FF56D}" name="Column9585"/>
    <tableColumn id="9600" xr3:uid="{97DC9628-3400-47B9-A945-C78A6189B327}" name="Column9586"/>
    <tableColumn id="9601" xr3:uid="{BF110AD9-19EB-4AA0-BF51-35BAFA03ACB2}" name="Column9587"/>
    <tableColumn id="9602" xr3:uid="{6CE15297-E2CF-4FDF-B8AB-BE48127265F5}" name="Column9588"/>
    <tableColumn id="9603" xr3:uid="{4C9D01D6-7FF7-44C4-9B3E-093950BF0D26}" name="Column9589"/>
    <tableColumn id="9604" xr3:uid="{7A019C5C-D556-436D-A2E1-F5373814A247}" name="Column9590"/>
    <tableColumn id="9605" xr3:uid="{F6EA00F2-AC7D-47FD-A20B-C053D89E0BBB}" name="Column9591"/>
    <tableColumn id="9606" xr3:uid="{6F1635EF-D4A2-4749-B382-AE319F3F87AC}" name="Column9592"/>
    <tableColumn id="9607" xr3:uid="{C3011917-C650-4F4C-AFC6-89B7A69B6EB7}" name="Column9593"/>
    <tableColumn id="9608" xr3:uid="{A4196898-7176-4020-BD37-D1AA8A257C06}" name="Column9594"/>
    <tableColumn id="9609" xr3:uid="{FFFD43A5-C0D3-483A-993B-322D67D4E8E4}" name="Column9595"/>
    <tableColumn id="9610" xr3:uid="{6679A889-CBF1-4884-A6F0-BB1BEFD2FBCA}" name="Column9596"/>
    <tableColumn id="9611" xr3:uid="{7DA473C2-4BA5-4B1A-849C-FF27667F9D45}" name="Column9597"/>
    <tableColumn id="9612" xr3:uid="{E5AAFF60-8C3A-45DB-BC64-067F6D508944}" name="Column9598"/>
    <tableColumn id="9613" xr3:uid="{2C0B3F7D-DF32-4B80-A89A-66CC16E4C91D}" name="Column9599"/>
    <tableColumn id="9614" xr3:uid="{D433C77D-E0A9-47D0-A35F-64870BB6FB56}" name="Column9600"/>
    <tableColumn id="9615" xr3:uid="{A26F4A01-DE4C-4629-97F1-6B7A49E157D5}" name="Column9601"/>
    <tableColumn id="9616" xr3:uid="{43D5148D-48A2-4A36-AA28-5DEA6FA7D40C}" name="Column9602"/>
    <tableColumn id="9617" xr3:uid="{6D75CF96-726D-4715-B9C3-50E3FCA99F78}" name="Column9603"/>
    <tableColumn id="9618" xr3:uid="{AC2E5241-E940-492C-81B1-99FE5C8D429D}" name="Column9604"/>
    <tableColumn id="9619" xr3:uid="{E8FAB67D-986C-4FD9-8BF7-25A59D9668A5}" name="Column9605"/>
    <tableColumn id="9620" xr3:uid="{26424BBF-579D-48FE-BAA3-B859D4FEDB26}" name="Column9606"/>
    <tableColumn id="9621" xr3:uid="{F9C4A4E4-3447-45B7-A38B-79EC433B5EC8}" name="Column9607"/>
    <tableColumn id="9622" xr3:uid="{52AB8676-0179-46A5-A029-89A9F33312BF}" name="Column9608"/>
    <tableColumn id="9623" xr3:uid="{E9126888-0844-4080-84F9-DFB1F82E4083}" name="Column9609"/>
    <tableColumn id="9624" xr3:uid="{2F777EB0-0519-4F44-B87C-0DD069E38423}" name="Column9610"/>
    <tableColumn id="9625" xr3:uid="{D5683E90-40F9-4DEE-9733-EF3350F54055}" name="Column9611"/>
    <tableColumn id="9626" xr3:uid="{8D5E4F88-E72A-428B-865E-0A9A75BF4E10}" name="Column9612"/>
    <tableColumn id="9627" xr3:uid="{111A44A3-AAF5-465D-815C-579336674A57}" name="Column9613"/>
    <tableColumn id="9628" xr3:uid="{56B7BAC0-F233-489A-B147-D3E740CA4DF0}" name="Column9614"/>
    <tableColumn id="9629" xr3:uid="{92AA40AE-7247-43BB-A574-0F57915C7ED7}" name="Column9615"/>
    <tableColumn id="9630" xr3:uid="{F9437261-7227-4FCC-9F5E-4B5C81AB3E81}" name="Column9616"/>
    <tableColumn id="9631" xr3:uid="{13DB7053-49F4-4C9D-9206-A15BBEF8E94F}" name="Column9617"/>
    <tableColumn id="9632" xr3:uid="{67141568-55E9-4C8C-83E9-CCBA2842C849}" name="Column9618"/>
    <tableColumn id="9633" xr3:uid="{01211B10-BB30-4E77-88D7-D6BC83D859A8}" name="Column9619"/>
    <tableColumn id="9634" xr3:uid="{D15E54C4-BE9F-4E72-BFA2-E870F479A37D}" name="Column9620"/>
    <tableColumn id="9635" xr3:uid="{9D71B62F-98F3-488B-83D5-A284C58E55BB}" name="Column9621"/>
    <tableColumn id="9636" xr3:uid="{5DCFA66D-3E2A-4938-9832-4B86F7443DE1}" name="Column9622"/>
    <tableColumn id="9637" xr3:uid="{BE43C72F-4D07-4795-A11B-A7A2190317DC}" name="Column9623"/>
    <tableColumn id="9638" xr3:uid="{A34D2712-B769-45F2-9F5C-5ED09573363E}" name="Column9624"/>
    <tableColumn id="9639" xr3:uid="{7F6C1BB7-1B3B-4689-8807-29408C4D08CA}" name="Column9625"/>
    <tableColumn id="9640" xr3:uid="{FE79D3F2-47B9-43A6-9C81-C18342F8BE4F}" name="Column9626"/>
    <tableColumn id="9641" xr3:uid="{66DB0448-1712-4B0F-932C-4A89ED1BEE49}" name="Column9627"/>
    <tableColumn id="9642" xr3:uid="{E91506E6-99C0-4CE1-B277-DFCF927E83E2}" name="Column9628"/>
    <tableColumn id="9643" xr3:uid="{A8618DBA-10E3-45BD-89A9-2350F32294C5}" name="Column9629"/>
    <tableColumn id="9644" xr3:uid="{192FC8BF-4405-4469-9290-B39EDFFFC1DD}" name="Column9630"/>
    <tableColumn id="9645" xr3:uid="{AA49F252-9A1F-4D2E-969A-EBCC06984F11}" name="Column9631"/>
    <tableColumn id="9646" xr3:uid="{D9D85586-FBC9-4B00-9223-C42B5411385D}" name="Column9632"/>
    <tableColumn id="9647" xr3:uid="{6E60983A-CFE6-423E-BDB1-D2C884127AA8}" name="Column9633"/>
    <tableColumn id="9648" xr3:uid="{66D885D6-0A6F-432E-9625-D0F0214AB196}" name="Column9634"/>
    <tableColumn id="9649" xr3:uid="{C3D67399-308E-4C3E-94FB-BB7628E112FC}" name="Column9635"/>
    <tableColumn id="9650" xr3:uid="{70605A23-755D-4A41-8A37-419AD2D850F5}" name="Column9636"/>
    <tableColumn id="9651" xr3:uid="{8785ED95-E965-47FB-AE3B-61733CEDEF78}" name="Column9637"/>
    <tableColumn id="9652" xr3:uid="{CEC5EB91-F558-4D3F-A9D6-3186A71AF38C}" name="Column9638"/>
    <tableColumn id="9653" xr3:uid="{942998D5-2616-4B04-8B5D-25660A64CE2F}" name="Column9639"/>
    <tableColumn id="9654" xr3:uid="{D3DE05A4-D257-46B2-BD22-269B0BED5AC3}" name="Column9640"/>
    <tableColumn id="9655" xr3:uid="{3E7C857D-5300-4D5A-8235-C7FC9ADD4930}" name="Column9641"/>
    <tableColumn id="9656" xr3:uid="{C2A9C0CE-FF9F-4232-878E-6209D38E70DF}" name="Column9642"/>
    <tableColumn id="9657" xr3:uid="{264639BD-FA97-4C6D-B0ED-77BCCB9D2AB2}" name="Column9643"/>
    <tableColumn id="9658" xr3:uid="{90FAF84E-3C52-42DF-A31A-DF810BE195D3}" name="Column9644"/>
    <tableColumn id="9659" xr3:uid="{B37DA576-ADCA-49A1-9D54-FEC476B54DB1}" name="Column9645"/>
    <tableColumn id="9660" xr3:uid="{AD87A41F-43F8-4D7A-8A77-069BDEAEA362}" name="Column9646"/>
    <tableColumn id="9661" xr3:uid="{B3EAAFEC-EAA6-487D-8484-45DEE5E3E00B}" name="Column9647"/>
    <tableColumn id="9662" xr3:uid="{20DFB569-8CAD-4805-9EC5-E77B257264B4}" name="Column9648"/>
    <tableColumn id="9663" xr3:uid="{1AAA2399-C0FE-4119-BE76-DCCFDFD7EFA0}" name="Column9649"/>
    <tableColumn id="9664" xr3:uid="{97EC9697-59C1-436C-A620-12F5C79AF947}" name="Column9650"/>
    <tableColumn id="9665" xr3:uid="{AB8B8F2B-4E7D-4EED-B84B-1F9509B3F7AF}" name="Column9651"/>
    <tableColumn id="9666" xr3:uid="{02870666-A5B7-4F5F-A433-0C639BC045AA}" name="Column9652"/>
    <tableColumn id="9667" xr3:uid="{97BE4728-EB14-4E40-A8EF-D1BB13B1D061}" name="Column9653"/>
    <tableColumn id="9668" xr3:uid="{2DE93BB5-78A5-48A0-A959-C752491D7778}" name="Column9654"/>
    <tableColumn id="9669" xr3:uid="{7F8DC499-42E4-4434-8334-62F96D274CBE}" name="Column9655"/>
    <tableColumn id="9670" xr3:uid="{3A307A07-69C6-4CED-9431-B831C751BF03}" name="Column9656"/>
    <tableColumn id="9671" xr3:uid="{1559F3BD-AA17-4F5E-B002-F31AABF5FFD1}" name="Column9657"/>
    <tableColumn id="9672" xr3:uid="{7F2AA355-7E79-4FF4-9A52-9D1EE5B814AF}" name="Column9658"/>
    <tableColumn id="9673" xr3:uid="{56401C16-C45C-418D-A7DF-96438ACE728E}" name="Column9659"/>
    <tableColumn id="9674" xr3:uid="{26933CC4-4130-43E1-9CCA-83791512F08D}" name="Column9660"/>
    <tableColumn id="9675" xr3:uid="{3D5A921E-94A2-4B03-AC8C-AB1161303EA4}" name="Column9661"/>
    <tableColumn id="9676" xr3:uid="{8643A2A3-7AAB-4DD2-BB70-753895300930}" name="Column9662"/>
    <tableColumn id="9677" xr3:uid="{85137BA1-68D5-41D3-A43F-B5AFC882424A}" name="Column9663"/>
    <tableColumn id="9678" xr3:uid="{9773BA84-A370-4C5E-8CDE-E2E463A7FC8D}" name="Column9664"/>
    <tableColumn id="9679" xr3:uid="{998045D0-0476-48D4-91C7-3CDFE16B5926}" name="Column9665"/>
    <tableColumn id="9680" xr3:uid="{BEDA444C-E3D2-49EE-BF04-D6D09693FDD7}" name="Column9666"/>
    <tableColumn id="9681" xr3:uid="{A9FB4A9B-818E-43B4-BDC4-478085A16877}" name="Column9667"/>
    <tableColumn id="9682" xr3:uid="{D7C4B520-AB02-4F75-BED5-05D7480BCC58}" name="Column9668"/>
    <tableColumn id="9683" xr3:uid="{B9B3DE1E-F2D1-45AB-A272-50175EE70810}" name="Column9669"/>
    <tableColumn id="9684" xr3:uid="{15C4A85E-07C8-409D-966D-D9ABF1F2FF4B}" name="Column9670"/>
    <tableColumn id="9685" xr3:uid="{C04D4AEC-FD0A-4CBF-ABE4-00F9D42B0C63}" name="Column9671"/>
    <tableColumn id="9686" xr3:uid="{F191BDED-8389-40F4-8FBF-9792B79B5C24}" name="Column9672"/>
    <tableColumn id="9687" xr3:uid="{6A0A35D5-D38E-4FB0-B472-2A2E789CD464}" name="Column9673"/>
    <tableColumn id="9688" xr3:uid="{60E68A40-93F8-42C4-B12E-5D71BF229464}" name="Column9674"/>
    <tableColumn id="9689" xr3:uid="{D0694F50-807B-46C7-ABD3-404DD8E1BE56}" name="Column9675"/>
    <tableColumn id="9690" xr3:uid="{801D8692-E74B-41B8-B24B-A14A82668057}" name="Column9676"/>
    <tableColumn id="9691" xr3:uid="{242D98C6-A727-47AA-918D-24BDF917B139}" name="Column9677"/>
    <tableColumn id="9692" xr3:uid="{3923457C-74B2-4E27-AA32-7344E843F322}" name="Column9678"/>
    <tableColumn id="9693" xr3:uid="{79DEF555-0713-4633-85D8-A3AB3A434D7F}" name="Column9679"/>
    <tableColumn id="9694" xr3:uid="{15A20890-55E3-4D48-8005-3FA58651BBE5}" name="Column9680"/>
    <tableColumn id="9695" xr3:uid="{EC9E0848-327A-4B80-A017-B7CA4234D5CC}" name="Column9681"/>
    <tableColumn id="9696" xr3:uid="{3920D877-537D-4071-B996-F00780F48715}" name="Column9682"/>
    <tableColumn id="9697" xr3:uid="{2DA272F5-8837-4170-8B36-E7D7D8ADD264}" name="Column9683"/>
    <tableColumn id="9698" xr3:uid="{ADBE515D-4541-48A1-BF2A-D8B89E6A76A5}" name="Column9684"/>
    <tableColumn id="9699" xr3:uid="{E8C13D1B-77F0-4449-A734-975DCA2530F9}" name="Column9685"/>
    <tableColumn id="9700" xr3:uid="{A40E8A20-12A8-4545-83D3-1CFFA1CF7238}" name="Column9686"/>
    <tableColumn id="9701" xr3:uid="{CF01EF54-E631-4314-98B9-28A8AB85B1C5}" name="Column9687"/>
    <tableColumn id="9702" xr3:uid="{6E2EECAC-65BD-48FE-838F-6632BCA6DA1E}" name="Column9688"/>
    <tableColumn id="9703" xr3:uid="{1375F6DA-6F37-4E74-B7AC-BD804950683A}" name="Column9689"/>
    <tableColumn id="9704" xr3:uid="{7FCF6C0C-930F-40F4-995F-F1F1EF2546A5}" name="Column9690"/>
    <tableColumn id="9705" xr3:uid="{6C998F84-C560-4AD4-95AC-4545F5BB51F0}" name="Column9691"/>
    <tableColumn id="9706" xr3:uid="{1ABE669D-5108-4F4E-909D-91DD55B4F7F8}" name="Column9692"/>
    <tableColumn id="9707" xr3:uid="{21D5F05F-27B5-45AB-9626-BFE5B581B6A3}" name="Column9693"/>
    <tableColumn id="9708" xr3:uid="{7D01075B-D3E0-42E2-B963-EDA545501083}" name="Column9694"/>
    <tableColumn id="9709" xr3:uid="{E5F14A0E-F966-4F33-8C81-735B19374667}" name="Column9695"/>
    <tableColumn id="9710" xr3:uid="{4FEED016-0B1A-45ED-AF8D-67F8F0227833}" name="Column9696"/>
    <tableColumn id="9711" xr3:uid="{69042E8F-2852-4242-AF50-2C7A6C5A2C8B}" name="Column9697"/>
    <tableColumn id="9712" xr3:uid="{DCB41D80-0DDD-4CCB-8DCF-9D63DCAD96C2}" name="Column9698"/>
    <tableColumn id="9713" xr3:uid="{DAE1C911-77AD-40CB-A861-A6CD9C1D1AD8}" name="Column9699"/>
    <tableColumn id="9714" xr3:uid="{09D2FA96-AEC7-44DB-868D-4E2F4C3F2D94}" name="Column9700"/>
    <tableColumn id="9715" xr3:uid="{704216A6-2289-4556-8738-A00F54238407}" name="Column9701"/>
    <tableColumn id="9716" xr3:uid="{7E04A1CF-F408-43DB-BAE2-B16117ACD19F}" name="Column9702"/>
    <tableColumn id="9717" xr3:uid="{81E26CC6-FFD4-4443-97FF-24DE5028AADB}" name="Column9703"/>
    <tableColumn id="9718" xr3:uid="{55479664-91CE-4DB9-82D5-C6AEDA5A66D7}" name="Column9704"/>
    <tableColumn id="9719" xr3:uid="{75347F4E-FAFC-4309-A752-3DC440FBF509}" name="Column9705"/>
    <tableColumn id="9720" xr3:uid="{10238042-69E4-4504-9B06-3652AA6F9D26}" name="Column9706"/>
    <tableColumn id="9721" xr3:uid="{B26EABFF-18C7-4D0B-8332-D7622709B605}" name="Column9707"/>
    <tableColumn id="9722" xr3:uid="{4D42B795-2DCF-448D-A853-36B993EEC2BC}" name="Column9708"/>
    <tableColumn id="9723" xr3:uid="{3802EF0F-8C31-430E-8282-545E5AD5F762}" name="Column9709"/>
    <tableColumn id="9724" xr3:uid="{AA4CC372-5500-457E-A46E-D9A31ADC2410}" name="Column9710"/>
    <tableColumn id="9725" xr3:uid="{0A6C1CCD-29F1-45C4-B578-EA502CB9AC51}" name="Column9711"/>
    <tableColumn id="9726" xr3:uid="{76EEBEF0-41C4-43B1-8F5B-C83656E6E812}" name="Column9712"/>
    <tableColumn id="9727" xr3:uid="{E88126D3-974A-4DBB-A691-F50936447B11}" name="Column9713"/>
    <tableColumn id="9728" xr3:uid="{5CFE6A98-5C75-4E28-8D4D-6858FC543A65}" name="Column9714"/>
    <tableColumn id="9729" xr3:uid="{869613F9-67E4-402B-93A8-E4FB1BB73996}" name="Column9715"/>
    <tableColumn id="9730" xr3:uid="{1D4928BA-F9AC-453C-BB1E-DA0180672B4D}" name="Column9716"/>
    <tableColumn id="9731" xr3:uid="{4FDC543E-97A4-42F2-A8D2-4F566E712DAF}" name="Column9717"/>
    <tableColumn id="9732" xr3:uid="{C1D5F016-8067-48D1-A11C-C00ED9E1B4D7}" name="Column9718"/>
    <tableColumn id="9733" xr3:uid="{08DBAFBB-4998-4770-91D8-9227A2AADFAA}" name="Column9719"/>
    <tableColumn id="9734" xr3:uid="{9A775E47-6415-4A53-B65B-58BD6A99ECD7}" name="Column9720"/>
    <tableColumn id="9735" xr3:uid="{32762048-7A1C-4815-BDAE-92B1D3F31402}" name="Column9721"/>
    <tableColumn id="9736" xr3:uid="{5641F703-E5A9-4F9E-A616-31B362CC28F7}" name="Column9722"/>
    <tableColumn id="9737" xr3:uid="{8EE83AFD-36DF-499F-8A1F-532D6CDC04BD}" name="Column9723"/>
    <tableColumn id="9738" xr3:uid="{62DE9F11-E9DA-4055-B42A-A70549939301}" name="Column9724"/>
    <tableColumn id="9739" xr3:uid="{363AF2AC-F126-48A0-97EA-CD23F7C6F979}" name="Column9725"/>
    <tableColumn id="9740" xr3:uid="{09B3DC25-9AB2-4E61-9951-8568B2C91179}" name="Column9726"/>
    <tableColumn id="9741" xr3:uid="{0DCD7991-333F-4D09-A429-A6F722919048}" name="Column9727"/>
    <tableColumn id="9742" xr3:uid="{046ED9EB-3CBE-46A6-ACB1-9D7CF3C18E5F}" name="Column9728"/>
    <tableColumn id="9743" xr3:uid="{C9DB2DEE-8314-4796-BD9A-EE37AA1C66D2}" name="Column9729"/>
    <tableColumn id="9744" xr3:uid="{400BCB0D-14AD-43F9-913B-DCB2189E52F5}" name="Column9730"/>
    <tableColumn id="9745" xr3:uid="{06E44263-FEA5-429A-BCE5-31C7BF8FD14B}" name="Column9731"/>
    <tableColumn id="9746" xr3:uid="{6B9F21B7-5CDC-4493-A2B4-145CB5B959A6}" name="Column9732"/>
    <tableColumn id="9747" xr3:uid="{AA7019F6-7DA7-4975-ADC2-D04B67ED22AE}" name="Column9733"/>
    <tableColumn id="9748" xr3:uid="{B1CFA643-5FE8-444B-853C-A95147A2A648}" name="Column9734"/>
    <tableColumn id="9749" xr3:uid="{4FCB9145-D7A4-4981-8894-A6A9D7B942D5}" name="Column9735"/>
    <tableColumn id="9750" xr3:uid="{83122D88-B784-48DC-9A11-9182190A04D3}" name="Column9736"/>
    <tableColumn id="9751" xr3:uid="{B0041576-F31E-43D0-9F6B-C7B892B3DC2B}" name="Column9737"/>
    <tableColumn id="9752" xr3:uid="{500DF7F9-E476-4BE9-8579-8E80B0322E0B}" name="Column9738"/>
    <tableColumn id="9753" xr3:uid="{42BC23B4-504B-4B36-932A-02C84207E7F4}" name="Column9739"/>
    <tableColumn id="9754" xr3:uid="{767E2F6D-8070-49D9-BCDA-4B8C0DC17BF6}" name="Column9740"/>
    <tableColumn id="9755" xr3:uid="{EEB5C85E-6B93-4EA7-ABC0-1FDC238D5FDB}" name="Column9741"/>
    <tableColumn id="9756" xr3:uid="{81423AF6-EE07-44DE-A209-13E60211E7CF}" name="Column9742"/>
    <tableColumn id="9757" xr3:uid="{19440D76-EB5C-48BC-B9AF-895EE917F00F}" name="Column9743"/>
    <tableColumn id="9758" xr3:uid="{7D847C33-02CE-4F0C-8D15-51045391B36E}" name="Column9744"/>
    <tableColumn id="9759" xr3:uid="{9D76207A-32F8-485F-869C-774C215E72BA}" name="Column9745"/>
    <tableColumn id="9760" xr3:uid="{03EF1A39-ADD2-4BC7-ADFB-EB4FAB2DC2F5}" name="Column9746"/>
    <tableColumn id="9761" xr3:uid="{29785478-941F-425C-AF62-0635839C9A1B}" name="Column9747"/>
    <tableColumn id="9762" xr3:uid="{F7B15649-87B2-4130-8720-C2E70DBEED75}" name="Column9748"/>
    <tableColumn id="9763" xr3:uid="{7D32ABD9-84F3-4658-B4AC-18656EA01151}" name="Column9749"/>
    <tableColumn id="9764" xr3:uid="{C008BF63-4A26-4B24-AC2F-D68C8E3ED828}" name="Column9750"/>
    <tableColumn id="9765" xr3:uid="{2C944A13-8516-4010-9EC6-27F9C641D269}" name="Column9751"/>
    <tableColumn id="9766" xr3:uid="{7DD0BB4B-9A78-46C1-811D-0D7C92F2465F}" name="Column9752"/>
    <tableColumn id="9767" xr3:uid="{D874FA17-7393-41C0-B405-366E7A5890F3}" name="Column9753"/>
    <tableColumn id="9768" xr3:uid="{6F292421-FC0F-4223-A1FE-3BE48ACC4A1A}" name="Column9754"/>
    <tableColumn id="9769" xr3:uid="{4858C3F1-81C9-44DF-A0DE-CD05874CB786}" name="Column9755"/>
    <tableColumn id="9770" xr3:uid="{5376BA82-8666-4368-82BF-8CE311D5E2C6}" name="Column9756"/>
    <tableColumn id="9771" xr3:uid="{CBFE8A93-F30D-4457-8D42-3BEBFD3DB212}" name="Column9757"/>
    <tableColumn id="9772" xr3:uid="{7CDD934D-DAE6-4009-B787-8F78B5B59CAD}" name="Column9758"/>
    <tableColumn id="9773" xr3:uid="{CED23E99-4AAA-4FD6-B492-77E27F87BA7D}" name="Column9759"/>
    <tableColumn id="9774" xr3:uid="{656AC9E8-949F-49D0-AA5A-2DB0A0265309}" name="Column9760"/>
    <tableColumn id="9775" xr3:uid="{9DFE2BDD-83DE-456E-B302-0D595BB9212F}" name="Column9761"/>
    <tableColumn id="9776" xr3:uid="{B24D8929-8FDC-4976-9559-D8B18AF9FA99}" name="Column9762"/>
    <tableColumn id="9777" xr3:uid="{27DA39AA-1064-4431-BC51-AF5FE6DF8A05}" name="Column9763"/>
    <tableColumn id="9778" xr3:uid="{DCE9ACAC-4F46-4FC2-9EBA-C900DEDDFCAC}" name="Column9764"/>
    <tableColumn id="9779" xr3:uid="{DF5D8D85-DF5D-4E18-A208-70386BDFA065}" name="Column9765"/>
    <tableColumn id="9780" xr3:uid="{373AD0B6-790A-47E3-B400-219BA148E426}" name="Column9766"/>
    <tableColumn id="9781" xr3:uid="{DF5AFCCB-E3AB-4693-B23A-D80DCB8B01E7}" name="Column9767"/>
    <tableColumn id="9782" xr3:uid="{F3A57DA7-C6DF-4A80-AFB7-9F7D3822A806}" name="Column9768"/>
    <tableColumn id="9783" xr3:uid="{D1028331-8B00-4121-A69B-7965F6C705FE}" name="Column9769"/>
    <tableColumn id="9784" xr3:uid="{96FB36F5-A738-4638-93EB-57B9F1C754B4}" name="Column9770"/>
    <tableColumn id="9785" xr3:uid="{75920F43-1E7D-47C7-96C5-1E9DB6C8B3BA}" name="Column9771"/>
    <tableColumn id="9786" xr3:uid="{F032354F-BA94-42C8-B89E-B71F9DA53698}" name="Column9772"/>
    <tableColumn id="9787" xr3:uid="{6FA4FDC8-4D51-4685-A2FC-54D29FBBD326}" name="Column9773"/>
    <tableColumn id="9788" xr3:uid="{5FCD19F0-D3DF-46F7-96DD-4C5865BC02EC}" name="Column9774"/>
    <tableColumn id="9789" xr3:uid="{A52E90C4-00E2-4DE4-8C1E-81666382514A}" name="Column9775"/>
    <tableColumn id="9790" xr3:uid="{F1940A52-68A7-48A7-8BC9-866D7DC26BAE}" name="Column9776"/>
    <tableColumn id="9791" xr3:uid="{F59C1449-85F5-4D69-9FF9-E2542E04B602}" name="Column9777"/>
    <tableColumn id="9792" xr3:uid="{C73CC474-F229-49A7-8D25-328D982C054B}" name="Column9778"/>
    <tableColumn id="9793" xr3:uid="{6992D110-3431-4981-9C4C-25A4FA186503}" name="Column9779"/>
    <tableColumn id="9794" xr3:uid="{D59B1D0C-E3A4-4798-945F-58ED035C1672}" name="Column9780"/>
    <tableColumn id="9795" xr3:uid="{23899F65-9916-434F-800C-551835280338}" name="Column9781"/>
    <tableColumn id="9796" xr3:uid="{E943FED7-33C2-4C48-9E86-903C38F76F93}" name="Column9782"/>
    <tableColumn id="9797" xr3:uid="{A7DD0071-0C04-4946-AB5A-FBB0671AF1DB}" name="Column9783"/>
    <tableColumn id="9798" xr3:uid="{6E9C6930-AAA6-46F7-967B-857F379A83F9}" name="Column9784"/>
    <tableColumn id="9799" xr3:uid="{7B3E1971-29D1-4735-BBD3-8E3DAD924A54}" name="Column9785"/>
    <tableColumn id="9800" xr3:uid="{43B20570-0FAE-461F-BC85-C9FAB6F5048D}" name="Column9786"/>
    <tableColumn id="9801" xr3:uid="{4B8DDCF7-64E1-4F1A-8B17-DF62BE1C568D}" name="Column9787"/>
    <tableColumn id="9802" xr3:uid="{DF92A10C-4529-466F-917C-7BA246FFEF59}" name="Column9788"/>
    <tableColumn id="9803" xr3:uid="{0A230762-F79A-4B9A-863D-2567ABFC2D8C}" name="Column9789"/>
    <tableColumn id="9804" xr3:uid="{D269A54D-8988-4F8A-AD5E-4FF3BCB42B3F}" name="Column9790"/>
    <tableColumn id="9805" xr3:uid="{2A18DBFB-66AD-4184-9CE9-413569FADED3}" name="Column9791"/>
    <tableColumn id="9806" xr3:uid="{164144A3-B8A3-4D12-B332-B623356A4E14}" name="Column9792"/>
    <tableColumn id="9807" xr3:uid="{55B6B661-8E40-4407-9024-131B62C9C319}" name="Column9793"/>
    <tableColumn id="9808" xr3:uid="{75A32149-79EA-4C3C-A2D3-A57BD1923809}" name="Column9794"/>
    <tableColumn id="9809" xr3:uid="{2C61EFE8-4888-4993-96DA-F040AFD21682}" name="Column9795"/>
    <tableColumn id="9810" xr3:uid="{5945AA79-FB22-45DA-A74F-0003C5BEE72D}" name="Column9796"/>
    <tableColumn id="9811" xr3:uid="{0ACEE900-512B-462C-B7AF-435F033E9D0A}" name="Column9797"/>
    <tableColumn id="9812" xr3:uid="{758F01D5-5264-4376-A05C-309608189610}" name="Column9798"/>
    <tableColumn id="9813" xr3:uid="{8E4ADAFE-86C2-4173-B2F5-82C59ED5EEB5}" name="Column9799"/>
    <tableColumn id="9814" xr3:uid="{1304BAA8-9BF9-4D8E-BEF2-CE6EA9343BFF}" name="Column9800"/>
    <tableColumn id="9815" xr3:uid="{A2A55025-F113-44B1-A452-0B825D77696F}" name="Column9801"/>
    <tableColumn id="9816" xr3:uid="{E2624AAA-19B4-43B8-9F35-4E7C05B95BCA}" name="Column9802"/>
    <tableColumn id="9817" xr3:uid="{2A2C5A79-E9B3-454A-9237-224F3CF89444}" name="Column9803"/>
    <tableColumn id="9818" xr3:uid="{9CFBA7A3-D54D-493A-8409-440B78EDE8E9}" name="Column9804"/>
    <tableColumn id="9819" xr3:uid="{4F825513-58A2-4AB7-A870-C153DD1D8A8C}" name="Column9805"/>
    <tableColumn id="9820" xr3:uid="{265E0AEE-31AF-4E92-AD17-A3C1CA49AC08}" name="Column9806"/>
    <tableColumn id="9821" xr3:uid="{905EFF21-9BC5-4741-B22D-A9E08560DAFB}" name="Column9807"/>
    <tableColumn id="9822" xr3:uid="{36D86B9F-5A9D-4BE4-81BF-9AE6007C283D}" name="Column9808"/>
    <tableColumn id="9823" xr3:uid="{AB64ABCD-3BB8-47E7-B301-9770979404AE}" name="Column9809"/>
    <tableColumn id="9824" xr3:uid="{BFEFD6EF-03C8-4CC4-883F-63F01A9DE1F4}" name="Column9810"/>
    <tableColumn id="9825" xr3:uid="{BF2450CF-BEA9-400F-A074-7275327CF093}" name="Column9811"/>
    <tableColumn id="9826" xr3:uid="{B6501DBD-BB56-451C-951C-943FC565AD24}" name="Column9812"/>
    <tableColumn id="9827" xr3:uid="{873DF3C2-064B-4E2B-86EA-9D87F60E752C}" name="Column9813"/>
    <tableColumn id="9828" xr3:uid="{A92EFD22-3804-4784-B68C-1ECA344B8987}" name="Column9814"/>
    <tableColumn id="9829" xr3:uid="{CAD157C1-884D-4A05-B96D-3775DD029571}" name="Column9815"/>
    <tableColumn id="9830" xr3:uid="{068DF5BF-C5DC-44E1-A56C-387E38753B27}" name="Column9816"/>
    <tableColumn id="9831" xr3:uid="{0F4FD1E8-2858-4560-9A46-ACEC9673BE4B}" name="Column9817"/>
    <tableColumn id="9832" xr3:uid="{B94AD471-7405-4A76-A206-3F105E602350}" name="Column9818"/>
    <tableColumn id="9833" xr3:uid="{04D1125A-5265-4F42-9549-850365866E7F}" name="Column9819"/>
    <tableColumn id="9834" xr3:uid="{94B89946-0162-48A7-8427-35FED6B8105A}" name="Column9820"/>
    <tableColumn id="9835" xr3:uid="{14D46D22-0CAD-470A-AC86-99B289E0E67F}" name="Column9821"/>
    <tableColumn id="9836" xr3:uid="{673EA920-5CF8-4CF3-88E4-E7C7E1D8C293}" name="Column9822"/>
    <tableColumn id="9837" xr3:uid="{D2745B6C-A3CC-4FB5-ACEE-2B07CE5771FB}" name="Column9823"/>
    <tableColumn id="9838" xr3:uid="{0F1AC2EC-1ACB-43F5-B236-12FB2B29E86F}" name="Column9824"/>
    <tableColumn id="9839" xr3:uid="{A4B3056F-129C-4DDB-B7C5-CAF257624560}" name="Column9825"/>
    <tableColumn id="9840" xr3:uid="{94056F45-810F-4ECB-9376-389D87BF2AC8}" name="Column9826"/>
    <tableColumn id="9841" xr3:uid="{34238074-0C9D-4606-87B1-76E7587573CB}" name="Column9827"/>
    <tableColumn id="9842" xr3:uid="{1AD03645-B30A-415C-B176-4E0E0B3CCD0F}" name="Column9828"/>
    <tableColumn id="9843" xr3:uid="{4457447C-7FA7-4F6A-8B3E-CFD140A46E10}" name="Column9829"/>
    <tableColumn id="9844" xr3:uid="{E71D09F7-FEC7-493A-B334-3927BEC67811}" name="Column9830"/>
    <tableColumn id="9845" xr3:uid="{49EE1DD3-E61A-4F4B-A6A2-402D78E914D4}" name="Column9831"/>
    <tableColumn id="9846" xr3:uid="{245F5FCC-40D2-4998-8624-5872D5FBA065}" name="Column9832"/>
    <tableColumn id="9847" xr3:uid="{F8D5D974-471E-4771-8B7C-C36D1C40AFF4}" name="Column9833"/>
    <tableColumn id="9848" xr3:uid="{EE756F39-0CFC-442C-9D6A-943B3C55A333}" name="Column9834"/>
    <tableColumn id="9849" xr3:uid="{5EDD2CC2-215B-400D-847C-26FC46A52F3D}" name="Column9835"/>
    <tableColumn id="9850" xr3:uid="{1D6EB6EF-281A-4E20-B196-207C11DDD1C0}" name="Column9836"/>
    <tableColumn id="9851" xr3:uid="{CDB7C7F6-4BB2-4F63-8FD3-D798D959A1C2}" name="Column9837"/>
    <tableColumn id="9852" xr3:uid="{90BAF1B5-ED65-43CF-A82A-5C90FFA198A7}" name="Column9838"/>
    <tableColumn id="9853" xr3:uid="{F34A8277-8242-4956-A050-2A3CF818FBB4}" name="Column9839"/>
    <tableColumn id="9854" xr3:uid="{83DCB952-4458-4054-9898-1B6357973BC6}" name="Column9840"/>
    <tableColumn id="9855" xr3:uid="{FB0AEBB2-FD46-4A39-829C-169B83348E74}" name="Column9841"/>
    <tableColumn id="9856" xr3:uid="{199CC16F-14AC-4D1B-8FB8-44BD7B770E85}" name="Column9842"/>
    <tableColumn id="9857" xr3:uid="{FE82E03A-FC91-41A0-BD33-B3874506AA0E}" name="Column9843"/>
    <tableColumn id="9858" xr3:uid="{C4BCFCFC-AEB2-48E4-9947-E673154F05B3}" name="Column9844"/>
    <tableColumn id="9859" xr3:uid="{B6245E23-C0F8-48F0-89C7-08390EFC69B5}" name="Column9845"/>
    <tableColumn id="9860" xr3:uid="{162368E7-A5A8-4DC4-B93A-0745E712495E}" name="Column9846"/>
    <tableColumn id="9861" xr3:uid="{5A994061-E5EB-40A6-9F0A-E9C339217AD9}" name="Column9847"/>
    <tableColumn id="9862" xr3:uid="{87419170-1294-434B-BACC-4A5EA56E7FF0}" name="Column9848"/>
    <tableColumn id="9863" xr3:uid="{49369F85-80EF-4652-BB35-8EC8B27B07C3}" name="Column9849"/>
    <tableColumn id="9864" xr3:uid="{BE2ECC24-E416-4D51-8B6B-FF61B3CD9410}" name="Column9850"/>
    <tableColumn id="9865" xr3:uid="{57566668-2514-4819-AECC-4F51E1B6064C}" name="Column9851"/>
    <tableColumn id="9866" xr3:uid="{2D43E680-8069-4178-9E95-E51FCA0CDD27}" name="Column9852"/>
    <tableColumn id="9867" xr3:uid="{F06FB98D-8051-456E-916B-5AFE191203F0}" name="Column9853"/>
    <tableColumn id="9868" xr3:uid="{417750E2-1FEA-412D-87B2-B435D0AFD5B5}" name="Column9854"/>
    <tableColumn id="9869" xr3:uid="{A622DBF7-732A-4A35-88C2-A5624758EB7C}" name="Column9855"/>
    <tableColumn id="9870" xr3:uid="{113D1A17-734D-41DD-B8F0-B54FE2E2503C}" name="Column9856"/>
    <tableColumn id="9871" xr3:uid="{4374C975-9664-4947-B8DC-6B267EBF2A5E}" name="Column9857"/>
    <tableColumn id="9872" xr3:uid="{AF39E666-98FA-4925-BB02-AB4AF52DF2DB}" name="Column9858"/>
    <tableColumn id="9873" xr3:uid="{FAFAF407-5D4D-4DAE-8317-EDB0D849B33E}" name="Column9859"/>
    <tableColumn id="9874" xr3:uid="{4C1CEB29-F502-4FA0-B5B2-ED077BD92537}" name="Column9860"/>
    <tableColumn id="9875" xr3:uid="{3B81312E-3411-4EFB-A61F-5A398213D483}" name="Column9861"/>
    <tableColumn id="9876" xr3:uid="{8815B058-D16A-4A5C-B287-FAEA8BC9AA06}" name="Column9862"/>
    <tableColumn id="9877" xr3:uid="{CCD87E98-B04F-4A9C-BAD9-FB3285F5E648}" name="Column9863"/>
    <tableColumn id="9878" xr3:uid="{1DD8C6CF-9001-4D2F-85FE-A68EE1887864}" name="Column9864"/>
    <tableColumn id="9879" xr3:uid="{EA4A09D1-8617-467E-8A0A-670E2601A233}" name="Column9865"/>
    <tableColumn id="9880" xr3:uid="{0D5E3536-C325-4363-BE5D-AB4D4B3DD0ED}" name="Column9866"/>
    <tableColumn id="9881" xr3:uid="{1319AB50-7495-483B-B938-DB99C96AE682}" name="Column9867"/>
    <tableColumn id="9882" xr3:uid="{5AB934A7-0551-4508-A39C-2C99F1938A0D}" name="Column9868"/>
    <tableColumn id="9883" xr3:uid="{6A4E77DB-F133-48DA-AC3C-C1ADFAC274E1}" name="Column9869"/>
    <tableColumn id="9884" xr3:uid="{18B3C93D-4585-49FE-8483-7807E7492A3B}" name="Column9870"/>
    <tableColumn id="9885" xr3:uid="{39658B13-7831-44CD-A43D-2DAE37A4D7CA}" name="Column9871"/>
    <tableColumn id="9886" xr3:uid="{C94CACFF-4E77-488D-9001-E6D3B049C1BD}" name="Column9872"/>
    <tableColumn id="9887" xr3:uid="{91CBA7E4-C6C3-4CE7-95EF-E0A7671ADF35}" name="Column9873"/>
    <tableColumn id="9888" xr3:uid="{95BE5999-B0E1-4595-8F8E-17AE11E6F452}" name="Column9874"/>
    <tableColumn id="9889" xr3:uid="{CFAD2005-84D6-4F99-B1F4-6BF36C644359}" name="Column9875"/>
    <tableColumn id="9890" xr3:uid="{29057295-A026-4D92-AE24-4D9FDB03F8E0}" name="Column9876"/>
    <tableColumn id="9891" xr3:uid="{C0CA16A0-202A-4537-8E70-6104778D7C48}" name="Column9877"/>
    <tableColumn id="9892" xr3:uid="{B6C2A563-261A-4B5F-84D1-D5F8C0FAA11F}" name="Column9878"/>
    <tableColumn id="9893" xr3:uid="{2E844FB4-91D8-4D8B-8A8B-28758D569B0A}" name="Column9879"/>
    <tableColumn id="9894" xr3:uid="{55F9393C-3316-4F8B-A208-53B9D8E7D617}" name="Column9880"/>
    <tableColumn id="9895" xr3:uid="{D3240823-145B-4924-960F-15BD41B616AF}" name="Column9881"/>
    <tableColumn id="9896" xr3:uid="{0B960160-BF4F-4665-A923-E0E84991D00B}" name="Column9882"/>
    <tableColumn id="9897" xr3:uid="{ADBAE3C9-F141-4A28-9872-CB656992ABF3}" name="Column9883"/>
    <tableColumn id="9898" xr3:uid="{5CA3C732-B1BA-4EBB-98C3-AB77B7F69BEF}" name="Column9884"/>
    <tableColumn id="9899" xr3:uid="{2BF13A61-2DCB-49CA-892B-9300425CBE5A}" name="Column9885"/>
    <tableColumn id="9900" xr3:uid="{4ACC9832-56F9-451E-AAB5-64799AD2898F}" name="Column9886"/>
    <tableColumn id="9901" xr3:uid="{10595A99-05BE-498B-82A9-E6684FD60BBB}" name="Column9887"/>
    <tableColumn id="9902" xr3:uid="{4B05A75F-4532-4275-8DDF-7C466F7F0152}" name="Column9888"/>
    <tableColumn id="9903" xr3:uid="{82796ECE-C74D-4BF7-B702-3995183B2502}" name="Column9889"/>
    <tableColumn id="9904" xr3:uid="{835D5B67-26AD-435B-8596-2A2168DEDF57}" name="Column9890"/>
    <tableColumn id="9905" xr3:uid="{F957CA69-4C74-457F-BCD4-0844027E77C5}" name="Column9891"/>
    <tableColumn id="9906" xr3:uid="{991C305D-AAF5-4B45-BED8-509577DEFE56}" name="Column9892"/>
    <tableColumn id="9907" xr3:uid="{2281F8EF-AA9E-4FBC-B002-D5F0F83840D5}" name="Column9893"/>
    <tableColumn id="9908" xr3:uid="{67DC407B-E9BE-42EE-96AD-966FF228EADC}" name="Column9894"/>
    <tableColumn id="9909" xr3:uid="{527A1AA8-1AC8-4EF7-8B23-81573396F9E6}" name="Column9895"/>
    <tableColumn id="9910" xr3:uid="{444E0480-7D8F-4981-BD82-2FEF94B7C019}" name="Column9896"/>
    <tableColumn id="9911" xr3:uid="{44F3F376-D861-4302-9B42-B470FA5DF4BF}" name="Column9897"/>
    <tableColumn id="9912" xr3:uid="{2D3A5C25-D90F-49E4-977F-B17210CE3D89}" name="Column9898"/>
    <tableColumn id="9913" xr3:uid="{3FE1CA4C-214F-4B46-9D6B-A5DA0D08143B}" name="Column9899"/>
    <tableColumn id="9914" xr3:uid="{9FA3849E-AC0E-4AEC-B946-6DFA26ADD114}" name="Column9900"/>
    <tableColumn id="9915" xr3:uid="{62697777-201B-484B-85E1-7074AE55987A}" name="Column9901"/>
    <tableColumn id="9916" xr3:uid="{33253464-89EE-486E-85EA-DA504C3677F5}" name="Column9902"/>
    <tableColumn id="9917" xr3:uid="{64DD9661-F3C8-41B9-9274-CB195C0B3C3D}" name="Column9903"/>
    <tableColumn id="9918" xr3:uid="{A2B57169-5493-4D11-9310-07D35D4D63DB}" name="Column9904"/>
    <tableColumn id="9919" xr3:uid="{62789831-308F-438B-8827-C3B21AC8F835}" name="Column9905"/>
    <tableColumn id="9920" xr3:uid="{1409524C-3B05-4969-84F8-EDE5339DEBC9}" name="Column9906"/>
    <tableColumn id="9921" xr3:uid="{EE8A79E8-2358-4BCA-A04D-18ECF33E65FD}" name="Column9907"/>
    <tableColumn id="9922" xr3:uid="{F2A7CCC3-3625-45EB-9414-7752B83FDE81}" name="Column9908"/>
    <tableColumn id="9923" xr3:uid="{E87F05CB-6742-44FA-8788-0F21478F12DE}" name="Column9909"/>
    <tableColumn id="9924" xr3:uid="{310CE82C-2C16-4FB6-8422-0C8E89FE5C7E}" name="Column9910"/>
    <tableColumn id="9925" xr3:uid="{0B23DAFC-CE10-42F0-A5F9-10A8560E8729}" name="Column9911"/>
    <tableColumn id="9926" xr3:uid="{0C096BC1-5E95-4F1D-ACE9-78B6ED00DC39}" name="Column9912"/>
    <tableColumn id="9927" xr3:uid="{8504691A-714C-477F-AFEC-D660CF2089EC}" name="Column9913"/>
    <tableColumn id="9928" xr3:uid="{3744B505-5A4D-44DB-B349-7B582E1A00B0}" name="Column9914"/>
    <tableColumn id="9929" xr3:uid="{5131CDA4-C4CD-49EA-94CE-C9A3F2369CBA}" name="Column9915"/>
    <tableColumn id="9930" xr3:uid="{79D6E21C-D1E8-4701-9F04-FD6D619658BD}" name="Column9916"/>
    <tableColumn id="9931" xr3:uid="{2889313D-EFD3-475C-97F5-43CB79EB88BE}" name="Column9917"/>
    <tableColumn id="9932" xr3:uid="{2EB5643D-F153-4B45-BB53-CCA454C27EF6}" name="Column9918"/>
    <tableColumn id="9933" xr3:uid="{EA235666-34B9-46A0-9A82-6C2FA3F7647E}" name="Column9919"/>
    <tableColumn id="9934" xr3:uid="{1689E161-FD8A-4026-9025-FC12DFD9019B}" name="Column9920"/>
    <tableColumn id="9935" xr3:uid="{6608A3C4-76EF-4465-9121-89E68D0195CC}" name="Column9921"/>
    <tableColumn id="9936" xr3:uid="{847220C5-C696-4979-BF93-C0FBA6A76678}" name="Column9922"/>
    <tableColumn id="9937" xr3:uid="{BDA9F327-2299-42EE-A2A5-5E31BEB602D0}" name="Column9923"/>
    <tableColumn id="9938" xr3:uid="{A146249C-D725-4991-BA27-42E4ABE78381}" name="Column9924"/>
    <tableColumn id="9939" xr3:uid="{D3E123EF-BCAF-4AB5-B385-F6547E11C356}" name="Column9925"/>
    <tableColumn id="9940" xr3:uid="{9FE5846C-6A5E-474C-94BC-737A07AA3C9A}" name="Column9926"/>
    <tableColumn id="9941" xr3:uid="{F7874205-2F37-4416-B7A3-F1F4BE037610}" name="Column9927"/>
    <tableColumn id="9942" xr3:uid="{2CD87D70-E551-44CF-BF2A-D7BF6A7AB1A2}" name="Column9928"/>
    <tableColumn id="9943" xr3:uid="{412D6DAF-9FAF-4AD7-8DF3-32184265013C}" name="Column9929"/>
    <tableColumn id="9944" xr3:uid="{F23FDE80-C06D-4652-9EA6-6CE6BB4C369C}" name="Column9930"/>
    <tableColumn id="9945" xr3:uid="{6C9D20CC-2414-46F3-B6D8-81DEC8897FD2}" name="Column9931"/>
    <tableColumn id="9946" xr3:uid="{CA5EFE56-55E9-4919-AE87-0FD11F6C17B6}" name="Column9932"/>
    <tableColumn id="9947" xr3:uid="{FFC54B55-B108-4274-A4BC-1FD6CF5DE404}" name="Column9933"/>
    <tableColumn id="9948" xr3:uid="{20754382-60B7-450D-91E1-B521174FE7D4}" name="Column9934"/>
    <tableColumn id="9949" xr3:uid="{FB4BF7B2-8E4F-43A7-A018-52D5D532E511}" name="Column9935"/>
    <tableColumn id="9950" xr3:uid="{39EB7072-EE9C-45D1-8661-E4CF93F77D40}" name="Column9936"/>
    <tableColumn id="9951" xr3:uid="{D62A2501-A5FB-4A8C-ADB4-C3F45D12F4DC}" name="Column9937"/>
    <tableColumn id="9952" xr3:uid="{1CD476E4-2E5F-43BE-B860-7DBAC06C869B}" name="Column9938"/>
    <tableColumn id="9953" xr3:uid="{063A6FFA-7FA0-4261-BD7C-AF3B103BF9FE}" name="Column9939"/>
    <tableColumn id="9954" xr3:uid="{24CCED0A-F440-4E90-BAF9-2966A9E5EE8F}" name="Column9940"/>
    <tableColumn id="9955" xr3:uid="{C4256A55-99FD-49C7-A032-4B8410072062}" name="Column9941"/>
    <tableColumn id="9956" xr3:uid="{97174242-60A4-49F8-9220-90C84E48346C}" name="Column9942"/>
    <tableColumn id="9957" xr3:uid="{7E16DD5A-09D8-44CB-9B86-275E74EA18B5}" name="Column9943"/>
    <tableColumn id="9958" xr3:uid="{893384F8-6515-4925-AC76-7DA985368389}" name="Column9944"/>
    <tableColumn id="9959" xr3:uid="{427EDCB0-358E-4754-8E9B-DAC6830B8811}" name="Column9945"/>
    <tableColumn id="9960" xr3:uid="{B5AE5208-BE82-409F-B024-D04F8E2223F5}" name="Column9946"/>
    <tableColumn id="9961" xr3:uid="{F3BA2CDB-9EB6-4CF9-AE16-7DB4D6D03B4E}" name="Column9947"/>
    <tableColumn id="9962" xr3:uid="{0621F58C-8BF9-4AD6-B2AA-F970B6E413E5}" name="Column9948"/>
    <tableColumn id="9963" xr3:uid="{01CDE933-C2DA-4A3B-8502-81FA46E7719B}" name="Column9949"/>
    <tableColumn id="9964" xr3:uid="{FAC7ACC9-B54C-4789-8543-C4A11E56E5DA}" name="Column9950"/>
    <tableColumn id="9965" xr3:uid="{A042E64B-3E3D-45E4-B5ED-A0B2B9CF233E}" name="Column9951"/>
    <tableColumn id="9966" xr3:uid="{0F340C58-979A-4CAA-B79E-D1B3CC8DCCA2}" name="Column9952"/>
    <tableColumn id="9967" xr3:uid="{9811B724-A1BA-4224-9AEB-4E59007DC17D}" name="Column9953"/>
    <tableColumn id="9968" xr3:uid="{7D001D49-DE90-40EA-A200-C3FB5E510E22}" name="Column9954"/>
    <tableColumn id="9969" xr3:uid="{EBE66E9D-9A91-4242-96EE-6F23201F1C94}" name="Column9955"/>
    <tableColumn id="9970" xr3:uid="{B59701FF-CF12-4EEF-B0C7-7B91D4076487}" name="Column9956"/>
    <tableColumn id="9971" xr3:uid="{2287ED6E-4896-4C40-91E5-1A8A04AB1126}" name="Column9957"/>
    <tableColumn id="9972" xr3:uid="{5C4806D8-E96D-498E-9D2E-614FDE153657}" name="Column9958"/>
    <tableColumn id="9973" xr3:uid="{D6B6D1E1-FBDF-4DD9-9B0C-06996769634F}" name="Column9959"/>
    <tableColumn id="9974" xr3:uid="{FB422EA9-2F0C-450E-8FD4-420F8B2A0F27}" name="Column9960"/>
    <tableColumn id="9975" xr3:uid="{F2902A12-8AE4-4C0A-90CA-564ADE8E0990}" name="Column9961"/>
    <tableColumn id="9976" xr3:uid="{6A155DB3-21CC-4605-AF0B-B4677A53A6B0}" name="Column9962"/>
    <tableColumn id="9977" xr3:uid="{69DF1B65-D5F8-4DAB-A6EA-CC2C3A1210DE}" name="Column9963"/>
    <tableColumn id="9978" xr3:uid="{401A89A6-20AD-4D4A-95A6-EE6E78A27EF3}" name="Column9964"/>
    <tableColumn id="9979" xr3:uid="{B2D10F81-CA0E-4AD6-8D60-67FAA49A82F7}" name="Column9965"/>
    <tableColumn id="9980" xr3:uid="{BC06A05F-074C-4600-AFAF-30771998344A}" name="Column9966"/>
    <tableColumn id="9981" xr3:uid="{FE0ABC8C-F8DB-4F4B-8BC1-EE6245AA75DC}" name="Column9967"/>
    <tableColumn id="9982" xr3:uid="{564A63B2-AD79-428D-98CD-C23994A09A37}" name="Column9968"/>
    <tableColumn id="9983" xr3:uid="{23AC4866-3D0E-4274-A643-7C70C1EBE077}" name="Column9969"/>
    <tableColumn id="9984" xr3:uid="{221DDEE4-45E4-4C35-8187-569ADF2569BD}" name="Column9970"/>
    <tableColumn id="9985" xr3:uid="{882B2648-6098-4393-8286-1280A8ED0D19}" name="Column9971"/>
    <tableColumn id="9986" xr3:uid="{579BDD43-4970-4F78-8A35-D41DB7E0F774}" name="Column9972"/>
    <tableColumn id="9987" xr3:uid="{B2F9E38C-80C4-4F36-8EA7-C7C20C729FA3}" name="Column9973"/>
    <tableColumn id="9988" xr3:uid="{06C5A503-E294-4BD6-9BDB-ADBA5C79AE68}" name="Column9974"/>
    <tableColumn id="9989" xr3:uid="{9AC88E1A-7AE3-4A58-BDD1-5151721D6EED}" name="Column9975"/>
    <tableColumn id="9990" xr3:uid="{EFA6F952-B721-4873-BC39-35E6C2E9DB55}" name="Column9976"/>
    <tableColumn id="9991" xr3:uid="{F2EB7109-7E29-45DF-9E34-805883B456A9}" name="Column9977"/>
    <tableColumn id="9992" xr3:uid="{A500F0D7-D090-4B4D-956E-154DDDAAED08}" name="Column9978"/>
    <tableColumn id="9993" xr3:uid="{DAD70788-F5B9-4638-9A53-489D7719236C}" name="Column9979"/>
    <tableColumn id="9994" xr3:uid="{B22284FC-688A-45D2-8D8B-101672046952}" name="Column9980"/>
    <tableColumn id="9995" xr3:uid="{1D8610D3-A1C6-4772-B699-ACD07C3DB812}" name="Column9981"/>
    <tableColumn id="9996" xr3:uid="{00C350C6-A7AB-4648-9ABF-EFA47FBEB64F}" name="Column9982"/>
    <tableColumn id="9997" xr3:uid="{2D7EF236-44F2-44FD-9E9C-4AD5D23B2265}" name="Column9983"/>
    <tableColumn id="9998" xr3:uid="{DDB546E2-5137-4CE4-9EDD-717626087C5C}" name="Column9984"/>
    <tableColumn id="9999" xr3:uid="{6A689CAA-390D-4BBD-9D75-B0D5D980E19F}" name="Column9985"/>
    <tableColumn id="10000" xr3:uid="{6BC990E2-074D-4135-9EBC-8DD98378357D}" name="Column9986"/>
    <tableColumn id="10001" xr3:uid="{A7523319-2889-49D3-9F75-7FDB61FD36FB}" name="Column9987"/>
    <tableColumn id="10002" xr3:uid="{2D1180CB-7681-4B5F-AE32-40346F6B5FE0}" name="Column9988"/>
    <tableColumn id="10003" xr3:uid="{B7839630-CF80-4DB1-87F6-087B7CFFEBAA}" name="Column9989"/>
    <tableColumn id="10004" xr3:uid="{F694A5E4-9B0B-4871-9D80-7611EFA53676}" name="Column9990"/>
    <tableColumn id="10005" xr3:uid="{8D8E6814-F0E5-403F-B0E4-A34B7E12318B}" name="Column9991"/>
    <tableColumn id="10006" xr3:uid="{F6770530-A84B-4B05-B742-7085B11FF3E9}" name="Column9992"/>
    <tableColumn id="10007" xr3:uid="{CE62E2A5-0A25-4022-A2ED-4C4B13E941FE}" name="Column9993"/>
    <tableColumn id="10008" xr3:uid="{A3700416-28F5-47B6-81DD-D0841061543A}" name="Column9994"/>
    <tableColumn id="10009" xr3:uid="{72CC6CD3-B074-41CF-8F0D-D5AD84235E2B}" name="Column9995"/>
    <tableColumn id="10010" xr3:uid="{7C32E332-4E7B-4B10-AE8B-35F2831FEBAB}" name="Column9996"/>
    <tableColumn id="10011" xr3:uid="{B622A07D-CD84-4B12-B423-3A80AD38CC87}" name="Column9997"/>
    <tableColumn id="10012" xr3:uid="{D37BA048-F792-4BC4-9CA2-DAB4DD1CB9F2}" name="Column9998"/>
    <tableColumn id="10013" xr3:uid="{60E648FD-DA46-45F5-8427-CD5609856DBE}" name="Column9999"/>
    <tableColumn id="10014" xr3:uid="{DCD254B8-4ADF-4845-8A12-4B5D95648D45}" name="Column10000"/>
    <tableColumn id="10015" xr3:uid="{B8CB3C22-E9A3-428A-A058-10BEF4E07110}" name="Column10001"/>
    <tableColumn id="10016" xr3:uid="{A6875E44-0BE1-4070-A80F-1CD3E3CE9956}" name="Column10002"/>
    <tableColumn id="10017" xr3:uid="{FC4F4FAC-410A-441D-A3EA-6CB4686FE001}" name="Column10003"/>
    <tableColumn id="10018" xr3:uid="{188C891C-E629-40B2-AB44-63490A5C0EDB}" name="Column10004"/>
    <tableColumn id="10019" xr3:uid="{6DDC54A6-11AC-4DFD-A11D-08CC31F8C261}" name="Column10005"/>
    <tableColumn id="10020" xr3:uid="{01645A38-AD5D-498B-AE75-C3F5C6B68B05}" name="Column10006"/>
    <tableColumn id="10021" xr3:uid="{286A2540-2FAD-4C01-B4C5-21A6994E8A04}" name="Column10007"/>
    <tableColumn id="10022" xr3:uid="{01916C80-919C-46D7-BA6A-25F06A805EDB}" name="Column10008"/>
    <tableColumn id="10023" xr3:uid="{EBF7B46A-2FE0-4FFE-A60D-09E9C2795561}" name="Column10009"/>
    <tableColumn id="10024" xr3:uid="{9892CA5C-590B-4A21-9C16-A8569D78F008}" name="Column10010"/>
    <tableColumn id="10025" xr3:uid="{6A70743A-5940-46D5-9474-1F96A1D0E2F2}" name="Column10011"/>
    <tableColumn id="10026" xr3:uid="{28C5FBFD-AA43-4BE4-B9AC-07B40F36BFC2}" name="Column10012"/>
    <tableColumn id="10027" xr3:uid="{B9F7CE81-46BC-4DA6-841B-761148C1B090}" name="Column10013"/>
    <tableColumn id="10028" xr3:uid="{6052F65A-306B-4422-A80B-DF1DEB460A13}" name="Column10014"/>
    <tableColumn id="10029" xr3:uid="{A4B96E3B-38EC-4EA6-B477-7332E4B781AD}" name="Column10015"/>
    <tableColumn id="10030" xr3:uid="{94102BBA-180F-4A4D-A56B-F0A82E51FDDD}" name="Column10016"/>
    <tableColumn id="10031" xr3:uid="{DCC9DD01-7C53-4250-8459-81B2291289AB}" name="Column10017"/>
    <tableColumn id="10032" xr3:uid="{6B29CFCD-3ECE-44B3-B8E3-4E37EED138FC}" name="Column10018"/>
    <tableColumn id="10033" xr3:uid="{419D73AD-5906-41F1-9E51-7B85DAD15C29}" name="Column10019"/>
    <tableColumn id="10034" xr3:uid="{2378645B-2E23-4673-AA16-B34394CE704A}" name="Column10020"/>
    <tableColumn id="10035" xr3:uid="{37272FCD-74DE-417A-9BA4-4224BF244350}" name="Column10021"/>
    <tableColumn id="10036" xr3:uid="{7A4ACB04-1496-452A-8E87-5D20DFCAB56A}" name="Column10022"/>
    <tableColumn id="10037" xr3:uid="{B8B7B717-8D7F-4D84-BFA6-1354B3C94BCA}" name="Column10023"/>
    <tableColumn id="10038" xr3:uid="{54896ADC-5789-47A9-9122-70C2D228AFF8}" name="Column10024"/>
    <tableColumn id="10039" xr3:uid="{EF53340F-4535-4106-8992-0FCEA4C72903}" name="Column10025"/>
    <tableColumn id="10040" xr3:uid="{4229E8F1-8D35-4D8E-A75B-23F6B8645474}" name="Column10026"/>
    <tableColumn id="10041" xr3:uid="{996BCFC8-5FC4-423E-86F5-5CAA04154B02}" name="Column10027"/>
    <tableColumn id="10042" xr3:uid="{067E4CF5-FB91-4C90-91E6-1ECDC70F96F1}" name="Column10028"/>
    <tableColumn id="10043" xr3:uid="{960B4AA9-A0E2-441A-AE4A-2626233EEF72}" name="Column10029"/>
    <tableColumn id="10044" xr3:uid="{73E23962-B475-4A55-9947-1B8785E88ED9}" name="Column10030"/>
    <tableColumn id="10045" xr3:uid="{CB71BA92-8EFE-477B-B722-13D902CE98FD}" name="Column10031"/>
    <tableColumn id="10046" xr3:uid="{C2685182-6CCC-4864-AA9C-A34123F3A845}" name="Column10032"/>
    <tableColumn id="10047" xr3:uid="{89F5D22D-E9A3-4557-8E3F-B3175CB01343}" name="Column10033"/>
    <tableColumn id="10048" xr3:uid="{E32B0E5C-3027-445D-89C0-29A085D3CDAB}" name="Column10034"/>
    <tableColumn id="10049" xr3:uid="{22DA39EB-9962-46A4-8EF9-EC0E1280DA8E}" name="Column10035"/>
    <tableColumn id="10050" xr3:uid="{3D7A8163-7973-4351-B3FE-062054FF18FA}" name="Column10036"/>
    <tableColumn id="10051" xr3:uid="{3A33BAFB-ADB1-474E-8FC5-07BDA255C1AA}" name="Column10037"/>
    <tableColumn id="10052" xr3:uid="{A2E2D964-A16D-4096-A945-C12E1B1EE251}" name="Column10038"/>
    <tableColumn id="10053" xr3:uid="{A79FAD57-046A-4CBC-92AD-1FA0177A7361}" name="Column10039"/>
    <tableColumn id="10054" xr3:uid="{18AD005F-9184-41D3-A525-47D58FEB15F4}" name="Column10040"/>
    <tableColumn id="10055" xr3:uid="{3736FAF0-B694-4015-AC23-AF67A972A082}" name="Column10041"/>
    <tableColumn id="10056" xr3:uid="{A5925CF9-E0C0-41B2-9BA8-62E6A5F55114}" name="Column10042"/>
    <tableColumn id="10057" xr3:uid="{B053A7BB-22E4-4424-8892-A67703BCE676}" name="Column10043"/>
    <tableColumn id="10058" xr3:uid="{F1EAED0A-7CBD-4FCF-B0F3-98B7DFC72EF5}" name="Column10044"/>
    <tableColumn id="10059" xr3:uid="{AD6A1C53-576E-4590-9CE1-B92778EE202A}" name="Column10045"/>
    <tableColumn id="10060" xr3:uid="{67F176D6-04DA-4F37-9FA6-39AE79EA2C47}" name="Column10046"/>
    <tableColumn id="10061" xr3:uid="{7DAD00C8-273B-45BA-8EFE-BF143CE9542B}" name="Column10047"/>
    <tableColumn id="10062" xr3:uid="{5B7A3128-6EA7-4FBB-AB23-3076C2FE7B73}" name="Column10048"/>
    <tableColumn id="10063" xr3:uid="{5A2E7534-97AA-40EF-B9D1-206B750CF9C0}" name="Column10049"/>
    <tableColumn id="10064" xr3:uid="{DE949928-7CB6-4385-A823-B74263832A33}" name="Column10050"/>
    <tableColumn id="10065" xr3:uid="{9C920A96-E892-48FB-BA2B-D1E201E3902C}" name="Column10051"/>
    <tableColumn id="10066" xr3:uid="{3C9307AC-AC62-4333-A11A-D30B72E15C8C}" name="Column10052"/>
    <tableColumn id="10067" xr3:uid="{701638D9-447D-4487-A973-767BD50633F9}" name="Column10053"/>
    <tableColumn id="10068" xr3:uid="{6FF65DB5-5947-4095-BFA3-4DAF185A2D45}" name="Column10054"/>
    <tableColumn id="10069" xr3:uid="{F3F547C1-DC73-4D38-9E2A-2A93A5E9D709}" name="Column10055"/>
    <tableColumn id="10070" xr3:uid="{316E27F0-F6E9-43BD-934F-E1D63C517940}" name="Column10056"/>
    <tableColumn id="10071" xr3:uid="{C867C50A-5BFE-490A-BE54-12604815379E}" name="Column10057"/>
    <tableColumn id="10072" xr3:uid="{4560B45C-A780-40A6-AC20-623039528EDD}" name="Column10058"/>
    <tableColumn id="10073" xr3:uid="{1055DAC9-A21B-4466-ACEC-8A5299ABACA2}" name="Column10059"/>
    <tableColumn id="10074" xr3:uid="{FB07D9D5-DD92-4C70-AEC3-1B38BA1A03D9}" name="Column10060"/>
    <tableColumn id="10075" xr3:uid="{63B67DB3-0044-47F7-AC61-AB899DE195F3}" name="Column10061"/>
    <tableColumn id="10076" xr3:uid="{CBF23CF1-BC30-4B64-8065-0CAE2F2184C4}" name="Column10062"/>
    <tableColumn id="10077" xr3:uid="{7BAA651D-58D1-4B37-87F4-38E6A03C86BD}" name="Column10063"/>
    <tableColumn id="10078" xr3:uid="{CF404029-6BE6-49D9-8538-BCF1AAE8BD6C}" name="Column10064"/>
    <tableColumn id="10079" xr3:uid="{484DAD0C-D993-4396-9D0D-28BBC06DC19C}" name="Column10065"/>
    <tableColumn id="10080" xr3:uid="{728A9351-8847-4E29-A222-E72FF92A6097}" name="Column10066"/>
    <tableColumn id="10081" xr3:uid="{4D5C355D-843D-4F93-922B-36213B5680F0}" name="Column10067"/>
    <tableColumn id="10082" xr3:uid="{253039D7-E7EE-40F0-96BE-CD47AA0C3FF0}" name="Column10068"/>
    <tableColumn id="10083" xr3:uid="{910A9D24-6A75-4F05-8444-4190889081EE}" name="Column10069"/>
    <tableColumn id="10084" xr3:uid="{86FCC703-0C35-4688-9369-3C721C889332}" name="Column10070"/>
    <tableColumn id="10085" xr3:uid="{8057F50B-A64F-4EBC-B2EC-B27BE6F899E9}" name="Column10071"/>
    <tableColumn id="10086" xr3:uid="{657FC8F2-7503-49C5-8F44-6516500D32F3}" name="Column10072"/>
    <tableColumn id="10087" xr3:uid="{737D4877-BECE-4194-AC24-436EEF994064}" name="Column10073"/>
    <tableColumn id="10088" xr3:uid="{7E9F7B67-60F5-4863-A221-8E2F6C7B3789}" name="Column10074"/>
    <tableColumn id="10089" xr3:uid="{BED9015B-278E-4500-9EE1-288EB00F824E}" name="Column10075"/>
    <tableColumn id="10090" xr3:uid="{65803DD0-B862-4E94-AA0B-CBF774536E93}" name="Column10076"/>
    <tableColumn id="10091" xr3:uid="{414C5375-C2AE-470B-BA3A-68C1D4305D91}" name="Column10077"/>
    <tableColumn id="10092" xr3:uid="{8087E35E-9307-49BB-A3CF-8C529CC026F1}" name="Column10078"/>
    <tableColumn id="10093" xr3:uid="{9B48E0CA-B30B-49C7-8984-8AB56921E19F}" name="Column10079"/>
    <tableColumn id="10094" xr3:uid="{F8216B34-C4FE-4DD5-819E-47E98825FF16}" name="Column10080"/>
    <tableColumn id="10095" xr3:uid="{CD048BA7-9870-4D26-AE8E-1226E3FADE2E}" name="Column10081"/>
    <tableColumn id="10096" xr3:uid="{B161A821-ADF5-4A3F-A955-22FA94876946}" name="Column10082"/>
    <tableColumn id="10097" xr3:uid="{A36A9B83-AC2C-4CE2-A23A-ED39099B60CF}" name="Column10083"/>
    <tableColumn id="10098" xr3:uid="{F5F34FE1-27A9-4571-AA0D-B8E162AA2B3F}" name="Column10084"/>
    <tableColumn id="10099" xr3:uid="{C387DF17-6766-446B-B864-F8DB4CAB2BAA}" name="Column10085"/>
    <tableColumn id="10100" xr3:uid="{84C255F2-EF1D-42D7-AEC4-F14B5AAC3EEA}" name="Column10086"/>
    <tableColumn id="10101" xr3:uid="{64266859-7D4E-483F-B5A7-CCAF2D2B6867}" name="Column10087"/>
    <tableColumn id="10102" xr3:uid="{B5C93766-9BE4-421C-A305-6AAE1115F0D3}" name="Column10088"/>
    <tableColumn id="10103" xr3:uid="{9139ABE1-AA7C-4CFB-A6B3-66C79392C3B4}" name="Column10089"/>
    <tableColumn id="10104" xr3:uid="{0CC540CD-5B4B-4F98-A3A5-B1A02DCE55ED}" name="Column10090"/>
    <tableColumn id="10105" xr3:uid="{BAC22FCD-4B82-4D5C-B403-CEAAD782A814}" name="Column10091"/>
    <tableColumn id="10106" xr3:uid="{73E22EDD-0AAD-488F-9A52-5F5C27E26E4E}" name="Column10092"/>
    <tableColumn id="10107" xr3:uid="{ED2C4E29-98AF-4D3D-A430-79568F8262C6}" name="Column10093"/>
    <tableColumn id="10108" xr3:uid="{1E9701E6-EA62-48D0-AD98-81A9BD510F18}" name="Column10094"/>
    <tableColumn id="10109" xr3:uid="{8B26A115-2019-4614-91B1-C7BDCA2DD3AB}" name="Column10095"/>
    <tableColumn id="10110" xr3:uid="{BCEE1FB0-1A1D-47E2-8EDD-2AD07F49D8C8}" name="Column10096"/>
    <tableColumn id="10111" xr3:uid="{392A43F2-DADF-4AAD-8D3E-D21429716061}" name="Column10097"/>
    <tableColumn id="10112" xr3:uid="{861286C4-B3F9-4D4F-B7E2-5D3152369B93}" name="Column10098"/>
    <tableColumn id="10113" xr3:uid="{49F1B1DC-93FD-452F-83D0-47AC79C5BB19}" name="Column10099"/>
    <tableColumn id="10114" xr3:uid="{842C23B1-C45E-4EF3-BC4E-13E270454B11}" name="Column10100"/>
    <tableColumn id="10115" xr3:uid="{DEDE574F-54C2-4E80-8389-7A583A72E44D}" name="Column10101"/>
    <tableColumn id="10116" xr3:uid="{BEEF26FB-F359-4C61-8621-1B979277C69A}" name="Column10102"/>
    <tableColumn id="10117" xr3:uid="{62669329-6FC8-4DFB-BA09-00F334492C6B}" name="Column10103"/>
    <tableColumn id="10118" xr3:uid="{D420B577-2E87-4630-AC52-6A0113B88264}" name="Column10104"/>
    <tableColumn id="10119" xr3:uid="{DF1F81C7-D2B3-46DD-B632-FCF1C8CCDAA2}" name="Column10105"/>
    <tableColumn id="10120" xr3:uid="{AFAEBA29-20DD-419F-958C-4A0BAFAFA492}" name="Column10106"/>
    <tableColumn id="10121" xr3:uid="{FE0C02E9-4100-41E0-9543-BE5A5F34CBD9}" name="Column10107"/>
    <tableColumn id="10122" xr3:uid="{153744F6-2763-4ED6-AC3E-9C0FF902440B}" name="Column10108"/>
    <tableColumn id="10123" xr3:uid="{A783084D-9E12-4C44-B73A-54388484661D}" name="Column10109"/>
    <tableColumn id="10124" xr3:uid="{BA6EE4BF-299F-499C-90D1-FCC85C4DA7BD}" name="Column10110"/>
    <tableColumn id="10125" xr3:uid="{902F96D7-2E06-4CBA-86FF-E620626E8E1E}" name="Column10111"/>
    <tableColumn id="10126" xr3:uid="{AC544A26-940C-4AF7-8BC4-1DC95AD1D54C}" name="Column10112"/>
    <tableColumn id="10127" xr3:uid="{95CBE4C2-BA99-49C3-855E-66338CA9DAB4}" name="Column10113"/>
    <tableColumn id="10128" xr3:uid="{9129ECFF-DDA2-4621-B398-A3E46A852CAE}" name="Column10114"/>
    <tableColumn id="10129" xr3:uid="{F270251F-10DD-42EB-99EB-818120C5777E}" name="Column10115"/>
    <tableColumn id="10130" xr3:uid="{36729D3B-6587-4AB8-8630-0B996933C605}" name="Column10116"/>
    <tableColumn id="10131" xr3:uid="{5B6A9CA4-D7FF-4658-8D21-46C5C1CA8610}" name="Column10117"/>
    <tableColumn id="10132" xr3:uid="{90C34C0B-EC4B-4E07-937C-69AD97072579}" name="Column10118"/>
    <tableColumn id="10133" xr3:uid="{2B7ECA31-E070-4C1D-B5CD-2F822FA0CADB}" name="Column10119"/>
    <tableColumn id="10134" xr3:uid="{AAA5DE7E-8EF0-4DEB-8F51-727F5175A89A}" name="Column10120"/>
    <tableColumn id="10135" xr3:uid="{2FE6629C-8452-40E5-9085-C3A6CC8CE159}" name="Column10121"/>
    <tableColumn id="10136" xr3:uid="{8BB5EE66-E1A4-410D-9662-8DE50373F6F9}" name="Column10122"/>
    <tableColumn id="10137" xr3:uid="{54FE3F97-03AD-4247-9385-747E205E2A97}" name="Column10123"/>
    <tableColumn id="10138" xr3:uid="{50A6C9CD-6B84-4048-8D9F-467B47251100}" name="Column10124"/>
    <tableColumn id="10139" xr3:uid="{E3ED6C76-570B-4328-8BEA-92E92973786B}" name="Column10125"/>
    <tableColumn id="10140" xr3:uid="{EE32BCEA-5D50-449D-8299-95B7CA08090B}" name="Column10126"/>
    <tableColumn id="10141" xr3:uid="{649F0E15-4138-44A7-A874-CAAF34A15C72}" name="Column10127"/>
    <tableColumn id="10142" xr3:uid="{5BAE3CF4-A27F-44EC-AF11-B86E8380CE39}" name="Column10128"/>
    <tableColumn id="10143" xr3:uid="{8164DDE7-21EC-474D-8702-30C3E2D56352}" name="Column10129"/>
    <tableColumn id="10144" xr3:uid="{B6B502E4-1ABD-4C4A-9C2E-7FD086ADB299}" name="Column10130"/>
    <tableColumn id="10145" xr3:uid="{9C36ECF5-99B8-4CF2-B6DF-4227787B9489}" name="Column10131"/>
    <tableColumn id="10146" xr3:uid="{D5D723F6-0676-49DA-B87A-14B78FEF71AA}" name="Column10132"/>
    <tableColumn id="10147" xr3:uid="{C7244D22-BF7B-4F9D-970D-7C65BEE731C8}" name="Column10133"/>
    <tableColumn id="10148" xr3:uid="{D0B48921-45D4-4245-9170-B4E544F30FF4}" name="Column10134"/>
    <tableColumn id="10149" xr3:uid="{DD8932AA-370B-4244-A71C-AFF0C12C688C}" name="Column10135"/>
    <tableColumn id="10150" xr3:uid="{1C41DBBC-426A-4B2C-9818-789E898304FA}" name="Column10136"/>
    <tableColumn id="10151" xr3:uid="{46228463-EA2E-431E-9D3D-D6E582F84F19}" name="Column10137"/>
    <tableColumn id="10152" xr3:uid="{59135C3E-B8E6-423B-BAE8-A6819569E15E}" name="Column10138"/>
    <tableColumn id="10153" xr3:uid="{AE93FCDA-B602-45C3-9AD3-98FCAE954350}" name="Column10139"/>
    <tableColumn id="10154" xr3:uid="{787FDFDF-3C15-45FB-8E0C-A08123496CA0}" name="Column10140"/>
    <tableColumn id="10155" xr3:uid="{865F42E9-EB66-42FF-AC68-3B84CC1207F3}" name="Column10141"/>
    <tableColumn id="10156" xr3:uid="{9432B399-1486-419C-875C-DCBE592A7F2D}" name="Column10142"/>
    <tableColumn id="10157" xr3:uid="{2AA5666B-EFC8-4419-BF2E-59BF8415B071}" name="Column10143"/>
    <tableColumn id="10158" xr3:uid="{E278993A-4A54-49F5-9710-1777D0BC1835}" name="Column10144"/>
    <tableColumn id="10159" xr3:uid="{C0C8FE6A-292A-4E23-B17D-22D41A0B7D94}" name="Column10145"/>
    <tableColumn id="10160" xr3:uid="{3190C610-3398-4B1F-B2D3-1EC0DC18E3BB}" name="Column10146"/>
    <tableColumn id="10161" xr3:uid="{3C729D14-94C7-449A-8CF7-1DBEE3545F83}" name="Column10147"/>
    <tableColumn id="10162" xr3:uid="{6F590879-A771-40A6-ACC7-B367D0E01A7A}" name="Column10148"/>
    <tableColumn id="10163" xr3:uid="{8EB08225-25DB-4196-9671-4FD5CD67BBCF}" name="Column10149"/>
    <tableColumn id="10164" xr3:uid="{4FA5A35A-CB7B-4343-895E-03F0068E336E}" name="Column10150"/>
    <tableColumn id="10165" xr3:uid="{9E92F711-9069-4F18-A123-3D6B81319A04}" name="Column10151"/>
    <tableColumn id="10166" xr3:uid="{551A0ABD-EFBF-4803-94C6-A3410719B087}" name="Column10152"/>
    <tableColumn id="10167" xr3:uid="{C597E5F8-FF0C-41F6-BCB1-BFE1C6366B4A}" name="Column10153"/>
    <tableColumn id="10168" xr3:uid="{9C665C9E-3E32-4163-A8CE-54A49590C61D}" name="Column10154"/>
    <tableColumn id="10169" xr3:uid="{CF7485DD-8115-414E-B9E7-1C4E1B0590AF}" name="Column10155"/>
    <tableColumn id="10170" xr3:uid="{E487DA8D-46CA-40B0-8DA2-8DC62712FB8F}" name="Column10156"/>
    <tableColumn id="10171" xr3:uid="{A81E857F-9295-4B0A-9E59-3C0F868E86CF}" name="Column10157"/>
    <tableColumn id="10172" xr3:uid="{C3532DA6-88F3-4982-AC4C-A3B3371B964C}" name="Column10158"/>
    <tableColumn id="10173" xr3:uid="{BEBC4EC9-2748-4228-941C-1CCA49D9DC8F}" name="Column10159"/>
    <tableColumn id="10174" xr3:uid="{6F3F06C2-ED1B-4F9E-9EC8-C66B102020B1}" name="Column10160"/>
    <tableColumn id="10175" xr3:uid="{0282DD41-A281-4769-9E17-4319D69677AA}" name="Column10161"/>
    <tableColumn id="10176" xr3:uid="{0A5675F9-71D4-4FB0-B947-54C8C473728C}" name="Column10162"/>
    <tableColumn id="10177" xr3:uid="{ACADA3FB-DE6F-43F0-AB07-74719FBF13E1}" name="Column10163"/>
    <tableColumn id="10178" xr3:uid="{0919E417-A1B2-44CA-A05C-BBAC99C98EF7}" name="Column10164"/>
    <tableColumn id="10179" xr3:uid="{5CCF49D1-BA41-46D6-B5F8-97E92A36953F}" name="Column10165"/>
    <tableColumn id="10180" xr3:uid="{9146456F-E6ED-456A-9D1B-EFEBE837C489}" name="Column10166"/>
    <tableColumn id="10181" xr3:uid="{922C4434-96D1-4FB1-A760-DF50A91398F7}" name="Column10167"/>
    <tableColumn id="10182" xr3:uid="{12887F94-8DBE-4AE6-BDF4-692EC390B1B0}" name="Column10168"/>
    <tableColumn id="10183" xr3:uid="{43D72A68-85EA-4035-9170-FD3C1CBCB4F8}" name="Column10169"/>
    <tableColumn id="10184" xr3:uid="{8F517748-9399-4115-9741-00E66E258ADE}" name="Column10170"/>
    <tableColumn id="10185" xr3:uid="{B7C7432E-DB02-48F1-AA6F-3A74EA576DD6}" name="Column10171"/>
    <tableColumn id="10186" xr3:uid="{28ABFDFC-BF6F-4EE2-B63C-A8A1805CF9A2}" name="Column10172"/>
    <tableColumn id="10187" xr3:uid="{6553908E-10D2-4107-900F-714C2ACF5032}" name="Column10173"/>
    <tableColumn id="10188" xr3:uid="{CA0626C4-AD5E-45AA-87FF-7478B49CB7EB}" name="Column10174"/>
    <tableColumn id="10189" xr3:uid="{8338DCF2-3314-48FD-A326-6D00D13A960D}" name="Column10175"/>
    <tableColumn id="10190" xr3:uid="{4AF664E2-9E53-4B01-A5AD-06E58164DD12}" name="Column10176"/>
    <tableColumn id="10191" xr3:uid="{E126EFBD-C21E-48D7-BDD9-4BA40C5523B1}" name="Column10177"/>
    <tableColumn id="10192" xr3:uid="{0DA8DEAB-FEC4-40F2-9535-8C59953C504A}" name="Column10178"/>
    <tableColumn id="10193" xr3:uid="{94ED5774-D2A3-4F7A-8F61-84A97C5401AD}" name="Column10179"/>
    <tableColumn id="10194" xr3:uid="{8E41FA18-97DC-4498-80A1-B6A097E88FE0}" name="Column10180"/>
    <tableColumn id="10195" xr3:uid="{9DA8EDE0-0E8A-4AB8-BBB6-7EDB58E8FBE2}" name="Column10181"/>
    <tableColumn id="10196" xr3:uid="{D080E9FF-2B00-4125-8B2F-545164BBF023}" name="Column10182"/>
    <tableColumn id="10197" xr3:uid="{8D4FF29D-008A-4472-88AD-F79669E49813}" name="Column10183"/>
    <tableColumn id="10198" xr3:uid="{10BC8FF3-CFFE-4794-BC40-F42C77C6E3FE}" name="Column10184"/>
    <tableColumn id="10199" xr3:uid="{B1077D60-61F7-4A13-BE51-69243A8A87FA}" name="Column10185"/>
    <tableColumn id="10200" xr3:uid="{C4939252-C470-4DE5-8C6F-24A4D0E2B347}" name="Column10186"/>
    <tableColumn id="10201" xr3:uid="{B974095E-D07C-4250-B860-DB0C12E36966}" name="Column10187"/>
    <tableColumn id="10202" xr3:uid="{374C398F-9B62-4F10-997C-32DCF2798C4E}" name="Column10188"/>
    <tableColumn id="10203" xr3:uid="{E878514E-48F5-4A53-9518-0EA0C432EF24}" name="Column10189"/>
    <tableColumn id="10204" xr3:uid="{BEA92106-9A1D-4095-A62B-F14508837EB7}" name="Column10190"/>
    <tableColumn id="10205" xr3:uid="{46769818-8EBD-4D54-A987-47EA4B0CDE1E}" name="Column10191"/>
    <tableColumn id="10206" xr3:uid="{CF712A7B-2760-447B-9E3C-5AC17E2D3C76}" name="Column10192"/>
    <tableColumn id="10207" xr3:uid="{47359710-8551-4BA3-A83A-D9B90568312C}" name="Column10193"/>
    <tableColumn id="10208" xr3:uid="{ED33A0EA-C3DB-4852-807F-E21DD6DAB233}" name="Column10194"/>
    <tableColumn id="10209" xr3:uid="{F578D1FE-62BE-43BE-8424-17587EE52071}" name="Column10195"/>
    <tableColumn id="10210" xr3:uid="{1BF859B8-BBB2-4AB5-B153-9A01F36165E5}" name="Column10196"/>
    <tableColumn id="10211" xr3:uid="{8F74E0F3-303C-4B57-8F60-35DB2688B5C7}" name="Column10197"/>
    <tableColumn id="10212" xr3:uid="{BE9260B3-F12A-4143-9E5D-E0037F45BA62}" name="Column10198"/>
    <tableColumn id="10213" xr3:uid="{0F0B6E37-C14D-41F1-8245-EFFAB5B30A4A}" name="Column10199"/>
    <tableColumn id="10214" xr3:uid="{9A80DC00-10DB-4078-92AB-7911D046A607}" name="Column10200"/>
    <tableColumn id="10215" xr3:uid="{8448B83A-259B-4866-ABB1-60D16F67FEE6}" name="Column10201"/>
    <tableColumn id="10216" xr3:uid="{77CC35E0-C22C-447C-AF9D-F5AA90DBBEC7}" name="Column10202"/>
    <tableColumn id="10217" xr3:uid="{925071A5-3731-49B9-A3E7-1E79F8BC7D60}" name="Column10203"/>
    <tableColumn id="10218" xr3:uid="{A0F37416-067E-439D-B9EA-B00E52F51E20}" name="Column10204"/>
    <tableColumn id="10219" xr3:uid="{2105ECA6-E470-4DE8-9B28-97353901732E}" name="Column10205"/>
    <tableColumn id="10220" xr3:uid="{1E7ED275-7B8E-4158-BA75-F6EF5B183766}" name="Column10206"/>
    <tableColumn id="10221" xr3:uid="{A90FB8B7-BEC7-4659-B035-C0CFAE262E9F}" name="Column10207"/>
    <tableColumn id="10222" xr3:uid="{59DB0409-C2F7-4813-B483-608F22595402}" name="Column10208"/>
    <tableColumn id="10223" xr3:uid="{07A7A7F8-3AEC-45D8-A101-6008550C5FFC}" name="Column10209"/>
    <tableColumn id="10224" xr3:uid="{6684885C-08AC-48E6-8D04-D216B38B2C71}" name="Column10210"/>
    <tableColumn id="10225" xr3:uid="{32970639-6A33-465D-A8A5-AC8296FFB2C1}" name="Column10211"/>
    <tableColumn id="10226" xr3:uid="{3DAA4EC2-6210-4609-8DD8-FC9FFA1E111B}" name="Column10212"/>
    <tableColumn id="10227" xr3:uid="{2F96E504-D5D5-459D-9300-07B7BEE65E43}" name="Column10213"/>
    <tableColumn id="10228" xr3:uid="{E52AAB65-C412-4389-9538-AE631D71F099}" name="Column10214"/>
    <tableColumn id="10229" xr3:uid="{CFB6E563-923F-4D76-9110-E9762AB15810}" name="Column10215"/>
    <tableColumn id="10230" xr3:uid="{6AF190B8-2A73-4C3C-844A-71DAFF5C518A}" name="Column10216"/>
    <tableColumn id="10231" xr3:uid="{76856342-9B3B-42C2-A7CA-29234F7F0976}" name="Column10217"/>
    <tableColumn id="10232" xr3:uid="{829D8CF6-9783-4AA1-B37A-DD72B297D25F}" name="Column10218"/>
    <tableColumn id="10233" xr3:uid="{C2FE6950-92EB-4AD2-AF1B-36F5FE25C125}" name="Column10219"/>
    <tableColumn id="10234" xr3:uid="{5B036D11-F481-457E-931C-CA1983D79F8E}" name="Column10220"/>
    <tableColumn id="10235" xr3:uid="{162E6432-F8CE-403F-8D28-055E6FC53CE2}" name="Column10221"/>
    <tableColumn id="10236" xr3:uid="{243DF997-704B-4AF7-85B7-63B94CAC59AD}" name="Column10222"/>
    <tableColumn id="10237" xr3:uid="{658A0A8B-D723-403B-906A-A94431D116E7}" name="Column10223"/>
    <tableColumn id="10238" xr3:uid="{B5DFB356-9AA2-4589-8BEF-70F5FA5D058A}" name="Column10224"/>
    <tableColumn id="10239" xr3:uid="{146772B6-2A32-4C21-ABD0-2750B085BA6D}" name="Column10225"/>
    <tableColumn id="10240" xr3:uid="{B9FABE5B-1758-4B85-9ADD-B8D2A3342136}" name="Column10226"/>
    <tableColumn id="10241" xr3:uid="{6DD427F2-E0ED-4697-BA79-4F3C17A80F37}" name="Column10227"/>
    <tableColumn id="10242" xr3:uid="{A9F10859-05B9-4393-9CFA-05D2C2D22961}" name="Column10228"/>
    <tableColumn id="10243" xr3:uid="{E4238811-4C4A-413F-950F-FCD9F2CAC1C7}" name="Column10229"/>
    <tableColumn id="10244" xr3:uid="{3A450457-462A-419C-8964-E0EB18E43C09}" name="Column10230"/>
    <tableColumn id="10245" xr3:uid="{065A9ACC-79C9-4806-938B-13315CD05D91}" name="Column10231"/>
    <tableColumn id="10246" xr3:uid="{8D721AED-C373-44C8-A7FF-C1E19F44AA04}" name="Column10232"/>
    <tableColumn id="10247" xr3:uid="{5429B0CB-A65D-42A8-BD7D-BF8E01AE5331}" name="Column10233"/>
    <tableColumn id="10248" xr3:uid="{E365ED43-AA69-49CB-9A83-59666BA16656}" name="Column10234"/>
    <tableColumn id="10249" xr3:uid="{F34612A0-7B25-413C-A235-63369CBF0F32}" name="Column10235"/>
    <tableColumn id="10250" xr3:uid="{45F5E0A3-A22D-4BF8-A236-3635B0A32B6F}" name="Column10236"/>
    <tableColumn id="10251" xr3:uid="{E52AF828-BAC6-440C-8B62-0FCA089D3B55}" name="Column10237"/>
    <tableColumn id="10252" xr3:uid="{D2DF2107-E3D1-4BCC-970E-7500C208ABA4}" name="Column10238"/>
    <tableColumn id="10253" xr3:uid="{4B77D840-541E-47A6-AE45-3C95BC8ECC58}" name="Column10239"/>
    <tableColumn id="10254" xr3:uid="{09164231-DF73-4C7C-A412-95051052EE17}" name="Column10240"/>
    <tableColumn id="10255" xr3:uid="{F20C547C-4B8A-42CA-BFCA-CC7B07AFF309}" name="Column10241"/>
    <tableColumn id="10256" xr3:uid="{660E1EB7-A3B3-4CF1-8FC6-429D0E89D7BE}" name="Column10242"/>
    <tableColumn id="10257" xr3:uid="{673E0AEA-326F-414C-B856-BDF27BD1EBCD}" name="Column10243"/>
    <tableColumn id="10258" xr3:uid="{78937CD7-0DFD-4E23-9A57-1CE0F3084BE9}" name="Column10244"/>
    <tableColumn id="10259" xr3:uid="{F2D940E5-B893-4617-AB68-2E9D8B5FBA7C}" name="Column10245"/>
    <tableColumn id="10260" xr3:uid="{8F92098F-7805-44EA-B8E7-CE0AEF6A90E1}" name="Column10246"/>
    <tableColumn id="10261" xr3:uid="{F8DF8C3C-E6A5-4B90-95B5-BA18EEE476CD}" name="Column10247"/>
    <tableColumn id="10262" xr3:uid="{4E2FBC53-E596-41DC-97F7-51E94422B48E}" name="Column10248"/>
    <tableColumn id="10263" xr3:uid="{CBC383F9-018F-4958-9037-B68B74B3C04A}" name="Column10249"/>
    <tableColumn id="10264" xr3:uid="{84C121AA-72DB-48A5-9B6B-763B44775906}" name="Column10250"/>
    <tableColumn id="10265" xr3:uid="{4FC4B06F-3567-4DF7-996F-D69AD24BF4BB}" name="Column10251"/>
    <tableColumn id="10266" xr3:uid="{6D082135-7065-45FF-A5FF-0D74C9E4D6CA}" name="Column10252"/>
    <tableColumn id="10267" xr3:uid="{0F0FB174-3774-45C9-87D3-8312B02155A9}" name="Column10253"/>
    <tableColumn id="10268" xr3:uid="{206F0D3C-55E0-4B09-81D6-FA17E67C8A1F}" name="Column10254"/>
    <tableColumn id="10269" xr3:uid="{834F67A7-5BA0-4D1B-88E2-E638F0F3F79F}" name="Column10255"/>
    <tableColumn id="10270" xr3:uid="{A9F8A270-7A9F-48E4-82D0-AAC13863854C}" name="Column10256"/>
    <tableColumn id="10271" xr3:uid="{095CC6FA-A8E9-4F73-A04A-0E2D1C62E144}" name="Column10257"/>
    <tableColumn id="10272" xr3:uid="{3D3F8EA4-4EA0-4EE4-87F9-C37BCB8EE2ED}" name="Column10258"/>
    <tableColumn id="10273" xr3:uid="{30C484EE-DA73-4F83-AB6C-D5E83089998C}" name="Column10259"/>
    <tableColumn id="10274" xr3:uid="{94952A55-12E9-4486-A8B1-8105F92787A8}" name="Column10260"/>
    <tableColumn id="10275" xr3:uid="{65D7E78A-1723-47AD-8033-2B94FF9CED14}" name="Column10261"/>
    <tableColumn id="10276" xr3:uid="{8D54C41D-3CFC-4562-A04B-38000802C72A}" name="Column10262"/>
    <tableColumn id="10277" xr3:uid="{E854443B-FC09-4142-9831-8DF209F44398}" name="Column10263"/>
    <tableColumn id="10278" xr3:uid="{C2AD79EE-8DD4-4529-82C7-ECC62B524D04}" name="Column10264"/>
    <tableColumn id="10279" xr3:uid="{2B943879-DA5E-48F4-9257-9A5661840980}" name="Column10265"/>
    <tableColumn id="10280" xr3:uid="{49B55A52-D3AA-42EC-9766-A1273D3C2612}" name="Column10266"/>
    <tableColumn id="10281" xr3:uid="{38568A9D-F22F-4B5C-987A-ECC44E785CB9}" name="Column10267"/>
    <tableColumn id="10282" xr3:uid="{71F9B373-6FAD-4220-B670-E905DC40605B}" name="Column10268"/>
    <tableColumn id="10283" xr3:uid="{DD9E8C69-F049-4CE1-AABA-FA3C00E7C7AD}" name="Column10269"/>
    <tableColumn id="10284" xr3:uid="{8592D92E-F364-41D2-99E6-C82586878726}" name="Column10270"/>
    <tableColumn id="10285" xr3:uid="{1393DFB0-7480-4C68-ABAA-BEE57FF25EEF}" name="Column10271"/>
    <tableColumn id="10286" xr3:uid="{EF64A4FD-D69B-4946-99BB-6A82CA43397F}" name="Column10272"/>
    <tableColumn id="10287" xr3:uid="{013EA69F-5CF2-41FD-9143-7C3E19885F0D}" name="Column10273"/>
    <tableColumn id="10288" xr3:uid="{CE7A22DE-63B3-4905-880D-73DE55B743A6}" name="Column10274"/>
    <tableColumn id="10289" xr3:uid="{5A9A6037-0DCA-47EE-998E-AA04F987C8D6}" name="Column10275"/>
    <tableColumn id="10290" xr3:uid="{D0DCCF38-A816-4661-8EE9-FA6556D9348D}" name="Column10276"/>
    <tableColumn id="10291" xr3:uid="{B2DE736F-1BFF-4125-86ED-579DBA29F840}" name="Column10277"/>
    <tableColumn id="10292" xr3:uid="{F7F8FC3C-221C-4297-A5D3-E6183EA25989}" name="Column10278"/>
    <tableColumn id="10293" xr3:uid="{41748B72-B8AB-481E-9C73-8D5AB7586E16}" name="Column10279"/>
    <tableColumn id="10294" xr3:uid="{8471A26D-985C-43E5-AC69-17F21B94A2B6}" name="Column10280"/>
    <tableColumn id="10295" xr3:uid="{139B70DE-F37B-4A85-8F0F-AB4357EBC19C}" name="Column10281"/>
    <tableColumn id="10296" xr3:uid="{54918389-C96A-44A0-93A2-084FEEDDEAEE}" name="Column10282"/>
    <tableColumn id="10297" xr3:uid="{8C669841-FE8A-4B26-B579-08778B655A26}" name="Column10283"/>
    <tableColumn id="10298" xr3:uid="{AA68EE87-BA6A-4427-AF66-047E84A334D5}" name="Column10284"/>
    <tableColumn id="10299" xr3:uid="{09790B5D-9DE2-46EF-B544-FAF60A9E5E7B}" name="Column10285"/>
    <tableColumn id="10300" xr3:uid="{73CD6D51-27E3-423B-9BBB-712C257ED1CB}" name="Column10286"/>
    <tableColumn id="10301" xr3:uid="{A6A46062-25EF-46E4-BEEB-02D6B3AF90BA}" name="Column10287"/>
    <tableColumn id="10302" xr3:uid="{0C63A792-B232-47F9-8846-E6A263C9CADC}" name="Column10288"/>
    <tableColumn id="10303" xr3:uid="{66B337E6-3E2D-4C46-8122-445115E67595}" name="Column10289"/>
    <tableColumn id="10304" xr3:uid="{9339BF3F-C8BA-40B6-B7A2-DE9851E5CF32}" name="Column10290"/>
    <tableColumn id="10305" xr3:uid="{AF3C88DF-69A2-4FE4-84F2-7CA5A979379B}" name="Column10291"/>
    <tableColumn id="10306" xr3:uid="{99FAAC6B-642A-4DD2-B1FB-203C11943ABA}" name="Column10292"/>
    <tableColumn id="10307" xr3:uid="{5F132956-1F1B-4413-91B4-7755A35C1331}" name="Column10293"/>
    <tableColumn id="10308" xr3:uid="{8BEE3C5A-F606-45C8-A93E-06C12B5D19FB}" name="Column10294"/>
    <tableColumn id="10309" xr3:uid="{D5C37510-6321-4CFD-8C67-D85883993AED}" name="Column10295"/>
    <tableColumn id="10310" xr3:uid="{ECA2A6F8-9D24-402E-8D6D-B83C32462AB6}" name="Column10296"/>
    <tableColumn id="10311" xr3:uid="{F04F3764-5C22-4746-B0C0-4270378F58E4}" name="Column10297"/>
    <tableColumn id="10312" xr3:uid="{FF63F28A-8D83-429B-8722-5F20C13B48AD}" name="Column10298"/>
    <tableColumn id="10313" xr3:uid="{7DCD5CF1-5F1D-40CC-A99C-F2DF71AADEBB}" name="Column10299"/>
    <tableColumn id="10314" xr3:uid="{8E50E94B-F760-402A-9DC1-43CA7427CA43}" name="Column10300"/>
    <tableColumn id="10315" xr3:uid="{AC81A004-B05D-4E40-A19E-B3D196D57A30}" name="Column10301"/>
    <tableColumn id="10316" xr3:uid="{D4207B46-0C7F-4352-92C6-E26C7792E107}" name="Column10302"/>
    <tableColumn id="10317" xr3:uid="{8C903918-F31A-4C81-8F5F-15FDB5531A94}" name="Column10303"/>
    <tableColumn id="10318" xr3:uid="{8B2FDDD0-87EA-4BEB-88B6-1FFCE90764DE}" name="Column10304"/>
    <tableColumn id="10319" xr3:uid="{A3D1877E-44C2-4D04-8C81-3095FDEA40EB}" name="Column10305"/>
    <tableColumn id="10320" xr3:uid="{A13FA1C1-C447-4CE6-898C-6569744647DC}" name="Column10306"/>
    <tableColumn id="10321" xr3:uid="{C434F59A-BEDF-4570-9BFE-2521F608713E}" name="Column10307"/>
    <tableColumn id="10322" xr3:uid="{CA635F51-EEDB-40DB-933E-8766F8B473B6}" name="Column10308"/>
    <tableColumn id="10323" xr3:uid="{F0F2BD98-B19C-4E71-AA41-06EB684ABA99}" name="Column10309"/>
    <tableColumn id="10324" xr3:uid="{8818A376-C440-43CB-8F4F-FB1373EAC12B}" name="Column10310"/>
    <tableColumn id="10325" xr3:uid="{4978EB29-2AF7-4499-9DFA-892B87E676AA}" name="Column10311"/>
    <tableColumn id="10326" xr3:uid="{D51249B3-130B-42BB-B7E8-D3EF0299CAA3}" name="Column10312"/>
    <tableColumn id="10327" xr3:uid="{B493244A-C305-483E-9CBB-4DDCCE5CE0E0}" name="Column10313"/>
    <tableColumn id="10328" xr3:uid="{210084BD-3B03-4419-9C24-B537EA528EBA}" name="Column10314"/>
    <tableColumn id="10329" xr3:uid="{80A49293-6DE3-492E-B41D-77556B81202E}" name="Column10315"/>
    <tableColumn id="10330" xr3:uid="{8DB0544D-1CC3-4DE8-B0B5-23C1394F7CA5}" name="Column10316"/>
    <tableColumn id="10331" xr3:uid="{A169E9C2-38E3-4FE2-B86F-EAF4E2EB304A}" name="Column10317"/>
    <tableColumn id="10332" xr3:uid="{C1FE8DFE-E950-4B2F-9C91-3C9AF3259982}" name="Column10318"/>
    <tableColumn id="10333" xr3:uid="{D8032251-94CD-44E6-8F52-40288E30264A}" name="Column10319"/>
    <tableColumn id="10334" xr3:uid="{E431E8AF-CF02-4B89-9269-A28A6CE632AE}" name="Column10320"/>
    <tableColumn id="10335" xr3:uid="{BF685AE0-DF69-49E6-85EB-A15DD467ECB5}" name="Column10321"/>
    <tableColumn id="10336" xr3:uid="{D33CF9FF-A72F-4EA6-B307-4CC9B4CC8BEB}" name="Column10322"/>
    <tableColumn id="10337" xr3:uid="{D948C52D-F9AC-447A-A52F-86486C13A19C}" name="Column10323"/>
    <tableColumn id="10338" xr3:uid="{0327DD27-79EE-4BB3-A655-2019FED7CEB8}" name="Column10324"/>
    <tableColumn id="10339" xr3:uid="{06C083DD-F82D-4879-B72A-58331F99508C}" name="Column10325"/>
    <tableColumn id="10340" xr3:uid="{9DBF12F3-F8D6-4D98-88C5-35A05BA94363}" name="Column10326"/>
    <tableColumn id="10341" xr3:uid="{4B1DECA3-6C52-4F50-8AB2-EC1C993DCED4}" name="Column10327"/>
    <tableColumn id="10342" xr3:uid="{D37C7773-5390-4336-90A4-E80CA45132BA}" name="Column10328"/>
    <tableColumn id="10343" xr3:uid="{DAAC5A55-063C-4CD2-8AD2-478818A3E6E8}" name="Column10329"/>
    <tableColumn id="10344" xr3:uid="{E97D6D00-A7A5-49A9-B62E-8B3C1F22DE8B}" name="Column10330"/>
    <tableColumn id="10345" xr3:uid="{15AA72DD-99F0-4116-BC44-930902F58022}" name="Column10331"/>
    <tableColumn id="10346" xr3:uid="{DB2EEC02-E5FE-4E5B-9827-93BD66133D02}" name="Column10332"/>
    <tableColumn id="10347" xr3:uid="{C56979FA-9C0E-4697-9072-3D54F0222BA9}" name="Column10333"/>
    <tableColumn id="10348" xr3:uid="{5F11F640-6E77-4003-B3CD-65CD640C1090}" name="Column10334"/>
    <tableColumn id="10349" xr3:uid="{BAD1D844-6270-447D-8055-8FCE73838203}" name="Column10335"/>
    <tableColumn id="10350" xr3:uid="{FC260715-F3F2-4C1D-AFDA-12BD281DC3D3}" name="Column10336"/>
    <tableColumn id="10351" xr3:uid="{C904501F-0058-4C1B-8560-D30CD4B3FB94}" name="Column10337"/>
    <tableColumn id="10352" xr3:uid="{1A9956F6-38D4-49D1-A2A2-E0ACB4620A39}" name="Column10338"/>
    <tableColumn id="10353" xr3:uid="{78C534FD-8155-4C5C-BBC4-35992BEB15C2}" name="Column10339"/>
    <tableColumn id="10354" xr3:uid="{CB2D6662-99AB-4F60-8A55-80B92A302899}" name="Column10340"/>
    <tableColumn id="10355" xr3:uid="{EB328BAC-8962-472A-9143-45DA28307AF2}" name="Column10341"/>
    <tableColumn id="10356" xr3:uid="{43301797-23D0-41E2-9111-A9D537EE8971}" name="Column10342"/>
    <tableColumn id="10357" xr3:uid="{198345B1-FA1E-463A-9416-FDFAE50EA67A}" name="Column10343"/>
    <tableColumn id="10358" xr3:uid="{378CFEAD-4E03-4FD9-8894-60100447D449}" name="Column10344"/>
    <tableColumn id="10359" xr3:uid="{09118D98-19AB-43B7-810B-288C5AD96551}" name="Column10345"/>
    <tableColumn id="10360" xr3:uid="{2FCE7B56-9372-4C69-BAAC-7298468D9E33}" name="Column10346"/>
    <tableColumn id="10361" xr3:uid="{86D56B21-CEA6-41CD-A50C-0032EFBCF1C6}" name="Column10347"/>
    <tableColumn id="10362" xr3:uid="{D966E823-7E57-48BB-A79F-F67A602EDAC1}" name="Column10348"/>
    <tableColumn id="10363" xr3:uid="{E987456A-2DF6-4A2B-AB9A-6238DDD05ADC}" name="Column10349"/>
    <tableColumn id="10364" xr3:uid="{1100B3A1-69F4-436A-8878-3C93686C5873}" name="Column10350"/>
    <tableColumn id="10365" xr3:uid="{7980C77E-3E3B-4C03-A798-2CE5D37B2A87}" name="Column10351"/>
    <tableColumn id="10366" xr3:uid="{E4AF4F7F-0DBC-4606-917E-250686EA65F0}" name="Column10352"/>
    <tableColumn id="10367" xr3:uid="{16EA1D95-81E6-43ED-B335-BA87A55E2787}" name="Column10353"/>
    <tableColumn id="10368" xr3:uid="{80C24B56-4367-4AD3-BAAC-78AA7DED22E4}" name="Column10354"/>
    <tableColumn id="10369" xr3:uid="{3B3AC815-059D-4ADF-B9DC-1877F3C3BFCD}" name="Column10355"/>
    <tableColumn id="10370" xr3:uid="{65426254-3223-472F-A9E5-DB028C74DE01}" name="Column10356"/>
    <tableColumn id="10371" xr3:uid="{8CF76FA4-EC34-4DD0-8784-16AEA1992661}" name="Column10357"/>
    <tableColumn id="10372" xr3:uid="{BC6E8F16-1DE2-49DF-A034-86E2481B712D}" name="Column10358"/>
    <tableColumn id="10373" xr3:uid="{1BC07567-F270-4CB4-AF41-19A76AC0759F}" name="Column10359"/>
    <tableColumn id="10374" xr3:uid="{C1653834-DCE4-486E-9730-1B36F8B80059}" name="Column10360"/>
    <tableColumn id="10375" xr3:uid="{83E0DD75-85AF-4EC4-957F-82ABED4CFDCC}" name="Column10361"/>
    <tableColumn id="10376" xr3:uid="{ACC1D87E-F149-4961-9FC5-0992003B290A}" name="Column10362"/>
    <tableColumn id="10377" xr3:uid="{B2B4937D-03E3-47FD-99D4-27FFBA24713A}" name="Column10363"/>
    <tableColumn id="10378" xr3:uid="{C3B0E4A0-C78D-4D44-ADDD-C011D092D774}" name="Column10364"/>
    <tableColumn id="10379" xr3:uid="{9DA0044C-F668-4A2D-BB1E-56138F7241D9}" name="Column10365"/>
    <tableColumn id="10380" xr3:uid="{CCB1524B-CB6F-474D-8DD5-EECA40AC7C6B}" name="Column10366"/>
    <tableColumn id="10381" xr3:uid="{613B477C-3B9B-4114-83EA-8646AFD2B237}" name="Column10367"/>
    <tableColumn id="10382" xr3:uid="{AB447AC2-0415-40FB-B04C-7C2C6578A5D0}" name="Column10368"/>
    <tableColumn id="10383" xr3:uid="{ED674B05-5E9D-46CE-9C4C-8F63EFCDC775}" name="Column10369"/>
    <tableColumn id="10384" xr3:uid="{41A90836-DE2A-406C-9369-19F769B7DC53}" name="Column10370"/>
    <tableColumn id="10385" xr3:uid="{36D65AB8-32A5-47A2-B1D2-6E718DF9FCB8}" name="Column10371"/>
    <tableColumn id="10386" xr3:uid="{605B4B5C-FB7B-4188-87A1-9B7C77318821}" name="Column10372"/>
    <tableColumn id="10387" xr3:uid="{D2602365-5E76-4D7B-B91F-E69A56EA19C4}" name="Column10373"/>
    <tableColumn id="10388" xr3:uid="{072C9D89-4B2A-417D-9481-032489926ED7}" name="Column10374"/>
    <tableColumn id="10389" xr3:uid="{5B213A4E-3AC3-4AA9-B3E5-03447D3BFEB2}" name="Column10375"/>
    <tableColumn id="10390" xr3:uid="{94C38DD2-1C95-4C5B-9232-0960F4510D63}" name="Column10376"/>
    <tableColumn id="10391" xr3:uid="{B9A87783-D192-4C3E-BC79-516E0B0897A9}" name="Column10377"/>
    <tableColumn id="10392" xr3:uid="{A688712F-CB7E-4051-B618-A3073AFBFC90}" name="Column10378"/>
    <tableColumn id="10393" xr3:uid="{D1078F43-945E-4BFD-921C-0F34B7A26907}" name="Column10379"/>
    <tableColumn id="10394" xr3:uid="{D1A7319F-B9F7-4681-B8B3-B39F6E26E303}" name="Column10380"/>
    <tableColumn id="10395" xr3:uid="{6DEF26CE-7A07-4382-A5C8-114576B66817}" name="Column10381"/>
    <tableColumn id="10396" xr3:uid="{1FA51E8D-7E9D-4B56-B94A-88898E695C80}" name="Column10382"/>
    <tableColumn id="10397" xr3:uid="{BE5AF0A8-758D-4589-8794-2058D90CE8CC}" name="Column10383"/>
    <tableColumn id="10398" xr3:uid="{D317EBA5-B6EE-4FB0-B724-1BDA43289F08}" name="Column10384"/>
    <tableColumn id="10399" xr3:uid="{A5F1C6EF-7776-4E60-B584-0DFCEAA3C0BD}" name="Column10385"/>
    <tableColumn id="10400" xr3:uid="{DE5F1D7A-E9BD-4FDC-AB79-E56E06242138}" name="Column10386"/>
    <tableColumn id="10401" xr3:uid="{18FE8E2F-F38C-492D-BBA9-4609035F9354}" name="Column10387"/>
    <tableColumn id="10402" xr3:uid="{AEAF4018-BB26-42FF-98BD-C1709D4108B9}" name="Column10388"/>
    <tableColumn id="10403" xr3:uid="{24C383A9-4241-44E7-B54A-C1D0EBD5EEE6}" name="Column10389"/>
    <tableColumn id="10404" xr3:uid="{B9375236-AF72-4078-ADFA-CD1FC4F3D849}" name="Column10390"/>
    <tableColumn id="10405" xr3:uid="{4752C17C-0504-4FFD-9A14-62C91A6C7336}" name="Column10391"/>
    <tableColumn id="10406" xr3:uid="{CDFA349E-EDB0-42E1-91AA-0A6476660D1E}" name="Column10392"/>
    <tableColumn id="10407" xr3:uid="{EB4614A0-B409-4A90-AC55-8E1C671832B5}" name="Column10393"/>
    <tableColumn id="10408" xr3:uid="{59C39D24-3537-4A1D-AC05-859DBBA92004}" name="Column10394"/>
    <tableColumn id="10409" xr3:uid="{D6F9F7CA-2D3F-4B06-8294-0011D59A364A}" name="Column10395"/>
    <tableColumn id="10410" xr3:uid="{87C1F592-1535-4AE3-B325-4C5F8BB3FB6B}" name="Column10396"/>
    <tableColumn id="10411" xr3:uid="{C2B27A9D-857E-4A72-9780-EC12BA62577E}" name="Column10397"/>
    <tableColumn id="10412" xr3:uid="{94CC8FAC-544D-410F-8B69-4F0B8748D178}" name="Column10398"/>
    <tableColumn id="10413" xr3:uid="{8EAA7C31-63A0-4418-929D-35C6BE929E27}" name="Column10399"/>
    <tableColumn id="10414" xr3:uid="{44AE5BDD-E571-4362-A9D9-F8B113D5E2CE}" name="Column10400"/>
    <tableColumn id="10415" xr3:uid="{C44BF997-D072-4ECB-9C67-9E2F103FD6AC}" name="Column10401"/>
    <tableColumn id="10416" xr3:uid="{D08FCB24-6BA2-452C-880A-BE6B4BB0CAE9}" name="Column10402"/>
    <tableColumn id="10417" xr3:uid="{9F717D2E-7B64-43E6-A6D3-658AB4CA654E}" name="Column10403"/>
    <tableColumn id="10418" xr3:uid="{FBDD82AD-FA1D-4A0A-B718-885BE8E76D8C}" name="Column10404"/>
    <tableColumn id="10419" xr3:uid="{F76041F2-1D3C-41DB-A132-DF059D6A19EC}" name="Column10405"/>
    <tableColumn id="10420" xr3:uid="{8FA350DA-3358-4515-B8FD-9F2A88C680EA}" name="Column10406"/>
    <tableColumn id="10421" xr3:uid="{9057E4DC-28C9-4F33-9D76-0D312A58C85A}" name="Column10407"/>
    <tableColumn id="10422" xr3:uid="{59BFAE56-4D96-468F-833E-F89912AD7EC4}" name="Column10408"/>
    <tableColumn id="10423" xr3:uid="{6F1917DF-E94E-4438-98A7-D09F11511BA5}" name="Column10409"/>
    <tableColumn id="10424" xr3:uid="{15204EA5-CD7C-425C-8663-E217A4ACB5CD}" name="Column10410"/>
    <tableColumn id="10425" xr3:uid="{5E9178D9-5707-4B39-87C2-53338B35E1BF}" name="Column10411"/>
    <tableColumn id="10426" xr3:uid="{587146F7-2821-44AF-A164-EFE6992FEDE7}" name="Column10412"/>
    <tableColumn id="10427" xr3:uid="{0E7CE823-BD85-4469-ABE1-5A992089DC16}" name="Column10413"/>
    <tableColumn id="10428" xr3:uid="{1ED25A1B-7DF6-4682-A131-4E556A271AB9}" name="Column10414"/>
    <tableColumn id="10429" xr3:uid="{C0414E4F-F285-41F5-A048-F5D667C01F1F}" name="Column10415"/>
    <tableColumn id="10430" xr3:uid="{6B234DCD-4F9A-4E88-A46E-184E8E33D775}" name="Column10416"/>
    <tableColumn id="10431" xr3:uid="{E8C7DBD5-D488-4DFA-8BE5-40B4E9AA3918}" name="Column10417"/>
    <tableColumn id="10432" xr3:uid="{87F99C60-F496-4DF1-B81A-8DBB6005AF33}" name="Column10418"/>
    <tableColumn id="10433" xr3:uid="{DFA18E60-6A61-4800-AB7F-F5DA156D0B14}" name="Column10419"/>
    <tableColumn id="10434" xr3:uid="{4C89ED02-5DF9-47F1-BA42-2FCBE0C083C0}" name="Column10420"/>
    <tableColumn id="10435" xr3:uid="{F9C09D14-FDF9-42AF-9462-95C3FE6C694C}" name="Column10421"/>
    <tableColumn id="10436" xr3:uid="{CD6D0C29-E7C3-4F39-8E99-E3D004E7AA35}" name="Column10422"/>
    <tableColumn id="10437" xr3:uid="{52AB0A12-0F69-42D5-803A-1479D65973A2}" name="Column10423"/>
    <tableColumn id="10438" xr3:uid="{137A9A1D-9330-4120-85F3-CEDCF7E40F5C}" name="Column10424"/>
    <tableColumn id="10439" xr3:uid="{29812791-7BED-4A23-8EF6-8849F2E8ED41}" name="Column10425"/>
    <tableColumn id="10440" xr3:uid="{A48F64B7-ADD7-4A36-A49C-D0D6167B876C}" name="Column10426"/>
    <tableColumn id="10441" xr3:uid="{810A03EF-26B2-4527-AD34-CB09E1224C8B}" name="Column10427"/>
    <tableColumn id="10442" xr3:uid="{C5A31F07-0BA0-4E39-B9D2-E5AA3C17171A}" name="Column10428"/>
    <tableColumn id="10443" xr3:uid="{71366B59-4F75-4A61-A288-1925FB390647}" name="Column10429"/>
    <tableColumn id="10444" xr3:uid="{6341EE60-9127-4BAE-9BFD-60AF125A666F}" name="Column10430"/>
    <tableColumn id="10445" xr3:uid="{3509912F-F1F1-4EC7-B96C-E287EEB02306}" name="Column10431"/>
    <tableColumn id="10446" xr3:uid="{8992EDEB-B4CA-497A-B870-652448CE418A}" name="Column10432"/>
    <tableColumn id="10447" xr3:uid="{C2A52A68-E136-4EC8-811D-4F0D9FBF75F2}" name="Column10433"/>
    <tableColumn id="10448" xr3:uid="{A9303A8D-E587-4443-9053-43351199AECB}" name="Column10434"/>
    <tableColumn id="10449" xr3:uid="{787FFB19-D54A-4FA8-B20D-B3AAABACA802}" name="Column10435"/>
    <tableColumn id="10450" xr3:uid="{761B374B-1973-4C57-9846-10261981EAA5}" name="Column10436"/>
    <tableColumn id="10451" xr3:uid="{B4F94743-A741-450B-9A49-618B9014F0D2}" name="Column10437"/>
    <tableColumn id="10452" xr3:uid="{3DC37F86-73E4-4713-AEF3-3D2464EAD600}" name="Column10438"/>
    <tableColumn id="10453" xr3:uid="{802442E8-B1DF-4A6E-946E-779AEEC3956F}" name="Column10439"/>
    <tableColumn id="10454" xr3:uid="{4D6361D2-315A-4554-A136-C409D7076D3D}" name="Column10440"/>
    <tableColumn id="10455" xr3:uid="{B9E1C390-00C3-45D7-9D09-A969E3982D8D}" name="Column10441"/>
    <tableColumn id="10456" xr3:uid="{0318CB76-D326-42DB-8F95-60C01D0918CE}" name="Column10442"/>
    <tableColumn id="10457" xr3:uid="{CAA7F152-D57E-4075-B6E6-C89B15896310}" name="Column10443"/>
    <tableColumn id="10458" xr3:uid="{220BA836-003E-47D3-9080-1002B7954176}" name="Column10444"/>
    <tableColumn id="10459" xr3:uid="{23C28BFE-1740-4CBB-A4FF-F89EE635588C}" name="Column10445"/>
    <tableColumn id="10460" xr3:uid="{CC26AF70-FF94-44BF-B331-688806374BDB}" name="Column10446"/>
    <tableColumn id="10461" xr3:uid="{BBF6F377-E0A3-4987-878B-BFD0B32379D1}" name="Column10447"/>
    <tableColumn id="10462" xr3:uid="{3C83B4A6-5B30-49C3-A6AA-556C043D6D52}" name="Column10448"/>
    <tableColumn id="10463" xr3:uid="{BB72074E-6B7D-4AD6-B3E4-BF06BE9E2907}" name="Column10449"/>
    <tableColumn id="10464" xr3:uid="{42AF4413-EB95-4249-802C-C18EB5717DA1}" name="Column10450"/>
    <tableColumn id="10465" xr3:uid="{87736715-C6BA-4740-B132-6DCBB85610D3}" name="Column10451"/>
    <tableColumn id="10466" xr3:uid="{5E01E33E-AF9B-426B-9255-5B785C9CA5C8}" name="Column10452"/>
    <tableColumn id="10467" xr3:uid="{C1EF7AD4-08C8-448C-AEF7-EF45046241F6}" name="Column10453"/>
    <tableColumn id="10468" xr3:uid="{D4EBD079-B358-420E-AABD-0CF08ABD1AB7}" name="Column10454"/>
    <tableColumn id="10469" xr3:uid="{E7ED2A71-0FFC-4F53-92C7-0FEE424FAD7A}" name="Column10455"/>
    <tableColumn id="10470" xr3:uid="{95E360E6-B1AF-48C5-AFC6-5F0B67E1FA90}" name="Column10456"/>
    <tableColumn id="10471" xr3:uid="{F02A9B4B-2E7A-4D8C-830E-FC36FFFDAAB5}" name="Column10457"/>
    <tableColumn id="10472" xr3:uid="{917D8074-E1A3-47D6-B303-068C672B6263}" name="Column10458"/>
    <tableColumn id="10473" xr3:uid="{7DE6CD0D-345A-426C-94A8-3DA84DC5A3B3}" name="Column10459"/>
    <tableColumn id="10474" xr3:uid="{31A52BF2-2E30-4AD7-A344-CD008F5CF10A}" name="Column10460"/>
    <tableColumn id="10475" xr3:uid="{92A847A9-BEFC-43E7-A564-76CD6046F2BF}" name="Column10461"/>
    <tableColumn id="10476" xr3:uid="{78D83245-0CB2-4042-9FED-C5288C68DF9C}" name="Column10462"/>
    <tableColumn id="10477" xr3:uid="{D8E90F35-EAC8-4D0F-9E32-2D9AF9FB9DB7}" name="Column10463"/>
    <tableColumn id="10478" xr3:uid="{455C3856-4848-4B1C-8358-1F245670255C}" name="Column10464"/>
    <tableColumn id="10479" xr3:uid="{55AAB623-ED36-47EC-97A0-55D2DC433E60}" name="Column10465"/>
    <tableColumn id="10480" xr3:uid="{7D4A8C18-1364-459C-B8B1-CC3972B8FDC2}" name="Column10466"/>
    <tableColumn id="10481" xr3:uid="{2463CE03-509F-4816-AA55-31310E5A73DE}" name="Column10467"/>
    <tableColumn id="10482" xr3:uid="{3E5E90BB-D70C-41DF-A41F-5B5A5720E34D}" name="Column10468"/>
    <tableColumn id="10483" xr3:uid="{C8867C69-9E6C-407D-9022-758107A921C7}" name="Column10469"/>
    <tableColumn id="10484" xr3:uid="{266F7106-4C70-4147-B515-479D8659DD09}" name="Column10470"/>
    <tableColumn id="10485" xr3:uid="{7C541AB5-4FDF-4AAD-9CB3-8418EABC96D2}" name="Column10471"/>
    <tableColumn id="10486" xr3:uid="{BD80E56A-FE17-4590-9C03-BA58A56FE8D9}" name="Column10472"/>
    <tableColumn id="10487" xr3:uid="{CA254722-3972-465C-B505-5341C8E02E3A}" name="Column10473"/>
    <tableColumn id="10488" xr3:uid="{CB9DEAD1-429D-4CD5-8DF9-85D6044E6420}" name="Column10474"/>
    <tableColumn id="10489" xr3:uid="{475D1B89-1B9B-477C-BC88-E96685A960AC}" name="Column10475"/>
    <tableColumn id="10490" xr3:uid="{5664AAC6-ACC8-4EA0-89BC-E5B300A3A0A1}" name="Column10476"/>
    <tableColumn id="10491" xr3:uid="{F9502F4C-B0B4-42C3-AE37-054526951E4C}" name="Column10477"/>
    <tableColumn id="10492" xr3:uid="{EB1330FE-6315-400E-AE0A-002C827F32D8}" name="Column10478"/>
    <tableColumn id="10493" xr3:uid="{58FB22E4-CED6-4862-BBCD-D38BE3897A99}" name="Column10479"/>
    <tableColumn id="10494" xr3:uid="{A0F3CAC9-ED62-4F8F-B15C-57F10C0F1394}" name="Column10480"/>
    <tableColumn id="10495" xr3:uid="{B1183248-F1BB-4E00-9898-45EFFC727654}" name="Column10481"/>
    <tableColumn id="10496" xr3:uid="{BA3DC8F3-8636-4493-B5BA-619AF8A185B6}" name="Column10482"/>
    <tableColumn id="10497" xr3:uid="{314FED17-FC6F-4421-8CD4-02586A5CD49D}" name="Column10483"/>
    <tableColumn id="10498" xr3:uid="{3D61A8CC-5B03-4948-8269-06BB4BFBA351}" name="Column10484"/>
    <tableColumn id="10499" xr3:uid="{93483535-8C98-49B1-8D1C-0DF6C91DAA67}" name="Column10485"/>
    <tableColumn id="10500" xr3:uid="{2E7DD564-1240-449C-B17E-637A6F725B45}" name="Column10486"/>
    <tableColumn id="10501" xr3:uid="{96EE631B-869F-48C3-B2B4-619CBB9346E1}" name="Column10487"/>
    <tableColumn id="10502" xr3:uid="{1DBF56C9-EB77-499A-97DC-42F907D39DF6}" name="Column10488"/>
    <tableColumn id="10503" xr3:uid="{EF65C45F-9CE6-46D5-B991-0B1573BD9034}" name="Column10489"/>
    <tableColumn id="10504" xr3:uid="{9C3B85FF-D747-4719-ACDC-7A579FDAF24D}" name="Column10490"/>
    <tableColumn id="10505" xr3:uid="{B2232C47-A977-43F0-BD23-EE1353A5D41F}" name="Column10491"/>
    <tableColumn id="10506" xr3:uid="{EF1764B3-2B1B-4103-83E4-EC6F05251070}" name="Column10492"/>
    <tableColumn id="10507" xr3:uid="{7695DA80-ED8B-436A-B52E-0CBD4B0BBD55}" name="Column10493"/>
    <tableColumn id="10508" xr3:uid="{1AC898B0-D2D7-466B-82B0-12103B4975DB}" name="Column10494"/>
    <tableColumn id="10509" xr3:uid="{754980A7-C197-4AFA-BB6E-CE865D079764}" name="Column10495"/>
    <tableColumn id="10510" xr3:uid="{B610BC66-9FD2-4421-90EA-E61DEA5746D5}" name="Column10496"/>
    <tableColumn id="10511" xr3:uid="{4C99D8BC-513D-452F-A7E6-966F83D1E99D}" name="Column10497"/>
    <tableColumn id="10512" xr3:uid="{E7517690-33D3-4959-B49E-86C6351DA1D1}" name="Column10498"/>
    <tableColumn id="10513" xr3:uid="{0A9D7239-2974-46E4-83F4-BC807BEC70A0}" name="Column10499"/>
    <tableColumn id="10514" xr3:uid="{A1B868A7-E16A-4A50-9B96-AC3AFF5AF2A0}" name="Column10500"/>
    <tableColumn id="10515" xr3:uid="{15D8CACE-56D5-4869-80F5-F83495C2E745}" name="Column10501"/>
    <tableColumn id="10516" xr3:uid="{BE150BB2-CBA6-4469-AB8B-614637B78C04}" name="Column10502"/>
    <tableColumn id="10517" xr3:uid="{AFD3C0C0-88CB-4D79-A434-A79CD68870CB}" name="Column10503"/>
    <tableColumn id="10518" xr3:uid="{88DE01BB-F68F-46DE-A767-2728FF0E38AD}" name="Column10504"/>
    <tableColumn id="10519" xr3:uid="{E1F69C53-2C90-4E01-9CA1-C60958C78188}" name="Column10505"/>
    <tableColumn id="10520" xr3:uid="{C8DC86F5-B7B8-4DC6-BFAF-35C3948A5845}" name="Column10506"/>
    <tableColumn id="10521" xr3:uid="{F5DFC1EB-4173-4DA9-91F6-3A2A5971D975}" name="Column10507"/>
    <tableColumn id="10522" xr3:uid="{B394E256-5E62-4503-A85B-01D76FD903DD}" name="Column10508"/>
    <tableColumn id="10523" xr3:uid="{A3F273F6-9923-483B-9ACD-9DCAC90CA224}" name="Column10509"/>
    <tableColumn id="10524" xr3:uid="{4DD3C3B1-D491-4BDB-9423-1C256B5B3436}" name="Column10510"/>
    <tableColumn id="10525" xr3:uid="{EBEA10F0-9C6E-4E9C-BDB9-5AE25954C117}" name="Column10511"/>
    <tableColumn id="10526" xr3:uid="{B1AD01F4-F927-452B-A40B-72B0760D6A43}" name="Column10512"/>
    <tableColumn id="10527" xr3:uid="{09B8881E-4E58-4EB7-A316-48C17F1FA36F}" name="Column10513"/>
    <tableColumn id="10528" xr3:uid="{8D757DD7-43D4-46CF-BE76-B1B6F1342596}" name="Column10514"/>
    <tableColumn id="10529" xr3:uid="{FBBD90A9-31CD-4383-AC28-240FA53CDACC}" name="Column10515"/>
    <tableColumn id="10530" xr3:uid="{67B39C18-3BF1-435D-B41F-6F174E030C12}" name="Column10516"/>
    <tableColumn id="10531" xr3:uid="{CC084FAA-496A-456E-8575-F87EB24E46D5}" name="Column10517"/>
    <tableColumn id="10532" xr3:uid="{5571C61E-880E-4281-BE94-4E2BDA35DCF4}" name="Column10518"/>
    <tableColumn id="10533" xr3:uid="{845D08DE-17D2-4BEB-9C81-25C723D629E6}" name="Column10519"/>
    <tableColumn id="10534" xr3:uid="{4CCFCC5F-685C-432F-B415-BAD777FDF4E3}" name="Column10520"/>
    <tableColumn id="10535" xr3:uid="{2C56C1F7-E45E-44B9-8CE7-3952C723D14C}" name="Column10521"/>
    <tableColumn id="10536" xr3:uid="{A9F2DFDB-38A5-43E1-9C3F-E269584C0816}" name="Column10522"/>
    <tableColumn id="10537" xr3:uid="{F8524323-32EF-4334-AA90-4751369398C1}" name="Column10523"/>
    <tableColumn id="10538" xr3:uid="{F567C19A-1FD3-4B5F-98E0-F77AFDE29DC3}" name="Column10524"/>
    <tableColumn id="10539" xr3:uid="{1D7040B4-A634-4A14-B38A-2D264D9C8926}" name="Column10525"/>
    <tableColumn id="10540" xr3:uid="{B3E73682-9D1D-44E1-AE09-96EEBC75C7E0}" name="Column10526"/>
    <tableColumn id="10541" xr3:uid="{1F2D2945-B5C6-47D7-93D7-08D4B747F5C2}" name="Column10527"/>
    <tableColumn id="10542" xr3:uid="{B4F41DC1-4CA0-4EA6-96FA-80386499FB67}" name="Column10528"/>
    <tableColumn id="10543" xr3:uid="{0FB43AA8-0A84-4B15-94A8-00C61F4735D9}" name="Column10529"/>
    <tableColumn id="10544" xr3:uid="{62C11AB6-9146-495E-ABBC-132384D407BD}" name="Column10530"/>
    <tableColumn id="10545" xr3:uid="{D5F25485-FEEF-4447-91E7-B78CCC2A2DF3}" name="Column10531"/>
    <tableColumn id="10546" xr3:uid="{F75BE313-DC35-4C2D-9479-129EB71DDBCC}" name="Column10532"/>
    <tableColumn id="10547" xr3:uid="{8E85A410-B7F7-47D0-89C2-CCD66CFF8E39}" name="Column10533"/>
    <tableColumn id="10548" xr3:uid="{A67BFE9F-7A4C-467B-9725-28F6D1C81378}" name="Column10534"/>
    <tableColumn id="10549" xr3:uid="{BFF7F51A-08BA-408E-99F8-FBF9987F8939}" name="Column10535"/>
    <tableColumn id="10550" xr3:uid="{4685678E-51BA-47DB-A006-2812B1C49D65}" name="Column10536"/>
    <tableColumn id="10551" xr3:uid="{572BD946-237F-4A5E-8B44-D6CE4499D97D}" name="Column10537"/>
    <tableColumn id="10552" xr3:uid="{1C8256CF-6FCC-454C-9D54-B25FFD649223}" name="Column10538"/>
    <tableColumn id="10553" xr3:uid="{150C687D-57DE-45A5-83AF-CC71A88A5B4A}" name="Column10539"/>
    <tableColumn id="10554" xr3:uid="{770E54F3-5EFB-4D81-8D0D-BA14C015E789}" name="Column10540"/>
    <tableColumn id="10555" xr3:uid="{651E31F7-1013-4F83-BEA3-41C475ABC9FC}" name="Column10541"/>
    <tableColumn id="10556" xr3:uid="{E69B8528-F7A0-483F-878F-7EF435B23303}" name="Column10542"/>
    <tableColumn id="10557" xr3:uid="{57FA25BC-C7EC-43BB-A679-57BF81C2CC88}" name="Column10543"/>
    <tableColumn id="10558" xr3:uid="{9DE5297A-2D0D-4678-A4BE-60A28B53CD25}" name="Column10544"/>
    <tableColumn id="10559" xr3:uid="{30787BAF-775D-4588-A633-A272BC476908}" name="Column10545"/>
    <tableColumn id="10560" xr3:uid="{067C2BCC-3905-46C2-BC84-D26576E295C2}" name="Column10546"/>
    <tableColumn id="10561" xr3:uid="{3D9E660F-1D3C-4B94-8DDC-8C5C05AED088}" name="Column10547"/>
    <tableColumn id="10562" xr3:uid="{C5D23B95-9006-4BC0-A0E3-B2587800B84A}" name="Column10548"/>
    <tableColumn id="10563" xr3:uid="{9E128974-328E-4911-8BC4-790B2E62213A}" name="Column10549"/>
    <tableColumn id="10564" xr3:uid="{86914526-0193-455F-8852-AE99D3AEC808}" name="Column10550"/>
    <tableColumn id="10565" xr3:uid="{FF1FDBEE-87FB-475B-B734-E6189792EBA7}" name="Column10551"/>
    <tableColumn id="10566" xr3:uid="{A219E576-67D7-4064-A5D7-FF4A955E282B}" name="Column10552"/>
    <tableColumn id="10567" xr3:uid="{120A6E18-E09C-4BD2-88F0-014B1167628B}" name="Column10553"/>
    <tableColumn id="10568" xr3:uid="{E0998EA4-4350-4CBD-9698-67DCBD43916B}" name="Column10554"/>
    <tableColumn id="10569" xr3:uid="{E0832E54-3FCB-4FB3-96C6-E3AC9ACA8719}" name="Column10555"/>
    <tableColumn id="10570" xr3:uid="{6AB049F3-5195-4B2F-9EB8-7791AA45A8D0}" name="Column10556"/>
    <tableColumn id="10571" xr3:uid="{E4563E94-65CD-4E4D-8D01-112BA86C2E3D}" name="Column10557"/>
    <tableColumn id="10572" xr3:uid="{D7E5CA8D-353E-4398-BC99-1DDD5B37E3BE}" name="Column10558"/>
    <tableColumn id="10573" xr3:uid="{27E07CE4-4383-42E9-9670-370E8894E6BB}" name="Column10559"/>
    <tableColumn id="10574" xr3:uid="{93B0AB7C-FBD1-4126-9521-919A0A06324D}" name="Column10560"/>
    <tableColumn id="10575" xr3:uid="{0A64F067-3571-4DC9-AAE3-555A0F928276}" name="Column10561"/>
    <tableColumn id="10576" xr3:uid="{3FC87E37-0008-4FB3-A089-4B49DDB5325B}" name="Column10562"/>
    <tableColumn id="10577" xr3:uid="{75FB50F9-EF0A-4721-AF72-F1D9D94ECD3F}" name="Column10563"/>
    <tableColumn id="10578" xr3:uid="{25305F5C-3728-42F5-B2B6-09FC9EE680F1}" name="Column10564"/>
    <tableColumn id="10579" xr3:uid="{2262BBAB-812E-4AFA-A060-F42A31A20C86}" name="Column10565"/>
    <tableColumn id="10580" xr3:uid="{8051928B-4186-4462-A7CD-E6DC906930CB}" name="Column10566"/>
    <tableColumn id="10581" xr3:uid="{071FB5AC-473F-41FA-8DED-467544AFA52F}" name="Column10567"/>
    <tableColumn id="10582" xr3:uid="{1EDA38EC-33AB-4782-9C87-281057C9112F}" name="Column10568"/>
    <tableColumn id="10583" xr3:uid="{329D6AB9-44D5-4327-801F-04FAB6A71B01}" name="Column10569"/>
    <tableColumn id="10584" xr3:uid="{E46F4723-80F8-49CB-AD9E-AACD6EF4D4A4}" name="Column10570"/>
    <tableColumn id="10585" xr3:uid="{1F14164F-0B8C-413C-BAC2-BC1CAF1C6012}" name="Column10571"/>
    <tableColumn id="10586" xr3:uid="{B3EE0623-B73F-45EC-AA47-910563B4A324}" name="Column10572"/>
    <tableColumn id="10587" xr3:uid="{DA689ADA-B89B-496F-91F5-A678487AE82E}" name="Column10573"/>
    <tableColumn id="10588" xr3:uid="{1C741193-FE0F-4FBD-96F6-6BA9467A40F6}" name="Column10574"/>
    <tableColumn id="10589" xr3:uid="{5AAED8B2-0122-4397-9DB3-91F5B380680A}" name="Column10575"/>
    <tableColumn id="10590" xr3:uid="{A39F2EF5-71BB-4E25-A596-A19AE2F54C2C}" name="Column10576"/>
    <tableColumn id="10591" xr3:uid="{12FF7186-F162-4E6B-8358-FF648C943D47}" name="Column10577"/>
    <tableColumn id="10592" xr3:uid="{EEFB79B3-9E59-4220-AA2C-D603FC69DE88}" name="Column10578"/>
    <tableColumn id="10593" xr3:uid="{22B2A62C-BBF9-4E62-936B-0A3D9BC67A23}" name="Column10579"/>
    <tableColumn id="10594" xr3:uid="{3A09BCC2-2609-417C-90BD-19E5D4DAC029}" name="Column10580"/>
    <tableColumn id="10595" xr3:uid="{F0EA8230-8295-47CB-9E5B-CD5D4C13AE3E}" name="Column10581"/>
    <tableColumn id="10596" xr3:uid="{F0380666-16D0-403B-B3DB-96A07D7B1F41}" name="Column10582"/>
    <tableColumn id="10597" xr3:uid="{4591FD5E-4DAE-4882-B876-4444D88D6330}" name="Column10583"/>
    <tableColumn id="10598" xr3:uid="{F802A691-741A-4DAE-B3FE-CF7B07DF5E2D}" name="Column10584"/>
    <tableColumn id="10599" xr3:uid="{56E218B0-931D-4909-B454-D51F304C13E6}" name="Column10585"/>
    <tableColumn id="10600" xr3:uid="{54F54E7A-D241-4A76-BEED-85572D1F895C}" name="Column10586"/>
    <tableColumn id="10601" xr3:uid="{21AF77B0-134E-4F52-8444-5A7345D120AA}" name="Column10587"/>
    <tableColumn id="10602" xr3:uid="{47AA6AED-B810-41CC-BF09-15EC342570F4}" name="Column10588"/>
    <tableColumn id="10603" xr3:uid="{BF5F1F60-FBB0-4276-B78A-C37E032BF394}" name="Column10589"/>
    <tableColumn id="10604" xr3:uid="{A3D12211-BD9B-4614-AA10-5D1193A909E7}" name="Column10590"/>
    <tableColumn id="10605" xr3:uid="{13810213-FD90-4892-B55E-1E265B72FB0D}" name="Column10591"/>
    <tableColumn id="10606" xr3:uid="{6B30CA21-1BF7-4CD3-9269-52C98A9059FF}" name="Column10592"/>
    <tableColumn id="10607" xr3:uid="{A7793F2A-EE9B-49A8-A05C-28FE010A32E6}" name="Column10593"/>
    <tableColumn id="10608" xr3:uid="{F39116EC-8007-4399-8B82-F2089D01ED48}" name="Column10594"/>
    <tableColumn id="10609" xr3:uid="{157A6A17-05DE-48A1-BA07-C5BA426146DB}" name="Column10595"/>
    <tableColumn id="10610" xr3:uid="{F6E3E8CB-346C-4FDA-A580-4F36A54D0C1D}" name="Column10596"/>
    <tableColumn id="10611" xr3:uid="{7F2DC3DF-FB76-4E7C-846C-1EEDC062E8AF}" name="Column10597"/>
    <tableColumn id="10612" xr3:uid="{1D3F51E0-4DFA-4355-BAB8-CDCF4B3ED42B}" name="Column10598"/>
    <tableColumn id="10613" xr3:uid="{325142B9-3FF0-4B04-9378-EAF6D1901EDD}" name="Column10599"/>
    <tableColumn id="10614" xr3:uid="{A4B12A28-66AC-420C-B52B-A77A2AC5DA45}" name="Column10600"/>
    <tableColumn id="10615" xr3:uid="{0B7DA5AC-8C61-40B0-A44F-623EA7B39D02}" name="Column10601"/>
    <tableColumn id="10616" xr3:uid="{E196397F-54C2-45A4-9D42-C3C28D026E95}" name="Column10602"/>
    <tableColumn id="10617" xr3:uid="{0F981C4A-FAA0-4E8F-9851-BB05FA09DB2C}" name="Column10603"/>
    <tableColumn id="10618" xr3:uid="{A9468A09-8029-4DBE-B1A1-3578C1648B95}" name="Column10604"/>
    <tableColumn id="10619" xr3:uid="{916CC01C-8352-4F59-81B8-8995C97B7BE9}" name="Column10605"/>
    <tableColumn id="10620" xr3:uid="{9BBE0318-FA81-42CF-8581-CADD56F55EC0}" name="Column10606"/>
    <tableColumn id="10621" xr3:uid="{F82970A3-4FE6-49C4-9CC4-15ED54EF1EFE}" name="Column10607"/>
    <tableColumn id="10622" xr3:uid="{E4820D18-B391-4679-A783-71F9A96EEB19}" name="Column10608"/>
    <tableColumn id="10623" xr3:uid="{F2E27ECD-6898-4F0C-A144-553A3B5F7A01}" name="Column10609"/>
    <tableColumn id="10624" xr3:uid="{87398610-666F-4967-A9DD-5DE7A897F336}" name="Column10610"/>
    <tableColumn id="10625" xr3:uid="{5F903258-291C-4CAB-952A-9E4B620711CC}" name="Column10611"/>
    <tableColumn id="10626" xr3:uid="{DAEC8D9C-5A46-4DB5-B70F-BB5CAEBE3E55}" name="Column10612"/>
    <tableColumn id="10627" xr3:uid="{ADFEF33E-60B1-48E4-95A7-5A8F5B571CC5}" name="Column10613"/>
    <tableColumn id="10628" xr3:uid="{4183D6CD-1F59-4763-AB71-19DDA0286EFF}" name="Column10614"/>
    <tableColumn id="10629" xr3:uid="{F1646DA9-9F6B-47E4-9732-B1A80E2B5FAF}" name="Column10615"/>
    <tableColumn id="10630" xr3:uid="{8D7E89C3-F215-4FA2-8A3B-4C386C1B65A9}" name="Column10616"/>
    <tableColumn id="10631" xr3:uid="{B6AD59F9-7F1F-4D2D-8D28-6B121DC0E58D}" name="Column10617"/>
    <tableColumn id="10632" xr3:uid="{469D7CD3-0E8C-431C-8F8A-C5C1E925DA8A}" name="Column10618"/>
    <tableColumn id="10633" xr3:uid="{84B25FB7-EC35-47C9-A5C2-8B70326FB3A3}" name="Column10619"/>
    <tableColumn id="10634" xr3:uid="{A9D2E486-6F5A-43A5-8680-2229C727C903}" name="Column10620"/>
    <tableColumn id="10635" xr3:uid="{26558AEF-3465-426E-AF24-9F6ED5962F20}" name="Column10621"/>
    <tableColumn id="10636" xr3:uid="{890E9064-170B-48F0-B833-DD6768A1A212}" name="Column10622"/>
    <tableColumn id="10637" xr3:uid="{D3041962-32B7-42AE-B472-9312097C362E}" name="Column10623"/>
    <tableColumn id="10638" xr3:uid="{93059B4E-9701-4C87-A532-3B74F1D9BD33}" name="Column10624"/>
    <tableColumn id="10639" xr3:uid="{FC15FAF7-A365-41A8-ACE8-FFF5323CEF81}" name="Column10625"/>
    <tableColumn id="10640" xr3:uid="{086C796E-79CB-4077-A7AA-1979B2C60997}" name="Column10626"/>
    <tableColumn id="10641" xr3:uid="{5AFB8BE0-D9E2-4B3A-B118-7359CEA58A8A}" name="Column10627"/>
    <tableColumn id="10642" xr3:uid="{351CAEF4-621F-4231-A6FD-814D8CDCC4D9}" name="Column10628"/>
    <tableColumn id="10643" xr3:uid="{375F5250-BB83-4CE9-9406-47C6EAC88B79}" name="Column10629"/>
    <tableColumn id="10644" xr3:uid="{902F493C-6812-4224-9D2B-E3F93633BE00}" name="Column10630"/>
    <tableColumn id="10645" xr3:uid="{00D14B30-F516-4B0B-B7F1-29F70FA5C627}" name="Column10631"/>
    <tableColumn id="10646" xr3:uid="{69AB1D79-1BB7-4CFB-A34B-E46DF75B8572}" name="Column10632"/>
    <tableColumn id="10647" xr3:uid="{AEF89D2E-AB50-4B18-9D4F-6A7DF3994702}" name="Column10633"/>
    <tableColumn id="10648" xr3:uid="{F6A0CE76-BF9B-4B6F-8A68-2729B2B78957}" name="Column10634"/>
    <tableColumn id="10649" xr3:uid="{B66B3AD6-52A0-4E15-81FF-FC88923C49E3}" name="Column10635"/>
    <tableColumn id="10650" xr3:uid="{E269FD32-9631-4ACC-8B08-F98E32CDF91F}" name="Column10636"/>
    <tableColumn id="10651" xr3:uid="{40AD6E1D-EB96-40FD-B068-A819DE565D69}" name="Column10637"/>
    <tableColumn id="10652" xr3:uid="{FAE849FB-055B-4C70-AE7C-46386A28A839}" name="Column10638"/>
    <tableColumn id="10653" xr3:uid="{03A91B42-6786-4D3A-8BEF-45F30CE7B177}" name="Column10639"/>
    <tableColumn id="10654" xr3:uid="{611ED412-48E8-47EB-8975-E8117669D2EF}" name="Column10640"/>
    <tableColumn id="10655" xr3:uid="{8D0E6439-D9FF-4BF1-B172-55C5A3765993}" name="Column10641"/>
    <tableColumn id="10656" xr3:uid="{37C5E9D7-4707-4342-8D33-4F812C4F906B}" name="Column10642"/>
    <tableColumn id="10657" xr3:uid="{1E5A9654-9B7C-48E3-92CE-13F9AD1E2879}" name="Column10643"/>
    <tableColumn id="10658" xr3:uid="{DE194D39-2D83-4BC6-936E-A5C61518E42B}" name="Column10644"/>
    <tableColumn id="10659" xr3:uid="{0D6B4658-BC82-4B5D-9716-CD641D1FEF58}" name="Column10645"/>
    <tableColumn id="10660" xr3:uid="{AFC568CF-4C50-41AA-950D-8B7170193FEE}" name="Column10646"/>
    <tableColumn id="10661" xr3:uid="{200E6932-9F4E-4F13-85D0-A69D4090140C}" name="Column10647"/>
    <tableColumn id="10662" xr3:uid="{C33656A7-619E-45E2-A31E-4C08A87C3C42}" name="Column10648"/>
    <tableColumn id="10663" xr3:uid="{955B5A7E-4532-40EB-9327-F1DABBB698C1}" name="Column10649"/>
    <tableColumn id="10664" xr3:uid="{99D70D65-4DA5-44A1-A02C-E372EE93D548}" name="Column10650"/>
    <tableColumn id="10665" xr3:uid="{7ECB998D-C43D-425A-AC90-A3440041D0AA}" name="Column10651"/>
    <tableColumn id="10666" xr3:uid="{971918C3-2B31-44B9-A0F6-3313933A89AF}" name="Column10652"/>
    <tableColumn id="10667" xr3:uid="{22D0A2F4-A735-4DC9-9674-B8336223A72C}" name="Column10653"/>
    <tableColumn id="10668" xr3:uid="{74E32698-0C8A-4950-A8E7-2B1F3B9083F0}" name="Column10654"/>
    <tableColumn id="10669" xr3:uid="{3DBA9CBA-CFCC-4E2A-953C-D1B7A5C38B0E}" name="Column10655"/>
    <tableColumn id="10670" xr3:uid="{A1CFD6F2-875C-42A0-A29D-6D13EC535E9E}" name="Column10656"/>
    <tableColumn id="10671" xr3:uid="{578589F9-B31C-44F6-AFE4-43C89838006E}" name="Column10657"/>
    <tableColumn id="10672" xr3:uid="{64C3685B-3F58-45D8-9EB3-9862C8956202}" name="Column10658"/>
    <tableColumn id="10673" xr3:uid="{91D0831A-62C6-4C6B-92F4-FCDBF57CE02D}" name="Column10659"/>
    <tableColumn id="10674" xr3:uid="{F4B7D55E-78DD-4494-A596-572BAA6B8161}" name="Column10660"/>
    <tableColumn id="10675" xr3:uid="{520902DE-EE3D-461C-9C67-EA5E1BBB3811}" name="Column10661"/>
    <tableColumn id="10676" xr3:uid="{6EA6A2FE-4A21-4864-AC92-517652ED67AF}" name="Column10662"/>
    <tableColumn id="10677" xr3:uid="{8D1D14ED-FCE0-4872-AABF-F94D438CEF47}" name="Column10663"/>
    <tableColumn id="10678" xr3:uid="{A0E40E7D-BBDD-4FE0-94F8-62BD94E7A11F}" name="Column10664"/>
    <tableColumn id="10679" xr3:uid="{07439C63-ADE1-47FD-B9C4-23EFE0B9D8F3}" name="Column10665"/>
    <tableColumn id="10680" xr3:uid="{9609D729-D57D-41F6-9A89-F9398A2A44CB}" name="Column10666"/>
    <tableColumn id="10681" xr3:uid="{17107829-2869-4CA1-B403-3B3A8626789E}" name="Column10667"/>
    <tableColumn id="10682" xr3:uid="{F87ABC45-352D-4784-B76D-C15C1938B526}" name="Column10668"/>
    <tableColumn id="10683" xr3:uid="{73F8129A-1EE7-4BC1-BC63-F05CD6972572}" name="Column10669"/>
    <tableColumn id="10684" xr3:uid="{24E31E09-D0EB-410E-BA0B-1C5295AB16AA}" name="Column10670"/>
    <tableColumn id="10685" xr3:uid="{14EB60A3-FF88-4D31-AE7B-93C8C5823A94}" name="Column10671"/>
    <tableColumn id="10686" xr3:uid="{848BE29C-1661-4B72-B1FA-D9C2EB71FEBC}" name="Column10672"/>
    <tableColumn id="10687" xr3:uid="{8DCC70C4-2E3E-4432-87EB-BD01F2ACD7B5}" name="Column10673"/>
    <tableColumn id="10688" xr3:uid="{5E697774-E643-48FF-B9E4-A155FC278B50}" name="Column10674"/>
    <tableColumn id="10689" xr3:uid="{24B59B04-64BE-4CD7-BD64-318775982CEB}" name="Column10675"/>
    <tableColumn id="10690" xr3:uid="{3BF92E08-143F-4B3D-B0B9-FE9820B61815}" name="Column10676"/>
    <tableColumn id="10691" xr3:uid="{5E8B895E-7095-4373-B816-1B6F4CE7E5C5}" name="Column10677"/>
    <tableColumn id="10692" xr3:uid="{BA9A23C3-7600-459B-8EFD-42F1CA25F07D}" name="Column10678"/>
    <tableColumn id="10693" xr3:uid="{DBE070A5-6517-4950-96EB-8B04454E1D6E}" name="Column10679"/>
    <tableColumn id="10694" xr3:uid="{70D7751F-B0B3-4CD2-BDC1-C2DA6A397D44}" name="Column10680"/>
    <tableColumn id="10695" xr3:uid="{B14DD509-014E-42C6-9A0B-08F706D00A27}" name="Column10681"/>
    <tableColumn id="10696" xr3:uid="{41E389BD-717A-4FE9-A060-AC0F1D6738CA}" name="Column10682"/>
    <tableColumn id="10697" xr3:uid="{9D12A079-3302-4B13-BEEF-80A64853D6DE}" name="Column10683"/>
    <tableColumn id="10698" xr3:uid="{910E78F4-449C-4ECE-A1D8-65C8BC0F316F}" name="Column10684"/>
    <tableColumn id="10699" xr3:uid="{2345AF87-0895-4CCB-B87C-58F8189EC001}" name="Column10685"/>
    <tableColumn id="10700" xr3:uid="{B743CC39-6FBD-4C3C-994D-6D1F7F3C40CA}" name="Column10686"/>
    <tableColumn id="10701" xr3:uid="{454803A2-3BF2-4AB9-A54F-71FBEDB6A3F5}" name="Column10687"/>
    <tableColumn id="10702" xr3:uid="{71463970-73DC-4833-A3FE-4D5BA40ECB46}" name="Column10688"/>
    <tableColumn id="10703" xr3:uid="{786711F9-1932-4D0A-A9F4-A3153637DD6C}" name="Column10689"/>
    <tableColumn id="10704" xr3:uid="{AD9C79FB-F09D-4F4F-B9FD-869B7215481D}" name="Column10690"/>
    <tableColumn id="10705" xr3:uid="{6033FC39-6913-443B-AA91-3953F7006A7C}" name="Column10691"/>
    <tableColumn id="10706" xr3:uid="{0D5E8AC0-EB25-4FF2-BFF4-ED5D14A8EEF6}" name="Column10692"/>
    <tableColumn id="10707" xr3:uid="{F9200581-4918-45A2-B639-CE74CC565789}" name="Column10693"/>
    <tableColumn id="10708" xr3:uid="{C1F0C40D-0F79-404E-B704-CD1CD4DEFC45}" name="Column10694"/>
    <tableColumn id="10709" xr3:uid="{4F3F83C6-8CBE-480C-BCF7-90E4612D0593}" name="Column10695"/>
    <tableColumn id="10710" xr3:uid="{20F60B08-4272-4232-82AA-1610C1514ACB}" name="Column10696"/>
    <tableColumn id="10711" xr3:uid="{7E2A2406-AB08-4E0D-8199-95A8C4A61F75}" name="Column10697"/>
    <tableColumn id="10712" xr3:uid="{9C174229-0C4F-4DDA-AD54-BA1568844D1E}" name="Column10698"/>
    <tableColumn id="10713" xr3:uid="{B0BBFFA2-5336-4169-8C19-77722594803A}" name="Column10699"/>
    <tableColumn id="10714" xr3:uid="{6D59C468-DAB5-4D69-A745-DB0EEEEE63CB}" name="Column10700"/>
    <tableColumn id="10715" xr3:uid="{D6CE8525-3619-45D7-92C4-7966A7337E56}" name="Column10701"/>
    <tableColumn id="10716" xr3:uid="{BB30421E-1C94-44A4-A918-F180AE95F9E5}" name="Column10702"/>
    <tableColumn id="10717" xr3:uid="{EDBD9CBF-600F-4D0C-9119-6A2476256931}" name="Column10703"/>
    <tableColumn id="10718" xr3:uid="{7209678C-5EB8-4E3C-9A94-B36683E8404E}" name="Column10704"/>
    <tableColumn id="10719" xr3:uid="{EC11342D-D4A0-4767-927A-FD74D8C7A5B7}" name="Column10705"/>
    <tableColumn id="10720" xr3:uid="{9A921376-9E76-471D-8E97-8FAD25B65A67}" name="Column10706"/>
    <tableColumn id="10721" xr3:uid="{5BB6ACA6-B3F2-4F7D-B352-674511CB9E2A}" name="Column10707"/>
    <tableColumn id="10722" xr3:uid="{A39EAC3B-F643-44FB-9A62-C4753D34F8B0}" name="Column10708"/>
    <tableColumn id="10723" xr3:uid="{DB591B4F-7A88-42C8-A080-62997B0BFB84}" name="Column10709"/>
    <tableColumn id="10724" xr3:uid="{01F2561B-DB86-4B88-A3B7-318F705FBB3D}" name="Column10710"/>
    <tableColumn id="10725" xr3:uid="{9D363FBA-12E7-4768-8F7D-AB4560AB2A32}" name="Column10711"/>
    <tableColumn id="10726" xr3:uid="{59F6092F-42B7-46F5-90F7-8194E79E366E}" name="Column10712"/>
    <tableColumn id="10727" xr3:uid="{FAF02C9F-E5E0-4C41-BF19-A44B217454DB}" name="Column10713"/>
    <tableColumn id="10728" xr3:uid="{A048A052-4AA6-424F-8752-9A9BADB0251A}" name="Column10714"/>
    <tableColumn id="10729" xr3:uid="{EB1A1782-D495-4E7D-864B-29968620EAA0}" name="Column10715"/>
    <tableColumn id="10730" xr3:uid="{AFCC53DA-F60B-444D-9C4C-7D2BC8D6148A}" name="Column10716"/>
    <tableColumn id="10731" xr3:uid="{B8AF7DE5-8BE6-4E2F-A08E-C3A2C5FB4772}" name="Column10717"/>
    <tableColumn id="10732" xr3:uid="{BEE07646-BAF3-4B63-8516-84F6367ABFD3}" name="Column10718"/>
    <tableColumn id="10733" xr3:uid="{B294F534-1490-4431-8B7F-D2E49F00EEE8}" name="Column10719"/>
    <tableColumn id="10734" xr3:uid="{E6BACA45-E6FD-443A-B35B-C36F35D3B2BD}" name="Column10720"/>
    <tableColumn id="10735" xr3:uid="{DFBCC452-EA9B-4ECA-AA41-C690FD14D7A3}" name="Column10721"/>
    <tableColumn id="10736" xr3:uid="{E8CB78C3-D37E-4AB0-AE9C-C3FB9B7A818F}" name="Column10722"/>
    <tableColumn id="10737" xr3:uid="{CCF8A63C-0283-458C-B30F-A127D255FC27}" name="Column10723"/>
    <tableColumn id="10738" xr3:uid="{10C3F711-BC9C-478B-B8FF-72396F556B3D}" name="Column10724"/>
    <tableColumn id="10739" xr3:uid="{1D90E46D-2E60-487B-8354-3DB678AA027F}" name="Column10725"/>
    <tableColumn id="10740" xr3:uid="{28B920E0-5B8F-4BCF-9535-A0B9D272F14B}" name="Column10726"/>
    <tableColumn id="10741" xr3:uid="{53B30D18-3E29-47DD-BAAB-43A141C8B7E1}" name="Column10727"/>
    <tableColumn id="10742" xr3:uid="{C2835198-F26B-4B70-898C-80BF30008A9D}" name="Column10728"/>
    <tableColumn id="10743" xr3:uid="{0285B8BB-8A72-4E11-9E50-9EE341AB6073}" name="Column10729"/>
    <tableColumn id="10744" xr3:uid="{A549BE04-95CC-455A-9313-06F16D93A95D}" name="Column10730"/>
    <tableColumn id="10745" xr3:uid="{F5C595D8-049B-4321-94DE-B0D735794C25}" name="Column10731"/>
    <tableColumn id="10746" xr3:uid="{72CEAC9F-FFD7-4449-9FED-520A09CF18C5}" name="Column10732"/>
    <tableColumn id="10747" xr3:uid="{F3E96EE4-C390-45F8-A3B6-B773E1E286A3}" name="Column10733"/>
    <tableColumn id="10748" xr3:uid="{3E063E3E-4E07-4690-A833-0548F70EEB98}" name="Column10734"/>
    <tableColumn id="10749" xr3:uid="{425F6ABC-5F6E-4E84-A768-619F059FA4DF}" name="Column10735"/>
    <tableColumn id="10750" xr3:uid="{556BF49D-1223-4D22-8F96-98C503F6F869}" name="Column10736"/>
    <tableColumn id="10751" xr3:uid="{095256C7-6D4D-4791-B22D-AFC41E400140}" name="Column10737"/>
    <tableColumn id="10752" xr3:uid="{D972F668-7B4A-4FA8-B368-B236FD5D1678}" name="Column10738"/>
    <tableColumn id="10753" xr3:uid="{90732671-60DD-4F29-A6E3-954FE054CCA6}" name="Column10739"/>
    <tableColumn id="10754" xr3:uid="{5991368B-E820-4A3B-9D47-96C35A71ABCF}" name="Column10740"/>
    <tableColumn id="10755" xr3:uid="{8D6423F3-44B8-4C85-9544-06974BACE79C}" name="Column10741"/>
    <tableColumn id="10756" xr3:uid="{87806898-60FF-46C7-920E-9C68C0BBB2C9}" name="Column10742"/>
    <tableColumn id="10757" xr3:uid="{520D75F2-3397-47C5-8703-715DB08D2BB5}" name="Column10743"/>
    <tableColumn id="10758" xr3:uid="{907C92C1-3D5D-4A9A-9B98-86C83C2C87D9}" name="Column10744"/>
    <tableColumn id="10759" xr3:uid="{C5932BAF-6F36-45B7-8438-7C0330D6E466}" name="Column10745"/>
    <tableColumn id="10760" xr3:uid="{828B549B-06E4-4FBE-B895-0A5A7B294AA6}" name="Column10746"/>
    <tableColumn id="10761" xr3:uid="{C1E11361-C323-4726-90F1-144538109FE1}" name="Column10747"/>
    <tableColumn id="10762" xr3:uid="{C36E1759-3548-40BF-B41E-45D66A3DDAF2}" name="Column10748"/>
    <tableColumn id="10763" xr3:uid="{4C1D162C-8553-435A-B205-12CA2E3CCBF8}" name="Column10749"/>
    <tableColumn id="10764" xr3:uid="{AFD2D8C6-4067-4B83-80EA-2E281A02732A}" name="Column10750"/>
    <tableColumn id="10765" xr3:uid="{EF8B8E5B-2198-4C55-A47D-86E6326D661F}" name="Column10751"/>
    <tableColumn id="10766" xr3:uid="{5682FBBE-85AE-4974-A8B3-CFD68A49248C}" name="Column10752"/>
    <tableColumn id="10767" xr3:uid="{545352F3-0D4C-482A-BE38-06F3E5BE96F7}" name="Column10753"/>
    <tableColumn id="10768" xr3:uid="{26DFF0BF-5615-48E6-8242-70CE1578360A}" name="Column10754"/>
    <tableColumn id="10769" xr3:uid="{79064A60-0B9F-4D3F-A721-E2772E5FBE8C}" name="Column10755"/>
    <tableColumn id="10770" xr3:uid="{2AB79E69-984C-40B0-9845-6270BC198DCF}" name="Column10756"/>
    <tableColumn id="10771" xr3:uid="{8A107445-5353-4EA0-9802-4EEEEF0DF2B4}" name="Column10757"/>
    <tableColumn id="10772" xr3:uid="{9907E89B-4846-4901-9E09-FC01DCD5462F}" name="Column10758"/>
    <tableColumn id="10773" xr3:uid="{E4D0DE09-4F96-4288-8072-23DE7AB67506}" name="Column10759"/>
    <tableColumn id="10774" xr3:uid="{6AB32EF7-2A22-48C5-8B63-3A84D0B34442}" name="Column10760"/>
    <tableColumn id="10775" xr3:uid="{C5638F73-F7B7-41C7-8FB3-BE931EA46808}" name="Column10761"/>
    <tableColumn id="10776" xr3:uid="{E5441A35-6B4A-4C02-AB49-5C8947EA31F6}" name="Column10762"/>
    <tableColumn id="10777" xr3:uid="{534E9627-FBD7-498D-8B22-2095263E0AB0}" name="Column10763"/>
    <tableColumn id="10778" xr3:uid="{4589F00A-A534-46E0-9D8E-D3FE9455EDDB}" name="Column10764"/>
    <tableColumn id="10779" xr3:uid="{27827012-65E2-406E-A64B-400EE5B3534C}" name="Column10765"/>
    <tableColumn id="10780" xr3:uid="{AC4E56DA-6877-44F5-BC25-A3F1645EFF4F}" name="Column10766"/>
    <tableColumn id="10781" xr3:uid="{C28EDB5B-902F-4B01-BE03-7BA61F24E5A6}" name="Column10767"/>
    <tableColumn id="10782" xr3:uid="{5EF05BF3-996B-4BD5-982D-74624C75208D}" name="Column10768"/>
    <tableColumn id="10783" xr3:uid="{6102A83E-D34D-44CA-ACCD-ECD18FD34D40}" name="Column10769"/>
    <tableColumn id="10784" xr3:uid="{0DD1AA4E-6EF5-4CC8-9268-BA04C1CD59D5}" name="Column10770"/>
    <tableColumn id="10785" xr3:uid="{340919D6-FE80-432B-9D75-55CE4AE0ECBA}" name="Column10771"/>
    <tableColumn id="10786" xr3:uid="{699BA993-E9DE-4A2C-B53F-9CE8E6A16FD4}" name="Column10772"/>
    <tableColumn id="10787" xr3:uid="{D856BDC0-5D43-47B7-BAA7-CD4760E8FED1}" name="Column10773"/>
    <tableColumn id="10788" xr3:uid="{7864C403-506B-4C5B-A833-4DC20C7CC407}" name="Column10774"/>
    <tableColumn id="10789" xr3:uid="{2A5CABD5-9CD7-43BE-9521-C3CEA53ADE20}" name="Column10775"/>
    <tableColumn id="10790" xr3:uid="{B973585F-B2A3-43E5-BC9F-CDB566143C88}" name="Column10776"/>
    <tableColumn id="10791" xr3:uid="{84254679-BDFD-4EF4-B87A-B8E7BB78880B}" name="Column10777"/>
    <tableColumn id="10792" xr3:uid="{1DE97D8E-2931-4D0B-B851-2C5F1C6AEA10}" name="Column10778"/>
    <tableColumn id="10793" xr3:uid="{C1DF66EE-DFB1-4A16-AC75-B525888C5270}" name="Column10779"/>
    <tableColumn id="10794" xr3:uid="{556EC53D-B048-459A-8B50-937315028FEA}" name="Column10780"/>
    <tableColumn id="10795" xr3:uid="{1086C707-33F2-474F-9307-51BCA56F6D9A}" name="Column10781"/>
    <tableColumn id="10796" xr3:uid="{760B3121-A4A2-4D39-A413-391B4FB3C708}" name="Column10782"/>
    <tableColumn id="10797" xr3:uid="{BD7B1598-821B-4440-A2C8-9A94D6E574DD}" name="Column10783"/>
    <tableColumn id="10798" xr3:uid="{3F8AA28A-E979-47FE-9498-CF74996F53E7}" name="Column10784"/>
    <tableColumn id="10799" xr3:uid="{E3FF2DCD-1EE1-4C79-99DE-88B4BB906C13}" name="Column10785"/>
    <tableColumn id="10800" xr3:uid="{9BB8A263-41AD-4072-9CDC-02BA3C407FD7}" name="Column10786"/>
    <tableColumn id="10801" xr3:uid="{3432275F-D75A-4F65-B525-8D87254F2CD5}" name="Column10787"/>
    <tableColumn id="10802" xr3:uid="{331ABF7D-0325-43E6-9266-71516CC7883C}" name="Column10788"/>
    <tableColumn id="10803" xr3:uid="{959B6E1C-2F4D-4C67-BDCF-1DFF1C2D563F}" name="Column10789"/>
    <tableColumn id="10804" xr3:uid="{67FF9DDC-84FF-4ADB-A0BA-1B97049D4428}" name="Column10790"/>
    <tableColumn id="10805" xr3:uid="{055AF43A-42AB-4ED0-A484-734C9561C6F2}" name="Column10791"/>
    <tableColumn id="10806" xr3:uid="{0189A419-F12F-48AB-A31C-EFB8B8038306}" name="Column10792"/>
    <tableColumn id="10807" xr3:uid="{28819E0D-939E-4DCD-A4F5-6B1129D370C5}" name="Column10793"/>
    <tableColumn id="10808" xr3:uid="{10900A78-514B-4641-A7B9-3454CD402DD5}" name="Column10794"/>
    <tableColumn id="10809" xr3:uid="{ACA4A242-606F-40FF-B2BD-0EC591732712}" name="Column10795"/>
    <tableColumn id="10810" xr3:uid="{6C46471D-8E62-420E-979E-5EAB51A4B2E9}" name="Column10796"/>
    <tableColumn id="10811" xr3:uid="{15D134C1-273F-47BF-AD98-D785C599769E}" name="Column10797"/>
    <tableColumn id="10812" xr3:uid="{374D44BC-AEF9-4767-841B-7E5B95E33517}" name="Column10798"/>
    <tableColumn id="10813" xr3:uid="{57E53EDA-B778-4A67-80A4-B927AF9A13A4}" name="Column10799"/>
    <tableColumn id="10814" xr3:uid="{356465D8-2907-4FAA-B57D-8BDF555AA9EA}" name="Column10800"/>
    <tableColumn id="10815" xr3:uid="{CAEA39EC-D583-47C1-B19B-BED9372B6579}" name="Column10801"/>
    <tableColumn id="10816" xr3:uid="{EAD11EC9-AC89-48EB-95CA-158D3B17DC55}" name="Column10802"/>
    <tableColumn id="10817" xr3:uid="{FD3B8833-E244-4A81-A10B-81BBEB7B42F0}" name="Column10803"/>
    <tableColumn id="10818" xr3:uid="{8365B7FA-04B0-446A-AF85-85630676C63C}" name="Column10804"/>
    <tableColumn id="10819" xr3:uid="{85698AA2-06C1-4E9D-9275-3AFCBE0C85DA}" name="Column10805"/>
    <tableColumn id="10820" xr3:uid="{6992AD55-A72E-455F-821A-407CF09CFD6A}" name="Column10806"/>
    <tableColumn id="10821" xr3:uid="{9FB94283-40C2-46C5-BA5B-24FF58AC8E02}" name="Column10807"/>
    <tableColumn id="10822" xr3:uid="{C272EA79-A550-4E0C-85FF-C0E2F6FA9DFD}" name="Column10808"/>
    <tableColumn id="10823" xr3:uid="{573BB2D2-B57A-4951-AA04-50532E1A2057}" name="Column10809"/>
    <tableColumn id="10824" xr3:uid="{53AB3E2E-5A46-4632-BF96-EF3C280AA164}" name="Column10810"/>
    <tableColumn id="10825" xr3:uid="{A53115FB-F268-42DE-8010-9020AE7F36C4}" name="Column10811"/>
    <tableColumn id="10826" xr3:uid="{1B2C7D94-541B-4CB2-BB5E-D9DA22C4889A}" name="Column10812"/>
    <tableColumn id="10827" xr3:uid="{A72CE063-399E-4B7C-87E5-D8609625E605}" name="Column10813"/>
    <tableColumn id="10828" xr3:uid="{4BD92FFD-808D-4AC2-9E5A-394052C70D31}" name="Column10814"/>
    <tableColumn id="10829" xr3:uid="{32D25974-A33D-4AFB-BACB-C21D3B8B52EF}" name="Column10815"/>
    <tableColumn id="10830" xr3:uid="{0439C696-9646-4906-B8F9-692AFB156F48}" name="Column10816"/>
    <tableColumn id="10831" xr3:uid="{D0014B8F-69B5-4DD4-9AE9-E59164602195}" name="Column10817"/>
    <tableColumn id="10832" xr3:uid="{6ABC6335-641E-4AF8-A107-3134D93D6A49}" name="Column10818"/>
    <tableColumn id="10833" xr3:uid="{9B03BD87-08AF-4B4A-A973-37BCD4F81FFA}" name="Column10819"/>
    <tableColumn id="10834" xr3:uid="{780D607A-301A-4059-9C7D-FE3B1B41B42C}" name="Column10820"/>
    <tableColumn id="10835" xr3:uid="{AF280EBF-BE15-4CF0-8F66-13C6B2B5CE1B}" name="Column10821"/>
    <tableColumn id="10836" xr3:uid="{971B8038-4142-4D10-A4BC-B9E32FF25D53}" name="Column10822"/>
    <tableColumn id="10837" xr3:uid="{76D28FB9-CBA8-4104-95A9-C0B636994FF1}" name="Column10823"/>
    <tableColumn id="10838" xr3:uid="{D665B0D0-5456-4ACA-825F-AC80D84B18C0}" name="Column10824"/>
    <tableColumn id="10839" xr3:uid="{B3F48B34-DEA3-4937-B954-02DE15C0A6B2}" name="Column10825"/>
    <tableColumn id="10840" xr3:uid="{A920A152-2115-4665-8EB0-CEB7CEE55D1C}" name="Column10826"/>
    <tableColumn id="10841" xr3:uid="{FCB89B5E-8F6B-4505-95C5-10A589ACC7A6}" name="Column10827"/>
    <tableColumn id="10842" xr3:uid="{C71518FC-5756-4B27-9F32-04AF5041082D}" name="Column10828"/>
    <tableColumn id="10843" xr3:uid="{10129246-216C-41D8-A525-28CCCA7CAFFF}" name="Column10829"/>
    <tableColumn id="10844" xr3:uid="{5C21BE46-214C-4ADD-A179-ACAF88B07DA2}" name="Column10830"/>
    <tableColumn id="10845" xr3:uid="{B7CE0C51-9797-4A7F-9F32-08A167F3619F}" name="Column10831"/>
    <tableColumn id="10846" xr3:uid="{68FAA5D9-14F8-4EA2-A140-64DEC8890709}" name="Column10832"/>
    <tableColumn id="10847" xr3:uid="{00875B22-6582-48C8-8B44-076CE5E8888B}" name="Column10833"/>
    <tableColumn id="10848" xr3:uid="{AE226399-F1E7-4002-9FBC-6A9370CB2614}" name="Column10834"/>
    <tableColumn id="10849" xr3:uid="{78260748-3FFF-40E3-952A-186BF52FAFE2}" name="Column10835"/>
    <tableColumn id="10850" xr3:uid="{0A8C5790-DD87-4A36-B402-13528850B778}" name="Column10836"/>
    <tableColumn id="10851" xr3:uid="{FD758044-D01C-4589-8D41-F10E58D1381A}" name="Column10837"/>
    <tableColumn id="10852" xr3:uid="{E31D0592-3890-4C1C-9E1C-6F0C8DE3A7F2}" name="Column10838"/>
    <tableColumn id="10853" xr3:uid="{CDFF26BB-FF98-463A-AD87-7FF878EAAD68}" name="Column10839"/>
    <tableColumn id="10854" xr3:uid="{98421688-F80A-4B1D-96EF-8CEBA384098C}" name="Column10840"/>
    <tableColumn id="10855" xr3:uid="{552A5966-F8F9-4F8D-958C-BC0F9ED2F2AB}" name="Column10841"/>
    <tableColumn id="10856" xr3:uid="{73FF298A-F599-4C8E-B35B-06DEB1DBFC4D}" name="Column10842"/>
    <tableColumn id="10857" xr3:uid="{C344540B-25B4-4E8C-AE8B-2821588E18ED}" name="Column10843"/>
    <tableColumn id="10858" xr3:uid="{C73AEE15-BFE8-4536-8A0A-B57EABF272A8}" name="Column10844"/>
    <tableColumn id="10859" xr3:uid="{791D00D9-39A8-45A6-9AFE-BC009007CB7F}" name="Column10845"/>
    <tableColumn id="10860" xr3:uid="{BCD1D33F-206C-4422-B02B-06CD5EAF48CB}" name="Column10846"/>
    <tableColumn id="10861" xr3:uid="{60FE8269-4C72-42BD-8F99-B51F82B8CC1C}" name="Column10847"/>
    <tableColumn id="10862" xr3:uid="{C97C7748-852C-46DD-A483-981A499CC9C8}" name="Column10848"/>
    <tableColumn id="10863" xr3:uid="{D7421346-73A4-4DA5-8F7B-B1748D839927}" name="Column10849"/>
    <tableColumn id="10864" xr3:uid="{760F9E27-2BA5-4200-9CDE-79CB35729FEE}" name="Column10850"/>
    <tableColumn id="10865" xr3:uid="{7E732084-DABC-4F85-9079-FDE92F57DE18}" name="Column10851"/>
    <tableColumn id="10866" xr3:uid="{283BAF23-9792-432B-B2BD-748D3D19F3D5}" name="Column10852"/>
    <tableColumn id="10867" xr3:uid="{435DED33-2005-467B-B278-A48415935002}" name="Column10853"/>
    <tableColumn id="10868" xr3:uid="{DEE63EB7-72AE-4644-963C-AAF32F58D1CD}" name="Column10854"/>
    <tableColumn id="10869" xr3:uid="{243FAC61-92C4-4596-AA48-D2CF99D7AA4C}" name="Column10855"/>
    <tableColumn id="10870" xr3:uid="{816A74D9-0C6E-42CB-8D25-457B23957334}" name="Column10856"/>
    <tableColumn id="10871" xr3:uid="{F10C640F-FEFF-4D74-BACA-862D19CC0CB9}" name="Column10857"/>
    <tableColumn id="10872" xr3:uid="{E5C66C7C-3488-4556-9B44-77EC551DE68F}" name="Column10858"/>
    <tableColumn id="10873" xr3:uid="{B874CCC5-E0F5-4A2D-B06A-B7A7553CBB86}" name="Column10859"/>
    <tableColumn id="10874" xr3:uid="{8F182ABE-0BBE-4C45-A0CC-2B1642958D04}" name="Column10860"/>
    <tableColumn id="10875" xr3:uid="{175075E2-0D19-4350-A4A5-167EC09174C6}" name="Column10861"/>
    <tableColumn id="10876" xr3:uid="{ACAEB1ED-AC93-41E5-984E-35D828AC13D1}" name="Column10862"/>
    <tableColumn id="10877" xr3:uid="{C55561DA-CEE1-4F36-A1CD-EE252CB6027D}" name="Column10863"/>
    <tableColumn id="10878" xr3:uid="{F30BFB0F-F9C8-46AD-BA42-A363FFECB0F8}" name="Column10864"/>
    <tableColumn id="10879" xr3:uid="{7C3FCDEA-54F5-4181-B6BD-A5D7C3859C3B}" name="Column10865"/>
    <tableColumn id="10880" xr3:uid="{EDAAEB7B-15E7-4021-BD18-0542BC25AD05}" name="Column10866"/>
    <tableColumn id="10881" xr3:uid="{2A66C171-42D8-4C69-A9FF-204844F03DCB}" name="Column10867"/>
    <tableColumn id="10882" xr3:uid="{7D048B14-F510-4461-B701-F1C8F3B60521}" name="Column10868"/>
    <tableColumn id="10883" xr3:uid="{D1771745-7FB3-48FB-88FD-DC9CF34FD160}" name="Column10869"/>
    <tableColumn id="10884" xr3:uid="{D57A8A3A-B433-4619-B7B5-91380C40DF00}" name="Column10870"/>
    <tableColumn id="10885" xr3:uid="{903B9BC5-84D1-420C-B37A-C510E432E0E5}" name="Column10871"/>
    <tableColumn id="10886" xr3:uid="{1CEF0763-4B4F-4CF2-BD0D-A6297F823D7B}" name="Column10872"/>
    <tableColumn id="10887" xr3:uid="{4E0D97CE-5CAE-4C62-BDEA-E6B484E8509C}" name="Column10873"/>
    <tableColumn id="10888" xr3:uid="{3F3A4D73-9305-484E-872F-54C0004F8055}" name="Column10874"/>
    <tableColumn id="10889" xr3:uid="{CC36BB78-49EC-49EF-8911-3131D3BC35EC}" name="Column10875"/>
    <tableColumn id="10890" xr3:uid="{7C856CC7-A738-482A-B97D-89D99745546D}" name="Column10876"/>
    <tableColumn id="10891" xr3:uid="{E4FA88C7-533D-4527-8371-281C702A0E3C}" name="Column10877"/>
    <tableColumn id="10892" xr3:uid="{D03D44A8-D9B6-4BF6-A32B-BBD2C0C971F8}" name="Column10878"/>
    <tableColumn id="10893" xr3:uid="{50B1DA4E-665B-4E83-96CD-A169BE83C152}" name="Column10879"/>
    <tableColumn id="10894" xr3:uid="{B0F81992-2398-4B3F-A5CE-E9DD34DBFF74}" name="Column10880"/>
    <tableColumn id="10895" xr3:uid="{FBF13D7C-3702-42A6-86CE-3BB606481F75}" name="Column10881"/>
    <tableColumn id="10896" xr3:uid="{917729A8-96E6-4D54-BFDF-FAEA8E655437}" name="Column10882"/>
    <tableColumn id="10897" xr3:uid="{650D07DF-049A-47AD-9517-124B7918DFDD}" name="Column10883"/>
    <tableColumn id="10898" xr3:uid="{85363B83-101B-46B4-B879-B6E4F2D401F1}" name="Column10884"/>
    <tableColumn id="10899" xr3:uid="{44CAB733-3A43-4FB4-8E81-9323589C2468}" name="Column10885"/>
    <tableColumn id="10900" xr3:uid="{EE9AEB4D-7774-4751-BD91-EA2150AF73A1}" name="Column10886"/>
    <tableColumn id="10901" xr3:uid="{D0EB6391-B598-4E93-9321-783E8342C22B}" name="Column10887"/>
    <tableColumn id="10902" xr3:uid="{D2019E56-7AC8-4D73-B5CB-9C685A205A65}" name="Column10888"/>
    <tableColumn id="10903" xr3:uid="{D89F906A-0CDF-4F2D-82B6-ACBDB93F737B}" name="Column10889"/>
    <tableColumn id="10904" xr3:uid="{D417936A-E144-4933-ACD9-0FCB44623F4C}" name="Column10890"/>
    <tableColumn id="10905" xr3:uid="{5F3A7A7F-5982-4911-B3BE-39DB06D31596}" name="Column10891"/>
    <tableColumn id="10906" xr3:uid="{F98F025A-A731-4464-8F69-CBE9901892FC}" name="Column10892"/>
    <tableColumn id="10907" xr3:uid="{1A076936-245E-47B6-9008-A6C97E64F61E}" name="Column10893"/>
    <tableColumn id="10908" xr3:uid="{B3E7CB99-E3F1-4278-BBE4-A6E2C98E6ABD}" name="Column10894"/>
    <tableColumn id="10909" xr3:uid="{8C5C2479-AE1D-4306-B6F6-1B94740C04F2}" name="Column10895"/>
    <tableColumn id="10910" xr3:uid="{D44AA407-EF5A-4AD7-B1AB-A4A74A113000}" name="Column10896"/>
    <tableColumn id="10911" xr3:uid="{55C97BA4-824F-404B-AD19-53D692DAA276}" name="Column10897"/>
    <tableColumn id="10912" xr3:uid="{3E35701A-4764-475F-AFB4-9431CD64D5AB}" name="Column10898"/>
    <tableColumn id="10913" xr3:uid="{4A52C44E-9587-413B-A0F1-1729973B6063}" name="Column10899"/>
    <tableColumn id="10914" xr3:uid="{844B8D3D-B30D-4C8C-B871-9ADE268F2D3F}" name="Column10900"/>
    <tableColumn id="10915" xr3:uid="{0967101E-C1CA-49E1-A4B1-A45E2F1D3FEA}" name="Column10901"/>
    <tableColumn id="10916" xr3:uid="{7025FADE-5119-43C9-B6C2-22CC6A429393}" name="Column10902"/>
    <tableColumn id="10917" xr3:uid="{0FF7B50C-3B03-42CF-8E3C-0B465BC6B1F6}" name="Column10903"/>
    <tableColumn id="10918" xr3:uid="{B45E3ADC-7AA9-43C5-A1C6-BC22525DC3F7}" name="Column10904"/>
    <tableColumn id="10919" xr3:uid="{5087D90A-718A-4EE7-A397-980AFFFB01CC}" name="Column10905"/>
    <tableColumn id="10920" xr3:uid="{87B9BBC5-A305-4FBC-B67A-125BC51A76BC}" name="Column10906"/>
    <tableColumn id="10921" xr3:uid="{5CAF77FE-E343-4569-8964-B97D68A6142D}" name="Column10907"/>
    <tableColumn id="10922" xr3:uid="{7C01F4C3-95D3-41D5-AF13-DDBAD99F8BDF}" name="Column10908"/>
    <tableColumn id="10923" xr3:uid="{DC7FE052-943E-448B-9D06-02E109DE1AAC}" name="Column10909"/>
    <tableColumn id="10924" xr3:uid="{0B89F12B-18C1-4667-898F-EA0608EBC3E9}" name="Column10910"/>
    <tableColumn id="10925" xr3:uid="{2610D41C-6F54-4864-9166-AC2D856E889B}" name="Column10911"/>
    <tableColumn id="10926" xr3:uid="{3A1FA6AF-7BD4-4AD9-81A4-0F8E192BD56B}" name="Column10912"/>
    <tableColumn id="10927" xr3:uid="{F40A211B-0334-4190-AD4A-958D129A1A43}" name="Column10913"/>
    <tableColumn id="10928" xr3:uid="{9A24613A-2728-416F-94FE-ACAA4E2D0E9A}" name="Column10914"/>
    <tableColumn id="10929" xr3:uid="{1E2F75CE-E04B-42C9-9493-2CD538012035}" name="Column10915"/>
    <tableColumn id="10930" xr3:uid="{4E3FB5A9-70EE-4344-A6DE-554065A41A4A}" name="Column10916"/>
    <tableColumn id="10931" xr3:uid="{8BCC2429-0F20-4457-991A-1DA97D9036B5}" name="Column10917"/>
    <tableColumn id="10932" xr3:uid="{B2F4865B-9ACF-4A27-84A6-AB8978B5DB4D}" name="Column10918"/>
    <tableColumn id="10933" xr3:uid="{27FDD3B2-FC5E-4C1D-B086-00E3BA6A8546}" name="Column10919"/>
    <tableColumn id="10934" xr3:uid="{D641EE97-6285-4E41-BD51-786252C23A51}" name="Column10920"/>
    <tableColumn id="10935" xr3:uid="{7D8E9C9F-6177-48EC-A654-4BC34CF365A8}" name="Column10921"/>
    <tableColumn id="10936" xr3:uid="{213CC931-D17F-4B7D-8EAD-64ECFEAB2580}" name="Column10922"/>
    <tableColumn id="10937" xr3:uid="{56C22363-0730-4576-9ADC-F730E3C3B5C9}" name="Column10923"/>
    <tableColumn id="10938" xr3:uid="{61F1DAB5-8041-4870-9AC2-79E5DFA90CC9}" name="Column10924"/>
    <tableColumn id="10939" xr3:uid="{72E2760D-3A60-49A2-A91F-99DB4D6A527F}" name="Column10925"/>
    <tableColumn id="10940" xr3:uid="{F415A0F3-2335-4B8D-83B4-A6F4107FE528}" name="Column10926"/>
    <tableColumn id="10941" xr3:uid="{5DE9F342-2448-4ACF-B4E5-31BBBFC6AD9F}" name="Column10927"/>
    <tableColumn id="10942" xr3:uid="{F3C49111-55F3-4518-B4EE-A3959CFEB9F1}" name="Column10928"/>
    <tableColumn id="10943" xr3:uid="{A5EE6E4A-2F47-48CF-A7E7-DF756480ED29}" name="Column10929"/>
    <tableColumn id="10944" xr3:uid="{B5A006E9-B85F-4126-A478-B2D93E5B955F}" name="Column10930"/>
    <tableColumn id="10945" xr3:uid="{986384FE-B7AC-44DB-AF78-77E75D6C149E}" name="Column10931"/>
    <tableColumn id="10946" xr3:uid="{0257215B-5923-42A0-B446-94C7B2A34661}" name="Column10932"/>
    <tableColumn id="10947" xr3:uid="{6BB59711-2C18-45F3-90F1-F94FA601BBA1}" name="Column10933"/>
    <tableColumn id="10948" xr3:uid="{07FB6BC4-F47A-4ACA-B7F1-88C43BBE19F3}" name="Column10934"/>
    <tableColumn id="10949" xr3:uid="{72321687-0413-4B96-9B3A-EB62529FBD3D}" name="Column10935"/>
    <tableColumn id="10950" xr3:uid="{8EB38D0A-38DB-4879-A662-2BBBCBA268B5}" name="Column10936"/>
    <tableColumn id="10951" xr3:uid="{57DBA0B8-BD5C-4621-9838-45A68F36A536}" name="Column10937"/>
    <tableColumn id="10952" xr3:uid="{98BE8923-A539-4153-B64A-284EA34241E9}" name="Column10938"/>
    <tableColumn id="10953" xr3:uid="{6258B496-F97F-40A7-85CC-0549302B8AE1}" name="Column10939"/>
    <tableColumn id="10954" xr3:uid="{F9CBF979-C11E-421D-930B-B095D85339D6}" name="Column10940"/>
    <tableColumn id="10955" xr3:uid="{0C3BBC42-604F-421F-B7F8-00E2750FBAEB}" name="Column10941"/>
    <tableColumn id="10956" xr3:uid="{A5957F99-90DB-4DD4-BA95-4A1F8257D19E}" name="Column10942"/>
    <tableColumn id="10957" xr3:uid="{8007BF57-8BBA-455C-9CD4-386ECA30C1AE}" name="Column10943"/>
    <tableColumn id="10958" xr3:uid="{8BA7B3FB-5F00-4699-AF03-4B52E5FAB5D1}" name="Column10944"/>
    <tableColumn id="10959" xr3:uid="{A2825AFE-F067-4CB2-83DC-4DFCE1C103FB}" name="Column10945"/>
    <tableColumn id="10960" xr3:uid="{966D270D-A26A-46EE-A0F2-BC6F1BA05B36}" name="Column10946"/>
    <tableColumn id="10961" xr3:uid="{7CF66E93-FFB1-4A26-89C5-0B657DF499CB}" name="Column10947"/>
    <tableColumn id="10962" xr3:uid="{356488DC-3AB6-4A1C-808F-01D7C921907B}" name="Column10948"/>
    <tableColumn id="10963" xr3:uid="{9E3B108D-0101-4745-BF6A-CB9AB3C9175B}" name="Column10949"/>
    <tableColumn id="10964" xr3:uid="{C8595EAF-4D86-4A74-8F80-F213EFAE111F}" name="Column10950"/>
    <tableColumn id="10965" xr3:uid="{7B21ACD4-105E-4CE1-A5D9-FC2E793785AF}" name="Column10951"/>
    <tableColumn id="10966" xr3:uid="{362044F6-E000-41F3-A6D5-41D983A930B9}" name="Column10952"/>
    <tableColumn id="10967" xr3:uid="{50ED2974-E38F-41B6-962B-089296F29F31}" name="Column10953"/>
    <tableColumn id="10968" xr3:uid="{30CA8975-5A10-4186-B567-86ECDBAE3859}" name="Column10954"/>
    <tableColumn id="10969" xr3:uid="{72938E0C-BB55-4BAE-8D1A-ED12F51E6C3D}" name="Column10955"/>
    <tableColumn id="10970" xr3:uid="{238F4B6C-2533-4ED7-89C5-94AC121BDC25}" name="Column10956"/>
    <tableColumn id="10971" xr3:uid="{5A5F7B6B-5E27-475E-9ACC-ADFD6FFB99F4}" name="Column10957"/>
    <tableColumn id="10972" xr3:uid="{176FB9B3-190B-4DD8-8B01-F151B33E2600}" name="Column10958"/>
    <tableColumn id="10973" xr3:uid="{1B528A18-E834-42C8-89F6-29EC91B21D5E}" name="Column10959"/>
    <tableColumn id="10974" xr3:uid="{6E6B264B-219B-4C0B-BAE1-9CB230A73A55}" name="Column10960"/>
    <tableColumn id="10975" xr3:uid="{D0050A16-A2F8-472C-8BE4-61E4E6E99672}" name="Column10961"/>
    <tableColumn id="10976" xr3:uid="{CA9F653A-BE9C-455F-8616-1C6A670812DB}" name="Column10962"/>
    <tableColumn id="10977" xr3:uid="{7696298E-17CF-4808-8F8A-F55EE24795D4}" name="Column10963"/>
    <tableColumn id="10978" xr3:uid="{D9D31C70-41EE-4DF9-A30A-EF2FBFBC11D2}" name="Column10964"/>
    <tableColumn id="10979" xr3:uid="{8E6D1918-0C40-49F2-BCD9-B3D61A69C477}" name="Column10965"/>
    <tableColumn id="10980" xr3:uid="{840AE847-1BF4-4693-865F-B79423F21DB7}" name="Column10966"/>
    <tableColumn id="10981" xr3:uid="{12B9FCD8-0C61-4044-9AFC-77EC87A7BB2B}" name="Column10967"/>
    <tableColumn id="10982" xr3:uid="{45EE3498-9AEC-41A1-A533-15417C3344E7}" name="Column10968"/>
    <tableColumn id="10983" xr3:uid="{D3A2DFEB-E781-46CE-833E-4CFB622C737F}" name="Column10969"/>
    <tableColumn id="10984" xr3:uid="{C98E3597-F92D-409F-97B4-8E4A0C4E62A3}" name="Column10970"/>
    <tableColumn id="10985" xr3:uid="{10244510-F81A-47A0-BA7F-4C7087F43A3F}" name="Column10971"/>
    <tableColumn id="10986" xr3:uid="{BC8186CE-97AC-4BEC-92B2-FE841229AEB7}" name="Column10972"/>
    <tableColumn id="10987" xr3:uid="{CDF24C62-6056-4ECE-B211-8235EE83E625}" name="Column10973"/>
    <tableColumn id="10988" xr3:uid="{86CCD5B6-F67C-4FF8-94AE-0AB68004F48A}" name="Column10974"/>
    <tableColumn id="10989" xr3:uid="{82EE247A-3C39-4711-AC88-579E32C544C2}" name="Column10975"/>
    <tableColumn id="10990" xr3:uid="{4F50F953-22ED-4C27-AF5D-3B622D43AD6C}" name="Column10976"/>
    <tableColumn id="10991" xr3:uid="{36749AE3-C3C5-4B0B-B25E-818D93ADBE54}" name="Column10977"/>
    <tableColumn id="10992" xr3:uid="{85A98AFE-6F80-49B8-B602-EDCDB5666A30}" name="Column10978"/>
    <tableColumn id="10993" xr3:uid="{E04B89A3-4D78-458C-943C-09D6C51A2EBB}" name="Column10979"/>
    <tableColumn id="10994" xr3:uid="{81DC9505-6241-4BA6-A477-5951CB0B46E2}" name="Column10980"/>
    <tableColumn id="10995" xr3:uid="{75948FBD-BBCC-44F2-A260-B096337BFBD2}" name="Column10981"/>
    <tableColumn id="10996" xr3:uid="{7C4B7F60-5427-4997-AD9D-72BEE967AB05}" name="Column10982"/>
    <tableColumn id="10997" xr3:uid="{5D341ADC-BAC1-48BC-87C6-4BCC8FB8C7DF}" name="Column10983"/>
    <tableColumn id="10998" xr3:uid="{9766B899-16B4-4896-9555-5EF59B8D738C}" name="Column10984"/>
    <tableColumn id="10999" xr3:uid="{C355D2D3-3B17-4ACF-AA41-74CA3D8B5829}" name="Column10985"/>
    <tableColumn id="11000" xr3:uid="{E60D0CA9-92BD-446E-8EFD-6B475B6BB80A}" name="Column10986"/>
    <tableColumn id="11001" xr3:uid="{613D6ED8-A792-4E11-8404-C0C4A02490D8}" name="Column10987"/>
    <tableColumn id="11002" xr3:uid="{FFD36E39-26A5-4A02-A402-82D7CCF85E39}" name="Column10988"/>
    <tableColumn id="11003" xr3:uid="{8249162C-A413-4D38-B62B-77C329E258C7}" name="Column10989"/>
    <tableColumn id="11004" xr3:uid="{DE01628F-849D-43CD-9B42-6614FB858B13}" name="Column10990"/>
    <tableColumn id="11005" xr3:uid="{4D4FE2CC-6D5A-4A72-88A3-72B69E9B2021}" name="Column10991"/>
    <tableColumn id="11006" xr3:uid="{70A816DE-E554-424A-87C9-5720C2000A89}" name="Column10992"/>
    <tableColumn id="11007" xr3:uid="{EA755F1A-2714-4596-A970-9C1C08BAA098}" name="Column10993"/>
    <tableColumn id="11008" xr3:uid="{B8678C12-277D-484F-9CD1-5EBBD1273853}" name="Column10994"/>
    <tableColumn id="11009" xr3:uid="{96129B37-5FE6-4120-8D22-378AE5997084}" name="Column10995"/>
    <tableColumn id="11010" xr3:uid="{989E705F-01AB-48B5-AEF7-D0659AA2201D}" name="Column10996"/>
    <tableColumn id="11011" xr3:uid="{C04ADF31-7CF8-4A2D-B3AC-C19CCF5F1502}" name="Column10997"/>
    <tableColumn id="11012" xr3:uid="{4B533DAB-9D2F-4E2F-A2B6-39F209CC685F}" name="Column10998"/>
    <tableColumn id="11013" xr3:uid="{78E77B7A-67DF-483F-892A-B1D9319B6948}" name="Column10999"/>
    <tableColumn id="11014" xr3:uid="{1DA03EDC-40FE-457A-BE0B-3D44813705E7}" name="Column11000"/>
    <tableColumn id="11015" xr3:uid="{3660FCFF-D209-44C5-B94D-C7E1F2181634}" name="Column11001"/>
    <tableColumn id="11016" xr3:uid="{F88684AE-677C-4DD0-B689-2A26B39D418F}" name="Column11002"/>
    <tableColumn id="11017" xr3:uid="{BE171F09-9B08-4924-B11B-59AF3A786028}" name="Column11003"/>
    <tableColumn id="11018" xr3:uid="{3754C216-3246-4CE3-B862-4836D2481023}" name="Column11004"/>
    <tableColumn id="11019" xr3:uid="{CD9A37E6-37C7-453C-96DC-CE6544A77F28}" name="Column11005"/>
    <tableColumn id="11020" xr3:uid="{F01C933A-FC84-473F-8EA5-313185F2B14A}" name="Column11006"/>
    <tableColumn id="11021" xr3:uid="{151BBE83-371B-4582-84D6-E9E6B929DB7D}" name="Column11007"/>
    <tableColumn id="11022" xr3:uid="{AC5CC7EA-8F45-49D8-B147-ABE27F57150B}" name="Column11008"/>
    <tableColumn id="11023" xr3:uid="{24974897-1439-42E0-B4D3-4B619FF38EC6}" name="Column11009"/>
    <tableColumn id="11024" xr3:uid="{F021470C-C96C-41D1-9751-63BC83518C60}" name="Column11010"/>
    <tableColumn id="11025" xr3:uid="{91E889A7-5DE6-4938-93AE-4937FDAE07B5}" name="Column11011"/>
    <tableColumn id="11026" xr3:uid="{03249549-AD33-4E18-810D-44AAAC0DF38F}" name="Column11012"/>
    <tableColumn id="11027" xr3:uid="{CC76FC97-29C6-4EBD-8BE4-B05052A2436E}" name="Column11013"/>
    <tableColumn id="11028" xr3:uid="{C78B56B5-148C-4A70-A4A2-D0D45715BFA2}" name="Column11014"/>
    <tableColumn id="11029" xr3:uid="{9474B5E2-7BF2-47F3-A8A6-34058C033597}" name="Column11015"/>
    <tableColumn id="11030" xr3:uid="{62B70AED-AEBE-4000-8832-FCAD72F30811}" name="Column11016"/>
    <tableColumn id="11031" xr3:uid="{0A7C9AD3-B1A0-436F-811F-1C390B6AFE76}" name="Column11017"/>
    <tableColumn id="11032" xr3:uid="{26DA62A3-EBBA-48BE-BB0E-CBD65D40CF93}" name="Column11018"/>
    <tableColumn id="11033" xr3:uid="{44E0BD07-1DE8-4008-B522-9D6F18663638}" name="Column11019"/>
    <tableColumn id="11034" xr3:uid="{50715AC0-374C-4685-B8F4-661024D3CDD9}" name="Column11020"/>
    <tableColumn id="11035" xr3:uid="{0DBE4512-59D4-496E-91B8-2D2FD9E989BB}" name="Column11021"/>
    <tableColumn id="11036" xr3:uid="{DED98747-8DB8-4740-9FCB-1C064C56650D}" name="Column11022"/>
    <tableColumn id="11037" xr3:uid="{1E2773FF-A2C7-40B3-A3DC-450B6B71BE59}" name="Column11023"/>
    <tableColumn id="11038" xr3:uid="{579297DE-2907-43B4-A14C-838D6F0A9B5A}" name="Column11024"/>
    <tableColumn id="11039" xr3:uid="{07B96650-6CB7-4249-BAEA-06FFD7D04969}" name="Column11025"/>
    <tableColumn id="11040" xr3:uid="{8368FC06-9871-4FB4-B162-FC94EDC7CF22}" name="Column11026"/>
    <tableColumn id="11041" xr3:uid="{0F4E980F-A129-44DE-AE35-323B3CA956F1}" name="Column11027"/>
    <tableColumn id="11042" xr3:uid="{BE91306E-C7F7-461C-96EE-52E29E01052D}" name="Column11028"/>
    <tableColumn id="11043" xr3:uid="{76C63D1E-7475-4715-B0EF-9203F26C3E71}" name="Column11029"/>
    <tableColumn id="11044" xr3:uid="{C2989653-6AD5-4489-9D9D-C3012DE856A0}" name="Column11030"/>
    <tableColumn id="11045" xr3:uid="{45651491-3858-4BF2-A24D-30240F44ADD9}" name="Column11031"/>
    <tableColumn id="11046" xr3:uid="{005F37E3-AF9B-4E19-A4E5-2ED001AEF931}" name="Column11032"/>
    <tableColumn id="11047" xr3:uid="{FB598271-1C6C-40D7-B415-5978D7010548}" name="Column11033"/>
    <tableColumn id="11048" xr3:uid="{BEC9BECE-D224-421E-BDB1-6C94F6E8A8C4}" name="Column11034"/>
    <tableColumn id="11049" xr3:uid="{FFD58D1D-A5EA-4137-81DC-5D5D8D6261F7}" name="Column11035"/>
    <tableColumn id="11050" xr3:uid="{B24E1295-4C9A-4914-89BB-D557859E90CA}" name="Column11036"/>
    <tableColumn id="11051" xr3:uid="{E2A8E2B5-D5C0-4334-9EBC-3AAEF07BF98F}" name="Column11037"/>
    <tableColumn id="11052" xr3:uid="{5A93799B-4E4A-41DB-A0B6-1D2E37C27065}" name="Column11038"/>
    <tableColumn id="11053" xr3:uid="{B22C2430-9F44-455F-ACF2-D72C06AF2171}" name="Column11039"/>
    <tableColumn id="11054" xr3:uid="{3673EE3F-D9AB-4034-B422-CDDAD8C04DD1}" name="Column11040"/>
    <tableColumn id="11055" xr3:uid="{A2065676-8CCC-45A7-8EA8-D7C81D627F51}" name="Column11041"/>
    <tableColumn id="11056" xr3:uid="{765F8ABC-EEB1-430F-8948-B0B589D29FB7}" name="Column11042"/>
    <tableColumn id="11057" xr3:uid="{2461D28E-318F-4E75-9C1D-6A140AD6C9BD}" name="Column11043"/>
    <tableColumn id="11058" xr3:uid="{DAE12C75-928B-442A-979E-A1361DECCE46}" name="Column11044"/>
    <tableColumn id="11059" xr3:uid="{B4B2CB0D-B755-4B6E-9C6B-D7B79DD564E5}" name="Column11045"/>
    <tableColumn id="11060" xr3:uid="{D366B27C-5DBC-41C9-907F-486018A38546}" name="Column11046"/>
    <tableColumn id="11061" xr3:uid="{E8B76B49-EC2B-4D61-AFF3-C023FBCE7704}" name="Column11047"/>
    <tableColumn id="11062" xr3:uid="{BFEEC9C3-6941-491D-8C90-39C0F312B1F4}" name="Column11048"/>
    <tableColumn id="11063" xr3:uid="{27C71237-C7B2-43A6-9AF2-95CE7EF53EAC}" name="Column11049"/>
    <tableColumn id="11064" xr3:uid="{97A59E99-0ECA-444A-93FE-7F1276F84CE0}" name="Column11050"/>
    <tableColumn id="11065" xr3:uid="{8E7FFAA0-8012-43AD-B817-9E8F5518F504}" name="Column11051"/>
    <tableColumn id="11066" xr3:uid="{F503FB49-5FF5-4D00-829B-D4D60BF73A78}" name="Column11052"/>
    <tableColumn id="11067" xr3:uid="{4E848812-AD96-4842-BDB4-306B8D69E4E8}" name="Column11053"/>
    <tableColumn id="11068" xr3:uid="{9EFA7ADE-0EFD-4B75-8C05-1297A7350CB0}" name="Column11054"/>
    <tableColumn id="11069" xr3:uid="{94E8DBA3-3365-4A2C-9A0F-D3BD4B01F931}" name="Column11055"/>
    <tableColumn id="11070" xr3:uid="{71DB8F5E-19DF-4151-B669-B6AA88C89AEB}" name="Column11056"/>
    <tableColumn id="11071" xr3:uid="{1FF58B8C-C38A-4EF5-A71F-053F7375EE0D}" name="Column11057"/>
    <tableColumn id="11072" xr3:uid="{E5E91504-DFF3-4420-9ED0-40D27543F392}" name="Column11058"/>
    <tableColumn id="11073" xr3:uid="{9195A860-6F99-49C0-988C-8530C58A2449}" name="Column11059"/>
    <tableColumn id="11074" xr3:uid="{62DB8E17-CAB9-425F-9464-6E6A04D812B7}" name="Column11060"/>
    <tableColumn id="11075" xr3:uid="{560DF055-90B1-479C-9678-5AEE5BC7A217}" name="Column11061"/>
    <tableColumn id="11076" xr3:uid="{AAC76B6B-3C32-4256-842F-4D919F9ED667}" name="Column11062"/>
    <tableColumn id="11077" xr3:uid="{9F733514-24D2-4F2F-960E-ECD57D03F4D3}" name="Column11063"/>
    <tableColumn id="11078" xr3:uid="{FCF5D62B-A923-4557-9482-81A22AF8F31C}" name="Column11064"/>
    <tableColumn id="11079" xr3:uid="{51C31882-1459-4018-A317-307EEEAE7A46}" name="Column11065"/>
    <tableColumn id="11080" xr3:uid="{54C6E63B-CB87-48DD-B422-34171328E1B8}" name="Column11066"/>
    <tableColumn id="11081" xr3:uid="{C3155416-9F90-4367-9A98-C3324080F1DE}" name="Column11067"/>
    <tableColumn id="11082" xr3:uid="{D6A72758-EE33-4CFB-AC59-C6A87E61250B}" name="Column11068"/>
    <tableColumn id="11083" xr3:uid="{15DBC363-1D76-4363-8862-141ED70A44AC}" name="Column11069"/>
    <tableColumn id="11084" xr3:uid="{8EB40E0F-BBCF-418C-950F-8D7CE022C288}" name="Column11070"/>
    <tableColumn id="11085" xr3:uid="{A5CBE527-49CB-47D1-B096-6015E84C487D}" name="Column11071"/>
    <tableColumn id="11086" xr3:uid="{DD40EA3D-E4AE-4580-8F74-B3615A6D5C1D}" name="Column11072"/>
    <tableColumn id="11087" xr3:uid="{7F1CB048-507C-4956-A355-AA87EBFBBE4A}" name="Column11073"/>
    <tableColumn id="11088" xr3:uid="{4762B62B-B0D4-4072-BCEC-980B4AED9E93}" name="Column11074"/>
    <tableColumn id="11089" xr3:uid="{C927EFE0-BA10-4BD2-B46B-3EB939EA025E}" name="Column11075"/>
    <tableColumn id="11090" xr3:uid="{DB770801-643C-4C48-8E8B-1A4653451914}" name="Column11076"/>
    <tableColumn id="11091" xr3:uid="{10B4E931-C27A-4B0E-92AA-F01FFFF57DE9}" name="Column11077"/>
    <tableColumn id="11092" xr3:uid="{B623A111-35F1-4B4A-9250-F3962A095AFD}" name="Column11078"/>
    <tableColumn id="11093" xr3:uid="{C998C75F-D292-4B9F-895E-2195FD4D472C}" name="Column11079"/>
    <tableColumn id="11094" xr3:uid="{FA8BF65E-D22D-4C21-AAF4-A9D043ABB514}" name="Column11080"/>
    <tableColumn id="11095" xr3:uid="{1B1BC858-8FEE-4EFD-A108-0E605222287D}" name="Column11081"/>
    <tableColumn id="11096" xr3:uid="{3CFD7DEF-2702-4C44-B389-43C352856773}" name="Column11082"/>
    <tableColumn id="11097" xr3:uid="{5858B864-1088-48BC-9615-39310BA1BB8B}" name="Column11083"/>
    <tableColumn id="11098" xr3:uid="{CC213516-FE00-4C12-882E-81A7636BBB90}" name="Column11084"/>
    <tableColumn id="11099" xr3:uid="{73E4F7FC-7B09-4084-9D12-D848409BE2AB}" name="Column11085"/>
    <tableColumn id="11100" xr3:uid="{F78071B5-901F-46CE-B2BA-2046F90CBA27}" name="Column11086"/>
    <tableColumn id="11101" xr3:uid="{080D54F0-508A-4574-BD3A-CC1794E8DBA9}" name="Column11087"/>
    <tableColumn id="11102" xr3:uid="{5132F700-4DC1-4975-9232-E8E821DD2471}" name="Column11088"/>
    <tableColumn id="11103" xr3:uid="{8580CB43-3660-4B2B-8F52-F08295A383F6}" name="Column11089"/>
    <tableColumn id="11104" xr3:uid="{D1E6787E-AD26-4D47-999B-47311E48BD90}" name="Column11090"/>
    <tableColumn id="11105" xr3:uid="{FB2731E0-D4C5-4FF1-BE5D-55698017A286}" name="Column11091"/>
    <tableColumn id="11106" xr3:uid="{4602E362-2992-4DAF-9949-CDAFBAE5F329}" name="Column11092"/>
    <tableColumn id="11107" xr3:uid="{2D0BC423-CB3C-4EA1-A91F-AA02B7AED464}" name="Column11093"/>
    <tableColumn id="11108" xr3:uid="{5EFC328E-87E6-4A72-80DA-E230AAED72E3}" name="Column11094"/>
    <tableColumn id="11109" xr3:uid="{B2F4DFAF-5E79-4822-8CC8-9EC28417934E}" name="Column11095"/>
    <tableColumn id="11110" xr3:uid="{0FE922FA-91C0-48AE-9885-1E94042C680D}" name="Column11096"/>
    <tableColumn id="11111" xr3:uid="{9CD7055A-3EF0-4E25-BFEF-B0AE7FDD248A}" name="Column11097"/>
    <tableColumn id="11112" xr3:uid="{B24EF9B7-7501-4CAD-8F6A-7F5CDF1860DC}" name="Column11098"/>
    <tableColumn id="11113" xr3:uid="{F67BA285-A320-4371-9F59-ADFE2FC03D97}" name="Column11099"/>
    <tableColumn id="11114" xr3:uid="{779AAC35-8222-498F-8826-9D8A99E609E7}" name="Column11100"/>
    <tableColumn id="11115" xr3:uid="{BE2B32E3-F0B6-419A-9832-D8D27B66D44D}" name="Column11101"/>
    <tableColumn id="11116" xr3:uid="{BEF47FD6-5CB1-4876-BA19-30DD965CCDE6}" name="Column11102"/>
    <tableColumn id="11117" xr3:uid="{D309DD01-AC19-4781-AF98-F8A8FAB0BB60}" name="Column11103"/>
    <tableColumn id="11118" xr3:uid="{7F417B7E-0525-4877-96F7-F28A9F6B4AD8}" name="Column11104"/>
    <tableColumn id="11119" xr3:uid="{EF4F65C1-C93F-4718-AE5E-1C2DA9146613}" name="Column11105"/>
    <tableColumn id="11120" xr3:uid="{76EA1203-75F2-43D1-94B7-0327499DCE7D}" name="Column11106"/>
    <tableColumn id="11121" xr3:uid="{FF9E03B2-ECB8-4176-8071-46113A164CA2}" name="Column11107"/>
    <tableColumn id="11122" xr3:uid="{9352F27E-3498-4032-BA75-25664D0243F8}" name="Column11108"/>
    <tableColumn id="11123" xr3:uid="{E8368E8C-251C-4088-AF22-698CDC7846A5}" name="Column11109"/>
    <tableColumn id="11124" xr3:uid="{50BA33C6-F494-4581-B868-9591C1C0B6AB}" name="Column11110"/>
    <tableColumn id="11125" xr3:uid="{C51538D4-E471-47B4-B695-CAC0EB4CA357}" name="Column11111"/>
    <tableColumn id="11126" xr3:uid="{002227F7-8868-4C2A-80ED-2F476912A4A8}" name="Column11112"/>
    <tableColumn id="11127" xr3:uid="{54CCC3C6-A530-49D4-B9FA-9F69807FF282}" name="Column11113"/>
    <tableColumn id="11128" xr3:uid="{30B865F5-6EF2-431A-8481-DAA55DEC8BBE}" name="Column11114"/>
    <tableColumn id="11129" xr3:uid="{FDA84905-06DF-4E6D-962D-9BD2852B216F}" name="Column11115"/>
    <tableColumn id="11130" xr3:uid="{322A3F1E-C4D8-46CE-A8DC-CA0C5B1E545D}" name="Column11116"/>
    <tableColumn id="11131" xr3:uid="{5DAA1E2D-DDD0-4627-B5EE-50E9E50A9073}" name="Column11117"/>
    <tableColumn id="11132" xr3:uid="{FBBA90F9-EB3E-4739-9B1F-2D8103506A72}" name="Column11118"/>
    <tableColumn id="11133" xr3:uid="{949B6800-ED8E-4F24-8D6B-7961EA4A575E}" name="Column11119"/>
    <tableColumn id="11134" xr3:uid="{53D64332-C5D0-4115-B3DE-9645D78DDA7C}" name="Column11120"/>
    <tableColumn id="11135" xr3:uid="{1B822799-3D1B-48B0-B64E-FED7FDE796C8}" name="Column11121"/>
    <tableColumn id="11136" xr3:uid="{E10FBFB3-AA29-49DF-BD6E-B2CD6FA9A91C}" name="Column11122"/>
    <tableColumn id="11137" xr3:uid="{31FBA6EF-E1A4-445B-8FD5-C2B62D676068}" name="Column11123"/>
    <tableColumn id="11138" xr3:uid="{747A51E5-A340-4B95-B916-7D27DA772355}" name="Column11124"/>
    <tableColumn id="11139" xr3:uid="{633B8A3D-3AA0-444F-8304-01C34A2FBDAD}" name="Column11125"/>
    <tableColumn id="11140" xr3:uid="{BCA35D2B-8DEA-4E30-980F-76B0975DA542}" name="Column11126"/>
    <tableColumn id="11141" xr3:uid="{A17B4DAF-E839-4A73-82C9-D889AC0D4419}" name="Column11127"/>
    <tableColumn id="11142" xr3:uid="{206A852F-CCF3-41B8-B228-385BA4357920}" name="Column11128"/>
    <tableColumn id="11143" xr3:uid="{C7EDD17A-2454-46AB-8EEE-599447A50E72}" name="Column11129"/>
    <tableColumn id="11144" xr3:uid="{AEB54105-ACE2-4A69-ABD0-B94B87F01322}" name="Column11130"/>
    <tableColumn id="11145" xr3:uid="{9B45F4B2-B4E3-4C77-A0DF-99C2ABCBF961}" name="Column11131"/>
    <tableColumn id="11146" xr3:uid="{7C135EDA-A799-48BF-A095-5BB9B739A0D1}" name="Column11132"/>
    <tableColumn id="11147" xr3:uid="{BFDFA4C9-FC3C-47FF-B079-ACBAE82431E5}" name="Column11133"/>
    <tableColumn id="11148" xr3:uid="{1FB4B18C-1BE8-4952-864F-DB2F951F7F6C}" name="Column11134"/>
    <tableColumn id="11149" xr3:uid="{CA5D8746-4E2B-489A-A66C-E5C27659C570}" name="Column11135"/>
    <tableColumn id="11150" xr3:uid="{8FA5D682-968F-4C9A-85E9-F1C7E64F4B8E}" name="Column11136"/>
    <tableColumn id="11151" xr3:uid="{BDC85EF6-B1A6-4F3C-AA7E-C43E23EDDA61}" name="Column11137"/>
    <tableColumn id="11152" xr3:uid="{525EB5D9-60A7-4752-9104-FEC931AECB94}" name="Column11138"/>
    <tableColumn id="11153" xr3:uid="{DABEB888-1A89-44C8-9FCB-9FEBEB2A0C33}" name="Column11139"/>
    <tableColumn id="11154" xr3:uid="{3E02D07D-1B92-4F10-BF04-2A39CE5B0EFB}" name="Column11140"/>
    <tableColumn id="11155" xr3:uid="{AC654B30-8F73-473A-8174-79EB00669B37}" name="Column11141"/>
    <tableColumn id="11156" xr3:uid="{58D11517-C2CE-47F7-92F4-1398699C7FD7}" name="Column11142"/>
    <tableColumn id="11157" xr3:uid="{8B062CEA-AAB8-45D1-BD7C-A35D853B1EB3}" name="Column11143"/>
    <tableColumn id="11158" xr3:uid="{3C49648C-1C64-4DD9-BAE0-BC6C7C8B104B}" name="Column11144"/>
    <tableColumn id="11159" xr3:uid="{FF079BDA-BF8F-406E-B131-9F4A00085AAB}" name="Column11145"/>
    <tableColumn id="11160" xr3:uid="{E1C1A984-C704-4C12-81AC-B1D5AE07DAB5}" name="Column11146"/>
    <tableColumn id="11161" xr3:uid="{2F7CA8DF-C1D9-4EF2-8D32-FC7A21E1A20E}" name="Column11147"/>
    <tableColumn id="11162" xr3:uid="{28339EE7-9B8C-474D-B670-110FB1EA27A6}" name="Column11148"/>
    <tableColumn id="11163" xr3:uid="{4CE8B5BA-F4B7-4EAD-A874-7AB3F142E6AC}" name="Column11149"/>
    <tableColumn id="11164" xr3:uid="{751AAF9E-0EE0-402F-B986-BC48831A8CEF}" name="Column11150"/>
    <tableColumn id="11165" xr3:uid="{67A54F71-0D94-4A82-ABB6-D877432544C5}" name="Column11151"/>
    <tableColumn id="11166" xr3:uid="{0AC69D45-5BF6-4A03-95A5-844F72890BC0}" name="Column11152"/>
    <tableColumn id="11167" xr3:uid="{A59FD475-59B2-4415-BE06-1311E5950FBD}" name="Column11153"/>
    <tableColumn id="11168" xr3:uid="{520F75A6-004D-471A-9B1C-B2D29EDBBCBB}" name="Column11154"/>
    <tableColumn id="11169" xr3:uid="{A8478984-1A68-4FC5-8673-91249ABB4791}" name="Column11155"/>
    <tableColumn id="11170" xr3:uid="{CDE5F1F5-126D-4A9B-8966-068C6C68CAD4}" name="Column11156"/>
    <tableColumn id="11171" xr3:uid="{D1CB3F9C-FAEC-416E-8758-3CCADA683CA5}" name="Column11157"/>
    <tableColumn id="11172" xr3:uid="{0296BD8C-AADA-42C6-BE97-BED1F9E53588}" name="Column11158"/>
    <tableColumn id="11173" xr3:uid="{7631A68D-6BB1-4242-9A09-937438D9DD3A}" name="Column11159"/>
    <tableColumn id="11174" xr3:uid="{83F40A43-4A5B-49C2-B0EC-AF60707DD338}" name="Column11160"/>
    <tableColumn id="11175" xr3:uid="{DFA6E5E0-CE1E-4164-9DAD-1E62B3F8E184}" name="Column11161"/>
    <tableColumn id="11176" xr3:uid="{BFFAA40F-6E82-47BC-AB64-AA9C5F4CC85F}" name="Column11162"/>
    <tableColumn id="11177" xr3:uid="{B96B9F3C-BD43-418B-832A-1E06052D5CA7}" name="Column11163"/>
    <tableColumn id="11178" xr3:uid="{980F3C3B-0EA6-4C68-94AD-5576565A46B7}" name="Column11164"/>
    <tableColumn id="11179" xr3:uid="{C9E27D74-52DB-4EC1-BA15-96F54EEA377D}" name="Column11165"/>
    <tableColumn id="11180" xr3:uid="{85E4485F-7EC8-4D8C-A803-71C53BA2E1CA}" name="Column11166"/>
    <tableColumn id="11181" xr3:uid="{9CDC36B1-3908-44F9-B2FF-86D5FD7737A9}" name="Column11167"/>
    <tableColumn id="11182" xr3:uid="{6ECB2A2E-577B-4592-BDB1-7D1E8056ADE0}" name="Column11168"/>
    <tableColumn id="11183" xr3:uid="{DD1D8193-3EF8-4DD8-B5FA-06C497CEE6CD}" name="Column11169"/>
    <tableColumn id="11184" xr3:uid="{96141AC8-F126-477F-BDAA-CF9A5430D400}" name="Column11170"/>
    <tableColumn id="11185" xr3:uid="{2849C6EA-CFA9-400A-BCCA-D5CAC170912A}" name="Column11171"/>
    <tableColumn id="11186" xr3:uid="{83224CFB-B253-4B1D-8EEA-D84675281215}" name="Column11172"/>
    <tableColumn id="11187" xr3:uid="{37B1E139-CFBD-4D98-A34E-014852B3D779}" name="Column11173"/>
    <tableColumn id="11188" xr3:uid="{CCB62E97-2842-4BD3-9BFB-13C9AE3CC0F1}" name="Column11174"/>
    <tableColumn id="11189" xr3:uid="{FB7ADF2B-6478-47FF-BBED-CFE02041F72B}" name="Column11175"/>
    <tableColumn id="11190" xr3:uid="{93359D7D-E607-4B50-9EED-0C37CA1FEF69}" name="Column11176"/>
    <tableColumn id="11191" xr3:uid="{D98C95CB-2DA6-4B94-A660-27492A89E4C5}" name="Column11177"/>
    <tableColumn id="11192" xr3:uid="{FEB07D39-CCDD-4C22-AB16-58F0D6004ED3}" name="Column11178"/>
    <tableColumn id="11193" xr3:uid="{45D5002A-A5C7-4B28-AD65-1E6C79D6975E}" name="Column11179"/>
    <tableColumn id="11194" xr3:uid="{F47F2214-50AB-4BF1-8F8A-39310B032208}" name="Column11180"/>
    <tableColumn id="11195" xr3:uid="{E4DE92F3-175B-40F3-8870-329B01317338}" name="Column11181"/>
    <tableColumn id="11196" xr3:uid="{6B220040-E89C-4552-BA9C-4EE0F0775B50}" name="Column11182"/>
    <tableColumn id="11197" xr3:uid="{07201915-A5A3-4D0F-8D41-F484CA1C6BDD}" name="Column11183"/>
    <tableColumn id="11198" xr3:uid="{FF7EAAA5-6099-4E18-A7D5-83BC6FB4879C}" name="Column11184"/>
    <tableColumn id="11199" xr3:uid="{A66FCD02-6BD6-4407-8BCE-CBB149BAF994}" name="Column11185"/>
    <tableColumn id="11200" xr3:uid="{071EF61B-C5C7-47E0-8E03-36FE3DFECDBD}" name="Column11186"/>
    <tableColumn id="11201" xr3:uid="{5E2212B0-E60B-4CFD-B412-AA8BEFD2F1D9}" name="Column11187"/>
    <tableColumn id="11202" xr3:uid="{7E9EC67B-42A9-441F-8E86-79954F23C240}" name="Column11188"/>
    <tableColumn id="11203" xr3:uid="{E656464D-E5EC-489E-8142-405DF589F7B2}" name="Column11189"/>
    <tableColumn id="11204" xr3:uid="{C24431B4-E873-494D-9B80-2D4587721927}" name="Column11190"/>
    <tableColumn id="11205" xr3:uid="{E836FE6D-D11A-4503-8F5C-47EAF45405D4}" name="Column11191"/>
    <tableColumn id="11206" xr3:uid="{8EA9CFDC-3256-49E2-8CD7-E2CD21A18158}" name="Column11192"/>
    <tableColumn id="11207" xr3:uid="{A01E2393-44B6-478F-82D1-F16338E0984F}" name="Column11193"/>
    <tableColumn id="11208" xr3:uid="{C6FE30E2-2876-411D-BABE-DFCEC7D694A2}" name="Column11194"/>
    <tableColumn id="11209" xr3:uid="{B8A9FDAC-0BB1-4BCE-8AA6-149E17F3658F}" name="Column11195"/>
    <tableColumn id="11210" xr3:uid="{6D018796-C770-4B78-987C-2135657F4031}" name="Column11196"/>
    <tableColumn id="11211" xr3:uid="{6D94AAB2-08C0-405B-A1F1-903F74962407}" name="Column11197"/>
    <tableColumn id="11212" xr3:uid="{57625412-DF12-4433-9C2D-B121294B4376}" name="Column11198"/>
    <tableColumn id="11213" xr3:uid="{F8F19071-34C0-4F76-B293-6479EE396BE7}" name="Column11199"/>
    <tableColumn id="11214" xr3:uid="{A96018A9-B6A6-412C-A78C-0408E46E8F8A}" name="Column11200"/>
    <tableColumn id="11215" xr3:uid="{2C227213-A02C-426B-B460-C8988FE078B3}" name="Column11201"/>
    <tableColumn id="11216" xr3:uid="{9B5AFB7E-74D1-4B82-8BD9-55F00CDBA4CE}" name="Column11202"/>
    <tableColumn id="11217" xr3:uid="{F5599129-6C6B-4B73-B5AE-FD6011442D6C}" name="Column11203"/>
    <tableColumn id="11218" xr3:uid="{2B09EB9A-A5DC-40F6-9246-00FDAE185986}" name="Column11204"/>
    <tableColumn id="11219" xr3:uid="{0C809637-EA6F-4807-A58B-AB03D905B3FF}" name="Column11205"/>
    <tableColumn id="11220" xr3:uid="{2FA5FF7C-A021-4865-9857-D40CFB96D40A}" name="Column11206"/>
    <tableColumn id="11221" xr3:uid="{C833D26F-8B7E-4845-B8C4-ED99EE2663A5}" name="Column11207"/>
    <tableColumn id="11222" xr3:uid="{35943C07-3BAC-4210-89B9-02F2D9C53083}" name="Column11208"/>
    <tableColumn id="11223" xr3:uid="{5268F0E2-FADF-4A95-86AE-93E7B7B4F67E}" name="Column11209"/>
    <tableColumn id="11224" xr3:uid="{57D01E9B-C48A-42E7-833E-9C99A0A2A296}" name="Column11210"/>
    <tableColumn id="11225" xr3:uid="{629007A6-7F54-413D-87E9-2D898770CA6B}" name="Column11211"/>
    <tableColumn id="11226" xr3:uid="{D848CEF7-8460-4A28-938A-03E6BD24FCB3}" name="Column11212"/>
    <tableColumn id="11227" xr3:uid="{5E937488-65E5-49E9-A9AC-A82C758D34FB}" name="Column11213"/>
    <tableColumn id="11228" xr3:uid="{0AF40F20-F4EC-48B4-9F01-68B39F6DCB74}" name="Column11214"/>
    <tableColumn id="11229" xr3:uid="{347F01BB-F393-49B6-BBEA-4FD3B690CA9A}" name="Column11215"/>
    <tableColumn id="11230" xr3:uid="{81CC8796-C837-4433-AC5B-208F20E6CD11}" name="Column11216"/>
    <tableColumn id="11231" xr3:uid="{A20F2D66-1933-45F9-B876-42683ED3A13D}" name="Column11217"/>
    <tableColumn id="11232" xr3:uid="{8BC491C9-91B3-4021-82CF-8B4FAB63A65B}" name="Column11218"/>
    <tableColumn id="11233" xr3:uid="{5F9C1EBB-2300-41E9-A525-681996CD74E7}" name="Column11219"/>
    <tableColumn id="11234" xr3:uid="{ABAEE917-EA08-4A7E-9E70-5AE00847D6C7}" name="Column11220"/>
    <tableColumn id="11235" xr3:uid="{8CC3E522-8BDF-45B5-9A65-51E4C84F8F49}" name="Column11221"/>
    <tableColumn id="11236" xr3:uid="{4F932204-14CB-4962-B4E1-1BB7EDDFCD88}" name="Column11222"/>
    <tableColumn id="11237" xr3:uid="{95904092-36D1-4ABB-A423-A261A81A5BF2}" name="Column11223"/>
    <tableColumn id="11238" xr3:uid="{2150976D-ED50-4EB8-9A6D-DBDA5A63EDD0}" name="Column11224"/>
    <tableColumn id="11239" xr3:uid="{99E6A158-D8BE-4D27-B5F7-1B92CE99E8EA}" name="Column11225"/>
    <tableColumn id="11240" xr3:uid="{05114D65-16AA-4988-A764-421D5591BFB3}" name="Column11226"/>
    <tableColumn id="11241" xr3:uid="{84D51DC7-0414-4E3B-B180-FCA0CE680228}" name="Column11227"/>
    <tableColumn id="11242" xr3:uid="{59482BC5-2556-416D-85DC-A9D9D383DE94}" name="Column11228"/>
    <tableColumn id="11243" xr3:uid="{4355A928-A7EF-4437-804F-DF9C66575C74}" name="Column11229"/>
    <tableColumn id="11244" xr3:uid="{EA8938E4-07E9-411D-967E-13663EA29D8A}" name="Column11230"/>
    <tableColumn id="11245" xr3:uid="{8DD83343-DA38-4145-9E6E-06B4EE362B97}" name="Column11231"/>
    <tableColumn id="11246" xr3:uid="{B4412A2D-BCE7-4EB6-ADA3-F13889718393}" name="Column11232"/>
    <tableColumn id="11247" xr3:uid="{9ADEE474-31A6-4A72-BD33-F2B102C29B5E}" name="Column11233"/>
    <tableColumn id="11248" xr3:uid="{9655EB3C-9488-4D98-8FCC-1CB347F36B29}" name="Column11234"/>
    <tableColumn id="11249" xr3:uid="{478D5EB0-EF10-411E-AD83-54847CDD94E7}" name="Column11235"/>
    <tableColumn id="11250" xr3:uid="{745EFC79-4CA4-41E6-B4FB-7B38250F73EE}" name="Column11236"/>
    <tableColumn id="11251" xr3:uid="{208339BD-C52E-43D4-B34B-90560FC08DCF}" name="Column11237"/>
    <tableColumn id="11252" xr3:uid="{42C7D821-A047-46B2-AF5D-EEA5C7AA9949}" name="Column11238"/>
    <tableColumn id="11253" xr3:uid="{818456CB-6BED-41F5-8514-299D03BE368F}" name="Column11239"/>
    <tableColumn id="11254" xr3:uid="{DCDD44D4-4EE3-454D-BAB8-E399E6E9A94A}" name="Column11240"/>
    <tableColumn id="11255" xr3:uid="{691626A0-FF27-4B0F-B854-F85FFED9A280}" name="Column11241"/>
    <tableColumn id="11256" xr3:uid="{580A5549-2AD8-4AD7-9A7B-CB25000CCDE9}" name="Column11242"/>
    <tableColumn id="11257" xr3:uid="{440C61C7-8BB0-4C5C-85B5-B0CA231AA0D4}" name="Column11243"/>
    <tableColumn id="11258" xr3:uid="{65B7F45F-2326-46EF-B663-E4706051B7A0}" name="Column11244"/>
    <tableColumn id="11259" xr3:uid="{ED63041F-343C-4F4D-966E-ADFCA92EB55F}" name="Column11245"/>
    <tableColumn id="11260" xr3:uid="{162A16D6-72EF-4C46-8944-DA0EE18422F1}" name="Column11246"/>
    <tableColumn id="11261" xr3:uid="{C3DD41BD-67DF-4397-9C8D-4BD81C3FE5FE}" name="Column11247"/>
    <tableColumn id="11262" xr3:uid="{350EBB8A-473F-4008-A12E-477B0B137AA9}" name="Column11248"/>
    <tableColumn id="11263" xr3:uid="{AE2A5DEC-100D-4A4A-BD86-A35274BFFBCD}" name="Column11249"/>
    <tableColumn id="11264" xr3:uid="{84E39219-FE35-4C93-8C76-63134A9D1C36}" name="Column11250"/>
    <tableColumn id="11265" xr3:uid="{FF4F0CF1-DEA9-42B4-B204-2B7C6AA4D009}" name="Column11251"/>
    <tableColumn id="11266" xr3:uid="{BF3808FF-DBB7-4854-A668-A9FEC5AC5F9E}" name="Column11252"/>
    <tableColumn id="11267" xr3:uid="{0DDCEE86-2956-44E9-90F5-D3C12FE0CA11}" name="Column11253"/>
    <tableColumn id="11268" xr3:uid="{65E5AEFD-3489-4CDE-A16C-83D12330F4DD}" name="Column11254"/>
    <tableColumn id="11269" xr3:uid="{A7770467-B55E-499A-9FB8-911A090E1DAA}" name="Column11255"/>
    <tableColumn id="11270" xr3:uid="{B1EC3A52-7928-4570-9137-813665746D28}" name="Column11256"/>
    <tableColumn id="11271" xr3:uid="{20ED9873-D965-48F3-AB9B-F1CA19364E12}" name="Column11257"/>
    <tableColumn id="11272" xr3:uid="{A40354FE-FEAC-4328-A9D5-40C637566D95}" name="Column11258"/>
    <tableColumn id="11273" xr3:uid="{614D4D92-6246-4914-97F1-FB18681C9752}" name="Column11259"/>
    <tableColumn id="11274" xr3:uid="{479818C7-58B2-4407-9EC8-2EB1AED1C5BC}" name="Column11260"/>
    <tableColumn id="11275" xr3:uid="{12FB069D-5D3C-4CA3-BE6B-EB03703A7BC4}" name="Column11261"/>
    <tableColumn id="11276" xr3:uid="{71169B9B-B628-4345-9B4E-378AE3081295}" name="Column11262"/>
    <tableColumn id="11277" xr3:uid="{70D53DC6-8779-45D9-A837-5266CE55C1E6}" name="Column11263"/>
    <tableColumn id="11278" xr3:uid="{30AC8F6B-BF66-4E4F-916A-56A0939C0573}" name="Column11264"/>
    <tableColumn id="11279" xr3:uid="{43991D72-550E-4F7B-A170-39C2F47FF276}" name="Column11265"/>
    <tableColumn id="11280" xr3:uid="{202A7B7D-0F4B-46FB-88BF-49FBCD065F7D}" name="Column11266"/>
    <tableColumn id="11281" xr3:uid="{FEA2B792-8E1A-44F0-9ABD-17E7B141F4F7}" name="Column11267"/>
    <tableColumn id="11282" xr3:uid="{BBCD20BE-79AC-4F8E-A400-56603FEB0E53}" name="Column11268"/>
    <tableColumn id="11283" xr3:uid="{D1A61B9B-0643-41E2-BFAB-2058A957C2F4}" name="Column11269"/>
    <tableColumn id="11284" xr3:uid="{1E635AB8-2FDC-4C41-93D1-71F15070CBA4}" name="Column11270"/>
    <tableColumn id="11285" xr3:uid="{30D70390-04C5-488D-A005-329DC8B2BBD3}" name="Column11271"/>
    <tableColumn id="11286" xr3:uid="{EB402C75-8B0C-4245-AA82-76BFEB9C6B63}" name="Column11272"/>
    <tableColumn id="11287" xr3:uid="{93685B8E-6FF5-4380-9FB9-BAA899CE5ACF}" name="Column11273"/>
    <tableColumn id="11288" xr3:uid="{B4F94DA4-1AC6-4A6B-9378-4B77F1031B7D}" name="Column11274"/>
    <tableColumn id="11289" xr3:uid="{14E0AC49-D162-4E76-8620-3845FFD32FD9}" name="Column11275"/>
    <tableColumn id="11290" xr3:uid="{0AF4F976-F271-4AFA-B117-FCD7AC1CEB94}" name="Column11276"/>
    <tableColumn id="11291" xr3:uid="{BA15801D-F47D-4D3F-B50E-8A336490D88A}" name="Column11277"/>
    <tableColumn id="11292" xr3:uid="{ACB99290-3906-431F-A30B-6229417B27DA}" name="Column11278"/>
    <tableColumn id="11293" xr3:uid="{F84C7A7A-754F-4A8A-8F5F-BC412577FB9B}" name="Column11279"/>
    <tableColumn id="11294" xr3:uid="{97BE0B9B-449E-4E56-B252-7CC13E1B6A75}" name="Column11280"/>
    <tableColumn id="11295" xr3:uid="{8E4507D2-B092-4386-BDCE-CE411512F2DB}" name="Column11281"/>
    <tableColumn id="11296" xr3:uid="{DF9FEC3F-29B9-4861-8AB9-075787E6F103}" name="Column11282"/>
    <tableColumn id="11297" xr3:uid="{5B357793-E22A-4EF7-ADB4-8D2EEDE71338}" name="Column11283"/>
    <tableColumn id="11298" xr3:uid="{4AA135FD-76E4-4E94-8091-D7CCDE79A8E4}" name="Column11284"/>
    <tableColumn id="11299" xr3:uid="{D40B851F-3424-42CB-9E61-EB6EFC96BE68}" name="Column11285"/>
    <tableColumn id="11300" xr3:uid="{E793CBC6-9667-461C-946D-DAEFD2597BF6}" name="Column11286"/>
    <tableColumn id="11301" xr3:uid="{82B1235B-6918-4EA0-AD77-2D38B65EDEFD}" name="Column11287"/>
    <tableColumn id="11302" xr3:uid="{EA0D1EFA-34C7-4D6F-8054-30FDD911BF0A}" name="Column11288"/>
    <tableColumn id="11303" xr3:uid="{7963519E-6449-4169-8475-D50E1BEE4D9D}" name="Column11289"/>
    <tableColumn id="11304" xr3:uid="{D8CD1723-9B8B-48C7-A397-F38937665E48}" name="Column11290"/>
    <tableColumn id="11305" xr3:uid="{6870C2C7-D316-40FA-965D-4D6EF6C39809}" name="Column11291"/>
    <tableColumn id="11306" xr3:uid="{125EC15F-A2AE-43A2-A209-F666A690F92F}" name="Column11292"/>
    <tableColumn id="11307" xr3:uid="{9FDF0050-217F-4251-AB44-F8C947598A7E}" name="Column11293"/>
    <tableColumn id="11308" xr3:uid="{C0988691-1900-4115-8DE1-9D73C8B63E52}" name="Column11294"/>
    <tableColumn id="11309" xr3:uid="{78277814-75B2-4636-AF7A-871F592D5513}" name="Column11295"/>
    <tableColumn id="11310" xr3:uid="{5916D201-6EC1-45EA-A5BE-FDB345CD6F94}" name="Column11296"/>
    <tableColumn id="11311" xr3:uid="{5D4C4202-B4BD-4912-B792-87F07636DE15}" name="Column11297"/>
    <tableColumn id="11312" xr3:uid="{E5E2F9DC-F639-4162-8070-2744167FCD18}" name="Column11298"/>
    <tableColumn id="11313" xr3:uid="{B8524277-009D-45D0-B208-9BAD600A34DF}" name="Column11299"/>
    <tableColumn id="11314" xr3:uid="{BB8A9749-1631-4113-81CA-A4107DC53926}" name="Column11300"/>
    <tableColumn id="11315" xr3:uid="{9954A074-A02B-4F1F-BC9B-8B573754A4C5}" name="Column11301"/>
    <tableColumn id="11316" xr3:uid="{1B1E0508-F95A-40FE-BEDF-A2B15900407B}" name="Column11302"/>
    <tableColumn id="11317" xr3:uid="{358A667D-1363-4012-9710-F9F89A08657F}" name="Column11303"/>
    <tableColumn id="11318" xr3:uid="{C57E53D5-AE5A-4105-B3F3-E7004F9478F6}" name="Column11304"/>
    <tableColumn id="11319" xr3:uid="{139E0ADA-C451-4701-8509-E6F4108B4910}" name="Column11305"/>
    <tableColumn id="11320" xr3:uid="{BF010B9F-674C-46A6-A864-FDD7123AB753}" name="Column11306"/>
    <tableColumn id="11321" xr3:uid="{CED99D1B-8B62-450A-B530-E99D2823CE6F}" name="Column11307"/>
    <tableColumn id="11322" xr3:uid="{67271476-48F9-4A6D-AA2E-8521E115FF12}" name="Column11308"/>
    <tableColumn id="11323" xr3:uid="{35DE915C-F8E6-4D6A-8D09-A248B768D3B1}" name="Column11309"/>
    <tableColumn id="11324" xr3:uid="{BC4AB181-023C-4C18-8630-BFD1075A6108}" name="Column11310"/>
    <tableColumn id="11325" xr3:uid="{E853C640-1A34-4D65-B1BD-29C279555725}" name="Column11311"/>
    <tableColumn id="11326" xr3:uid="{5F38C39F-2951-4E08-8D01-123FDA54D8DE}" name="Column11312"/>
    <tableColumn id="11327" xr3:uid="{FBFFAD1B-24A9-4230-AD64-751229FCC1BD}" name="Column11313"/>
    <tableColumn id="11328" xr3:uid="{E17214D8-9838-4272-81A2-64BB41EBB7CE}" name="Column11314"/>
    <tableColumn id="11329" xr3:uid="{A1DF0C36-1735-4AA9-9B20-2EF108FF5EBB}" name="Column11315"/>
    <tableColumn id="11330" xr3:uid="{E121A787-5CC4-42A2-997D-F8D929EC604A}" name="Column11316"/>
    <tableColumn id="11331" xr3:uid="{E057E9FE-5100-498F-BEE9-5EA4158900C2}" name="Column11317"/>
    <tableColumn id="11332" xr3:uid="{6AF343AB-D80F-4AC3-BF7D-FA868E798EAA}" name="Column11318"/>
    <tableColumn id="11333" xr3:uid="{30C5F3A2-0115-441E-818F-B5E9A085C10C}" name="Column11319"/>
    <tableColumn id="11334" xr3:uid="{9D096F72-5652-41C6-8FBC-C01A4E63086C}" name="Column11320"/>
    <tableColumn id="11335" xr3:uid="{C48BD675-3656-4C96-908E-DC71566E8653}" name="Column11321"/>
    <tableColumn id="11336" xr3:uid="{8EF7A8AA-EE53-4E0E-8F74-701D317F016C}" name="Column11322"/>
    <tableColumn id="11337" xr3:uid="{13CA8AAC-4CFC-4C56-876E-963B66796DF9}" name="Column11323"/>
    <tableColumn id="11338" xr3:uid="{9EDD51EC-D126-4AC7-A290-2E847DC5D589}" name="Column11324"/>
    <tableColumn id="11339" xr3:uid="{AA183DB1-05FD-4264-A6ED-2D23C0317EB2}" name="Column11325"/>
    <tableColumn id="11340" xr3:uid="{BA4D6A28-0D6D-4EDC-8A85-7E72186F48D6}" name="Column11326"/>
    <tableColumn id="11341" xr3:uid="{0C916879-F348-4E90-9335-5FBE3CE67383}" name="Column11327"/>
    <tableColumn id="11342" xr3:uid="{62705FEB-26F2-445B-B471-86627AF345BD}" name="Column11328"/>
    <tableColumn id="11343" xr3:uid="{A299B5C8-B1B6-4033-A3EA-2F6C7ACCF49B}" name="Column11329"/>
    <tableColumn id="11344" xr3:uid="{8E7321F0-9E7A-4A9E-85AF-2BC12DC06A97}" name="Column11330"/>
    <tableColumn id="11345" xr3:uid="{801243B6-A70A-4E35-9033-7F7D84B5E801}" name="Column11331"/>
    <tableColumn id="11346" xr3:uid="{4ABF3F1D-8D08-4EDD-8138-1BE9ED3FE021}" name="Column11332"/>
    <tableColumn id="11347" xr3:uid="{ACC0CDA4-B7F6-491C-BE41-72D4972C3114}" name="Column11333"/>
    <tableColumn id="11348" xr3:uid="{1FE55B22-A429-4804-A11E-FECEAFB36872}" name="Column11334"/>
    <tableColumn id="11349" xr3:uid="{FE1E2E24-D7AE-4358-8EAF-0C21785021EE}" name="Column11335"/>
    <tableColumn id="11350" xr3:uid="{6D9FFF31-3EAE-4922-B426-8075E1D3B137}" name="Column11336"/>
    <tableColumn id="11351" xr3:uid="{4E22C9B3-7FAA-46F1-8A6A-8B959FC2607A}" name="Column11337"/>
    <tableColumn id="11352" xr3:uid="{BCADCC53-4441-4AC3-972F-C522ADD7A524}" name="Column11338"/>
    <tableColumn id="11353" xr3:uid="{24D551D1-23A4-4B04-8C28-5F1113BE3C2A}" name="Column11339"/>
    <tableColumn id="11354" xr3:uid="{A731C469-C8B1-4D85-97B3-BA26AEC1AC56}" name="Column11340"/>
    <tableColumn id="11355" xr3:uid="{5AE66F8F-48F1-4F43-BFAD-BDEDF3B7E631}" name="Column11341"/>
    <tableColumn id="11356" xr3:uid="{8058503F-69DD-4221-AEDD-3EC05277FBFF}" name="Column11342"/>
    <tableColumn id="11357" xr3:uid="{1D48862E-9F1F-4C87-9E28-53A359751577}" name="Column11343"/>
    <tableColumn id="11358" xr3:uid="{3BBFCB3C-D166-4ED7-AADE-1D79E86C3D7A}" name="Column11344"/>
    <tableColumn id="11359" xr3:uid="{25BD070E-AE19-46BE-BFBC-53DF2050520C}" name="Column11345"/>
    <tableColumn id="11360" xr3:uid="{1DFBC96E-BDFD-4A42-9169-50E5AD7848B5}" name="Column11346"/>
    <tableColumn id="11361" xr3:uid="{908839FA-0692-4D27-8C7E-29D353285B6A}" name="Column11347"/>
    <tableColumn id="11362" xr3:uid="{FD03E15E-0D13-45DD-A9B1-3699CFF4D393}" name="Column11348"/>
    <tableColumn id="11363" xr3:uid="{40E5E350-0637-42D3-9C3A-69AEBA2A4748}" name="Column11349"/>
    <tableColumn id="11364" xr3:uid="{0967D05F-5C88-41FE-91E4-14A1DC83E1BB}" name="Column11350"/>
    <tableColumn id="11365" xr3:uid="{6894C94E-A00E-4203-AF0D-ABAF991E31EC}" name="Column11351"/>
    <tableColumn id="11366" xr3:uid="{61EBF999-E77E-434D-B4B5-639E472DBA8F}" name="Column11352"/>
    <tableColumn id="11367" xr3:uid="{F700D9BC-0BA7-4644-9363-8882C9DA0E83}" name="Column11353"/>
    <tableColumn id="11368" xr3:uid="{74881CC5-B08D-48E9-B8A6-A84F0D11480A}" name="Column11354"/>
    <tableColumn id="11369" xr3:uid="{6B7ABFA0-8604-464B-B316-EF2482E8D110}" name="Column11355"/>
    <tableColumn id="11370" xr3:uid="{A0E36894-FC7A-4993-B88E-F507F2A5D40A}" name="Column11356"/>
    <tableColumn id="11371" xr3:uid="{EFA3DCA9-84C5-4356-9579-53AD97B23EAA}" name="Column11357"/>
    <tableColumn id="11372" xr3:uid="{8767C73A-AE39-41E1-99BF-3030D522960A}" name="Column11358"/>
    <tableColumn id="11373" xr3:uid="{FDBAC1A9-9E2A-479B-8D2F-6C36CC6A052E}" name="Column11359"/>
    <tableColumn id="11374" xr3:uid="{86CC2119-92FF-4E61-8CDD-3FAE4E33D422}" name="Column11360"/>
    <tableColumn id="11375" xr3:uid="{6C41076E-EEEB-4800-9FE6-565AB77383C4}" name="Column11361"/>
    <tableColumn id="11376" xr3:uid="{E81DA5D6-88CC-47F6-A6A6-84B2176FABE8}" name="Column11362"/>
    <tableColumn id="11377" xr3:uid="{44C0093E-AF56-42F8-AD6F-B6D367239BE6}" name="Column11363"/>
    <tableColumn id="11378" xr3:uid="{71219030-8513-4FAF-935B-26EC3620F8AC}" name="Column11364"/>
    <tableColumn id="11379" xr3:uid="{40435122-53AF-4EE1-A3EE-FD2544B2C6B3}" name="Column11365"/>
    <tableColumn id="11380" xr3:uid="{161E86CC-FA0D-40F5-9059-0EC2AAFC311B}" name="Column11366"/>
    <tableColumn id="11381" xr3:uid="{1AD0FF8C-4754-4E95-8A36-5BD68FC3D070}" name="Column11367"/>
    <tableColumn id="11382" xr3:uid="{4D0A1DA6-1732-4907-A7EE-11F3EF1B8A8E}" name="Column11368"/>
    <tableColumn id="11383" xr3:uid="{D32033A2-3509-4A36-B91A-AF4BE3A31F31}" name="Column11369"/>
    <tableColumn id="11384" xr3:uid="{F4B7DAAC-442E-4E18-B31A-52D5604B4EA2}" name="Column11370"/>
    <tableColumn id="11385" xr3:uid="{BDD4677C-4AD3-4604-98EE-08E2400F1E41}" name="Column11371"/>
    <tableColumn id="11386" xr3:uid="{F180ECF2-A6DA-422B-9D29-D13EBD357E9B}" name="Column11372"/>
    <tableColumn id="11387" xr3:uid="{1E2208BE-7B19-46A7-96A0-1408C6C6A789}" name="Column11373"/>
    <tableColumn id="11388" xr3:uid="{BE87C694-6490-4D62-AAC9-765D0B620A0F}" name="Column11374"/>
    <tableColumn id="11389" xr3:uid="{F1229AFD-98F4-4F72-B681-E98EFBE2CABF}" name="Column11375"/>
    <tableColumn id="11390" xr3:uid="{39E23105-6553-4BC2-BF56-01D7F6393624}" name="Column11376"/>
    <tableColumn id="11391" xr3:uid="{909BED04-F75D-4715-BA16-61F1689FDED0}" name="Column11377"/>
    <tableColumn id="11392" xr3:uid="{3DA6813E-9602-43EE-AE15-0F02FF550F38}" name="Column11378"/>
    <tableColumn id="11393" xr3:uid="{89935E87-4A97-4A4C-9B37-B6C9F322BE46}" name="Column11379"/>
    <tableColumn id="11394" xr3:uid="{9D4005A5-5B90-41AB-87E9-80E3C344E562}" name="Column11380"/>
    <tableColumn id="11395" xr3:uid="{D947A375-2576-466A-B1A8-9945F6B82EF6}" name="Column11381"/>
    <tableColumn id="11396" xr3:uid="{267F52C4-7C32-454B-A30F-FF2E8BD646B4}" name="Column11382"/>
    <tableColumn id="11397" xr3:uid="{57A7BA91-2D20-42AB-9891-0DA33287E320}" name="Column11383"/>
    <tableColumn id="11398" xr3:uid="{8769A011-961E-4260-84FC-08F5A6C99955}" name="Column11384"/>
    <tableColumn id="11399" xr3:uid="{C4804EC4-CDD7-493E-836E-0120C37352C6}" name="Column11385"/>
    <tableColumn id="11400" xr3:uid="{FB1C5C62-E791-48E3-8458-B422D80E0530}" name="Column11386"/>
    <tableColumn id="11401" xr3:uid="{48451ECF-A25D-488F-9ED8-091E4A3C982B}" name="Column11387"/>
    <tableColumn id="11402" xr3:uid="{E3882BD9-E1C3-4D5A-8C94-DB779CCDE8C4}" name="Column11388"/>
    <tableColumn id="11403" xr3:uid="{63234DD2-21B0-4272-A022-9FE1DE4FB284}" name="Column11389"/>
    <tableColumn id="11404" xr3:uid="{81EF1FB9-1502-4AC4-B519-4C2929B54B34}" name="Column11390"/>
    <tableColumn id="11405" xr3:uid="{1C1C9717-51F6-4FC8-ACBF-ADF6DA7078D0}" name="Column11391"/>
    <tableColumn id="11406" xr3:uid="{2E186E49-C9B1-4DF2-86A6-EC7EF1F91622}" name="Column11392"/>
    <tableColumn id="11407" xr3:uid="{35736082-EAE5-482B-ABFD-9490A8DAA46E}" name="Column11393"/>
    <tableColumn id="11408" xr3:uid="{071FCF67-7CCF-4BA6-BA39-D5B6533D6AE3}" name="Column11394"/>
    <tableColumn id="11409" xr3:uid="{E3EF27DC-00DA-46BD-9A4D-5A0D5D550D9C}" name="Column11395"/>
    <tableColumn id="11410" xr3:uid="{780B2048-FD5E-42A2-AEA4-CC822C1B5BD1}" name="Column11396"/>
    <tableColumn id="11411" xr3:uid="{1A80ABA0-9ACE-42DD-B322-B60272EBF988}" name="Column11397"/>
    <tableColumn id="11412" xr3:uid="{541C16EC-EFCE-4A30-90F9-02659DDF4CED}" name="Column11398"/>
    <tableColumn id="11413" xr3:uid="{8C6A3BEE-72FA-4ADD-A45A-9620AE83B95C}" name="Column11399"/>
    <tableColumn id="11414" xr3:uid="{835E7398-B64F-4D71-8C77-FF8D3936F299}" name="Column11400"/>
    <tableColumn id="11415" xr3:uid="{78390A3D-9295-4C90-9181-DE21267D51E0}" name="Column11401"/>
    <tableColumn id="11416" xr3:uid="{558F4EA9-7BB9-4833-AB7D-D8B72BA7D2AC}" name="Column11402"/>
    <tableColumn id="11417" xr3:uid="{BA3C90AD-DC0C-4A6E-9A3A-89ED83FE353B}" name="Column11403"/>
    <tableColumn id="11418" xr3:uid="{387C7779-148D-4014-A771-2C237A76FE9F}" name="Column11404"/>
    <tableColumn id="11419" xr3:uid="{AC8B730B-FC73-4778-86F4-E5C073C5B30A}" name="Column11405"/>
    <tableColumn id="11420" xr3:uid="{11F3C3A8-3D33-450A-B093-36E1D4F73ECC}" name="Column11406"/>
    <tableColumn id="11421" xr3:uid="{95CBCDCB-2516-46F8-B6ED-CEEE852EF0EB}" name="Column11407"/>
    <tableColumn id="11422" xr3:uid="{777F222B-C0DB-46B0-BDAE-7BDF8D1AEA0A}" name="Column11408"/>
    <tableColumn id="11423" xr3:uid="{FDC8C3DE-078F-4CAE-AF8D-7843C354C7F7}" name="Column11409"/>
    <tableColumn id="11424" xr3:uid="{18C23E85-084F-4F1E-A25A-431AFE441D55}" name="Column11410"/>
    <tableColumn id="11425" xr3:uid="{DF46194E-D231-4774-B977-E8CEB2224834}" name="Column11411"/>
    <tableColumn id="11426" xr3:uid="{F01C6AD6-6FC5-42A8-817E-727D0A41DCB5}" name="Column11412"/>
    <tableColumn id="11427" xr3:uid="{62A40E15-D79B-45ED-B780-61DCD52664B9}" name="Column11413"/>
    <tableColumn id="11428" xr3:uid="{B65008EC-7006-4038-B268-225A7AAC5F75}" name="Column11414"/>
    <tableColumn id="11429" xr3:uid="{6A122D28-62B6-4612-B0B6-899A5887FC56}" name="Column11415"/>
    <tableColumn id="11430" xr3:uid="{9AF141CB-E988-4CA7-8593-6218423F0A16}" name="Column11416"/>
    <tableColumn id="11431" xr3:uid="{7755F29B-734A-4A31-81D2-180921FADCFC}" name="Column11417"/>
    <tableColumn id="11432" xr3:uid="{E14ECE24-A8AB-451D-BAE0-4D5BC777375C}" name="Column11418"/>
    <tableColumn id="11433" xr3:uid="{0347ECAD-7F0B-4B9A-A08E-67D3D17C4239}" name="Column11419"/>
    <tableColumn id="11434" xr3:uid="{C89E6159-7E4D-4720-B520-376EEFCFBD31}" name="Column11420"/>
    <tableColumn id="11435" xr3:uid="{6740902D-6BE9-4A1C-B769-60B260C7CC74}" name="Column11421"/>
    <tableColumn id="11436" xr3:uid="{1A6CFAC8-2659-4139-8DD3-CC859B4A5ADB}" name="Column11422"/>
    <tableColumn id="11437" xr3:uid="{7B0F75C2-655F-4160-B342-05D3D9EEA1A0}" name="Column11423"/>
    <tableColumn id="11438" xr3:uid="{0DCDFFCC-B2CB-4D55-ABD9-AA73D8C4F8BC}" name="Column11424"/>
    <tableColumn id="11439" xr3:uid="{14BD6A8D-4154-4E37-8124-415B47998A63}" name="Column11425"/>
    <tableColumn id="11440" xr3:uid="{D31D22BE-5B52-46E4-8E43-E4C5F44B4350}" name="Column11426"/>
    <tableColumn id="11441" xr3:uid="{151F6E3D-134A-4246-BD70-00D6563E06AE}" name="Column11427"/>
    <tableColumn id="11442" xr3:uid="{7573867C-C576-4788-A0A2-E9C83260F95A}" name="Column11428"/>
    <tableColumn id="11443" xr3:uid="{14BA1ADF-CEE2-46F9-8EA5-B5763FB00DEA}" name="Column11429"/>
    <tableColumn id="11444" xr3:uid="{E8C0C35C-E225-4515-9251-E12CBB2DA15A}" name="Column11430"/>
    <tableColumn id="11445" xr3:uid="{D83806FC-048F-4EAE-BD38-6F320ACFB1FB}" name="Column11431"/>
    <tableColumn id="11446" xr3:uid="{FD62F2FA-22C0-4F04-B608-523FC1C0DE34}" name="Column11432"/>
    <tableColumn id="11447" xr3:uid="{759B58C2-33A8-4087-A713-0FED0F02FA3A}" name="Column11433"/>
    <tableColumn id="11448" xr3:uid="{BC612FE5-AAED-4EF3-AC12-BEEBCA65235C}" name="Column11434"/>
    <tableColumn id="11449" xr3:uid="{76F31823-8CD4-4D1D-BB30-BD541D1848A7}" name="Column11435"/>
    <tableColumn id="11450" xr3:uid="{DCC8B0F8-36E5-49A5-B780-DF3C83DC40F3}" name="Column11436"/>
    <tableColumn id="11451" xr3:uid="{B73CDE0C-A685-41EF-B662-696FFA715378}" name="Column11437"/>
    <tableColumn id="11452" xr3:uid="{BEDBE7F0-768A-4F16-9C4A-449642F3533F}" name="Column11438"/>
    <tableColumn id="11453" xr3:uid="{0E029CE4-8023-4D14-92F7-348F3394DE24}" name="Column11439"/>
    <tableColumn id="11454" xr3:uid="{A6D9EAEE-9304-45DA-A4DA-C61D581A71DD}" name="Column11440"/>
    <tableColumn id="11455" xr3:uid="{08B910BC-6B18-49D1-87AE-DC5F137F307B}" name="Column11441"/>
    <tableColumn id="11456" xr3:uid="{CF500392-CEFF-4EC9-9303-3F5B99027303}" name="Column11442"/>
    <tableColumn id="11457" xr3:uid="{AED359F3-2B93-423A-B0A7-60A15B7707A3}" name="Column11443"/>
    <tableColumn id="11458" xr3:uid="{8B1DDA7E-9B3A-4079-858F-7D0E22788F06}" name="Column11444"/>
    <tableColumn id="11459" xr3:uid="{19BD64C0-E878-4574-83BB-7DD8E0D37725}" name="Column11445"/>
    <tableColumn id="11460" xr3:uid="{8C7E244B-6A9B-4B90-9EB1-0899589F56D3}" name="Column11446"/>
    <tableColumn id="11461" xr3:uid="{E5414BB3-BB7E-4C74-A157-54D35A98B306}" name="Column11447"/>
    <tableColumn id="11462" xr3:uid="{C4A1515A-50A4-43C2-A293-5AE9B58F2B87}" name="Column11448"/>
    <tableColumn id="11463" xr3:uid="{74EF0DDF-3CA8-4F84-98D1-644B2F7E9DED}" name="Column11449"/>
    <tableColumn id="11464" xr3:uid="{440397D2-484A-41DE-BC40-D38BB3A2EBE4}" name="Column11450"/>
    <tableColumn id="11465" xr3:uid="{F46BCFFD-4F80-4549-9678-785380398EC2}" name="Column11451"/>
    <tableColumn id="11466" xr3:uid="{D5A86E60-3FCA-485E-B559-830D63523877}" name="Column11452"/>
    <tableColumn id="11467" xr3:uid="{47EB7126-B098-411A-A583-D565EC9C9E06}" name="Column11453"/>
    <tableColumn id="11468" xr3:uid="{F7F6244B-78FD-4291-B838-15FE6F57F328}" name="Column11454"/>
    <tableColumn id="11469" xr3:uid="{9FD97482-EBDC-407F-AFCE-3E76E755B4C3}" name="Column11455"/>
    <tableColumn id="11470" xr3:uid="{06ED7F3D-BB96-4401-991A-9800EFD8048E}" name="Column11456"/>
    <tableColumn id="11471" xr3:uid="{BA0B4CE4-8CD3-44DE-BAC4-5FCE91D9B0C5}" name="Column11457"/>
    <tableColumn id="11472" xr3:uid="{B95FA1A2-A91A-417B-A8E7-9030107E7E09}" name="Column11458"/>
    <tableColumn id="11473" xr3:uid="{E2AC2A3A-3D2F-4CA2-B4B1-6255A05B8DAF}" name="Column11459"/>
    <tableColumn id="11474" xr3:uid="{AEB767A6-9F3D-4DA9-B6B5-2B9DA359F9E4}" name="Column11460"/>
    <tableColumn id="11475" xr3:uid="{FB298A2F-8DCB-46F7-9300-679D71A369E3}" name="Column11461"/>
    <tableColumn id="11476" xr3:uid="{774E5848-292E-4C52-876F-C7FA40782CC5}" name="Column11462"/>
    <tableColumn id="11477" xr3:uid="{4BAF662C-78CC-4D54-AD29-5A6DC015F767}" name="Column11463"/>
    <tableColumn id="11478" xr3:uid="{0FB2B455-17FC-44E7-92D9-7DC924A57272}" name="Column11464"/>
    <tableColumn id="11479" xr3:uid="{B57432FA-5B0D-4555-BEAA-2FD8AD6EA0B0}" name="Column11465"/>
    <tableColumn id="11480" xr3:uid="{CC342060-9C61-4257-85DE-3729FD543F4D}" name="Column11466"/>
    <tableColumn id="11481" xr3:uid="{43262276-AD10-45D3-B8DD-CB50DCA6D02D}" name="Column11467"/>
    <tableColumn id="11482" xr3:uid="{16A386B4-F142-4636-99E2-0309C249FD31}" name="Column11468"/>
    <tableColumn id="11483" xr3:uid="{D64473B6-D733-42A6-A3BD-F8E0A0DA25EF}" name="Column11469"/>
    <tableColumn id="11484" xr3:uid="{2958FEB6-3935-441C-B6C4-A7D5E7F287EE}" name="Column11470"/>
    <tableColumn id="11485" xr3:uid="{5DA63DE5-EF57-4EBB-8B75-6A43DDAB049E}" name="Column11471"/>
    <tableColumn id="11486" xr3:uid="{FBF9CF81-9F4B-41B7-AC21-EF5F128BC36D}" name="Column11472"/>
    <tableColumn id="11487" xr3:uid="{8BB23BE2-73A5-4CCF-8141-85F79F7C621A}" name="Column11473"/>
    <tableColumn id="11488" xr3:uid="{27677B81-7E96-4D32-8548-FD71387F5471}" name="Column11474"/>
    <tableColumn id="11489" xr3:uid="{DFD33943-2C13-4313-A458-842EFFAD0843}" name="Column11475"/>
    <tableColumn id="11490" xr3:uid="{29075817-2098-44CA-BDE7-5844CDE209B6}" name="Column11476"/>
    <tableColumn id="11491" xr3:uid="{01DC97A5-9C55-4C0D-9771-7473528CEF01}" name="Column11477"/>
    <tableColumn id="11492" xr3:uid="{65253514-CD27-4976-8F6A-3540AD3740EF}" name="Column11478"/>
    <tableColumn id="11493" xr3:uid="{5D7AD613-AFB5-41E5-8221-FE33E8877820}" name="Column11479"/>
    <tableColumn id="11494" xr3:uid="{38C9B978-B2CE-49BC-B276-60E08A7C0C8A}" name="Column11480"/>
    <tableColumn id="11495" xr3:uid="{C1BE1DBC-223D-406B-A682-4C61F7A15A63}" name="Column11481"/>
    <tableColumn id="11496" xr3:uid="{3083F17A-A2BA-49BE-97C0-A19BBB90B79F}" name="Column11482"/>
    <tableColumn id="11497" xr3:uid="{B3BC6152-294F-48E0-ADC2-B5B87995C749}" name="Column11483"/>
    <tableColumn id="11498" xr3:uid="{70CDA8AB-F0B2-4E24-84BF-C05E0A8A3B5E}" name="Column11484"/>
    <tableColumn id="11499" xr3:uid="{C3907B71-6823-4F3F-996A-C8785705635F}" name="Column11485"/>
    <tableColumn id="11500" xr3:uid="{1E2A3627-CAED-4231-9C32-1C7EC5D1D302}" name="Column11486"/>
    <tableColumn id="11501" xr3:uid="{20F51509-0B4E-48A0-8100-658A0E558B67}" name="Column11487"/>
    <tableColumn id="11502" xr3:uid="{89A6D563-FD08-4B02-888F-05CBAD78A170}" name="Column11488"/>
    <tableColumn id="11503" xr3:uid="{0C420655-2E23-4AC1-A63E-1340195307C4}" name="Column11489"/>
    <tableColumn id="11504" xr3:uid="{8256D555-A27C-473E-8572-A262364900DB}" name="Column11490"/>
    <tableColumn id="11505" xr3:uid="{0D2E1C2A-2D4A-4681-81AD-1D3108D04567}" name="Column11491"/>
    <tableColumn id="11506" xr3:uid="{B48F49B0-2497-48A9-A649-7F7D3F8F24A0}" name="Column11492"/>
    <tableColumn id="11507" xr3:uid="{E0E66A45-9EAD-48C4-B573-3AC7A088A136}" name="Column11493"/>
    <tableColumn id="11508" xr3:uid="{74386B3C-9064-4D30-AB58-38652B918CFD}" name="Column11494"/>
    <tableColumn id="11509" xr3:uid="{7450C641-4634-48A3-9027-C28C6EFD62DD}" name="Column11495"/>
    <tableColumn id="11510" xr3:uid="{83451A28-BA2A-4FAC-9BF5-F320E5D33B69}" name="Column11496"/>
    <tableColumn id="11511" xr3:uid="{9F70DF50-D2E2-417E-B7F6-B1541CD267B7}" name="Column11497"/>
    <tableColumn id="11512" xr3:uid="{A9250FF9-85D9-425D-AEF7-6DBC7251C1EF}" name="Column11498"/>
    <tableColumn id="11513" xr3:uid="{51BBFE87-90F5-47A0-BE5A-B91680585ACD}" name="Column11499"/>
    <tableColumn id="11514" xr3:uid="{2AFF53F8-B5E1-41FC-B074-AFDAB94668B4}" name="Column11500"/>
    <tableColumn id="11515" xr3:uid="{B375E4AA-B600-415C-9A22-4991E6C05035}" name="Column11501"/>
    <tableColumn id="11516" xr3:uid="{493A8485-2899-4733-950D-8FAFACF7B0BA}" name="Column11502"/>
    <tableColumn id="11517" xr3:uid="{1A38B302-F479-44D7-BB26-661B667CA6B1}" name="Column11503"/>
    <tableColumn id="11518" xr3:uid="{427F72F7-1562-4496-9CF2-393EDB664B71}" name="Column11504"/>
    <tableColumn id="11519" xr3:uid="{1FCA44DD-ED50-45EE-B8AA-ED4488FFE632}" name="Column11505"/>
    <tableColumn id="11520" xr3:uid="{E09D2C88-4719-4AC7-B9D8-DD1D4E4C0BF2}" name="Column11506"/>
    <tableColumn id="11521" xr3:uid="{6D1D2F38-8918-4111-B35B-C42F9A192659}" name="Column11507"/>
    <tableColumn id="11522" xr3:uid="{9279C657-5E6A-48F1-92B3-66A689C4E02F}" name="Column11508"/>
    <tableColumn id="11523" xr3:uid="{BCF83225-E317-4264-A029-3D51AA4CB381}" name="Column11509"/>
    <tableColumn id="11524" xr3:uid="{197202C5-32AD-4D83-BCED-BE58341B774E}" name="Column11510"/>
    <tableColumn id="11525" xr3:uid="{60328FC9-5260-45DF-8B36-510127DCAC19}" name="Column11511"/>
    <tableColumn id="11526" xr3:uid="{3ED7E290-6CF3-4C42-B0F7-3AC89E1C160F}" name="Column11512"/>
    <tableColumn id="11527" xr3:uid="{0A1EB29B-8379-4126-B8CF-30E0AE7B11C8}" name="Column11513"/>
    <tableColumn id="11528" xr3:uid="{361EEBD7-69C2-48D8-9BAD-CC2AD24A9BD2}" name="Column11514"/>
    <tableColumn id="11529" xr3:uid="{ED59DC3A-1E70-4493-A7E4-21B5629FCB0D}" name="Column11515"/>
    <tableColumn id="11530" xr3:uid="{E0CA0A8D-F784-4C55-BCA9-1DDA6F9F2268}" name="Column11516"/>
    <tableColumn id="11531" xr3:uid="{E06F75B1-8A4A-46A8-A083-7A4086D436E4}" name="Column11517"/>
    <tableColumn id="11532" xr3:uid="{9035CFCC-31C8-4AF3-B19B-B0F7016C5CB6}" name="Column11518"/>
    <tableColumn id="11533" xr3:uid="{74EBA280-F811-4FC5-882E-6DA159D3C129}" name="Column11519"/>
    <tableColumn id="11534" xr3:uid="{C1E7E576-BB13-479D-9E07-F2661C7CC40F}" name="Column11520"/>
    <tableColumn id="11535" xr3:uid="{0BBD323A-F546-450C-AC7C-F877C3B1D426}" name="Column11521"/>
    <tableColumn id="11536" xr3:uid="{5D2A9CB8-53A4-4F6B-81FC-C7896466D6C7}" name="Column11522"/>
    <tableColumn id="11537" xr3:uid="{FFD87015-983F-4E93-AC71-EEC80940F971}" name="Column11523"/>
    <tableColumn id="11538" xr3:uid="{95313D0D-CAE7-4DA4-8E8F-A7E1F728746D}" name="Column11524"/>
    <tableColumn id="11539" xr3:uid="{F64CAC84-705B-4EDE-82C4-FB28B428DE52}" name="Column11525"/>
    <tableColumn id="11540" xr3:uid="{A5C4FAA8-4829-4874-9F45-3AB462805E68}" name="Column11526"/>
    <tableColumn id="11541" xr3:uid="{67F693A7-8664-4A20-8B59-6C69D3CCAE11}" name="Column11527"/>
    <tableColumn id="11542" xr3:uid="{3EC10F48-F0BF-4C1C-8A72-B857DC88B754}" name="Column11528"/>
    <tableColumn id="11543" xr3:uid="{33A62A73-C545-48B3-95A3-6753F28A555D}" name="Column11529"/>
    <tableColumn id="11544" xr3:uid="{BD91F664-D368-4B80-B2EE-DF86D8EF3D66}" name="Column11530"/>
    <tableColumn id="11545" xr3:uid="{613BEF30-756E-47EA-AB76-43F542CB3AE0}" name="Column11531"/>
    <tableColumn id="11546" xr3:uid="{F56A6295-7755-448F-ACCE-96FF2899F487}" name="Column11532"/>
    <tableColumn id="11547" xr3:uid="{286B0EDA-132C-4E39-9A6C-7E2E35B4EFCD}" name="Column11533"/>
    <tableColumn id="11548" xr3:uid="{8582FF7E-9FC2-4189-B631-3100588D5483}" name="Column11534"/>
    <tableColumn id="11549" xr3:uid="{0AB769FE-A86E-420E-BF9D-C30BF3D3DCF1}" name="Column11535"/>
    <tableColumn id="11550" xr3:uid="{4A5B8C68-16BA-4275-B70F-1459A8A8518B}" name="Column11536"/>
    <tableColumn id="11551" xr3:uid="{0E98658A-0C05-4DF0-BA73-5CE2EEEC4F4B}" name="Column11537"/>
    <tableColumn id="11552" xr3:uid="{1550B2F1-CAF4-44AD-9DA4-32288EF6ABC8}" name="Column11538"/>
    <tableColumn id="11553" xr3:uid="{ADDB9DA9-F4EA-474A-8658-C71C56BF880D}" name="Column11539"/>
    <tableColumn id="11554" xr3:uid="{D23FA073-C4B2-4988-806D-6ECEFED03EF2}" name="Column11540"/>
    <tableColumn id="11555" xr3:uid="{15C70977-4D50-4538-A250-A8EF158A93F3}" name="Column11541"/>
    <tableColumn id="11556" xr3:uid="{940E6204-C157-48D8-9952-21ACC14DD98B}" name="Column11542"/>
    <tableColumn id="11557" xr3:uid="{B9B249F0-E8E3-46F9-B074-A8821AABCAA1}" name="Column11543"/>
    <tableColumn id="11558" xr3:uid="{58573795-C61E-4D1F-B2BF-9B2899E44BAA}" name="Column11544"/>
    <tableColumn id="11559" xr3:uid="{1538AC9A-9E87-4A76-982B-8CEA1BFF2E7C}" name="Column11545"/>
    <tableColumn id="11560" xr3:uid="{281239EE-673A-4EA7-810C-D0793105624E}" name="Column11546"/>
    <tableColumn id="11561" xr3:uid="{D06433B1-B44C-4665-880D-7E3AB259B565}" name="Column11547"/>
    <tableColumn id="11562" xr3:uid="{83B738ED-1FCD-47A6-905B-81DA1205C6F3}" name="Column11548"/>
    <tableColumn id="11563" xr3:uid="{A8EF10E9-A83B-42DF-BBDD-C969DE25DDA6}" name="Column11549"/>
    <tableColumn id="11564" xr3:uid="{1467B478-B216-45B9-B17E-EDFFA050D4F1}" name="Column11550"/>
    <tableColumn id="11565" xr3:uid="{8FFB5EBF-6546-4F5C-90ED-4670F787FE3A}" name="Column11551"/>
    <tableColumn id="11566" xr3:uid="{9BE08C55-A04A-4E92-8EA1-9786EA555C7F}" name="Column11552"/>
    <tableColumn id="11567" xr3:uid="{6D041861-07B6-4BB8-B887-B860BF183864}" name="Column11553"/>
    <tableColumn id="11568" xr3:uid="{3A42C336-95BB-4C54-AFAC-C7907087FF06}" name="Column11554"/>
    <tableColumn id="11569" xr3:uid="{4F134BAC-AE79-44D7-8EBD-F4B3D86AA6CC}" name="Column11555"/>
    <tableColumn id="11570" xr3:uid="{14793B83-92B4-43DA-A289-69B6956ED550}" name="Column11556"/>
    <tableColumn id="11571" xr3:uid="{F540ED99-176D-4D66-85B1-2EB81EEDF16B}" name="Column11557"/>
    <tableColumn id="11572" xr3:uid="{8838635E-9F9F-4219-BAC4-7F343C6A82D7}" name="Column11558"/>
    <tableColumn id="11573" xr3:uid="{3E76FAB5-A1F5-4417-873E-2CFAFA9F3807}" name="Column11559"/>
    <tableColumn id="11574" xr3:uid="{871AD45A-A2FC-40BE-AC78-7154C004BD61}" name="Column11560"/>
    <tableColumn id="11575" xr3:uid="{67896C91-2307-46BB-ACD7-A111EF41CD1A}" name="Column11561"/>
    <tableColumn id="11576" xr3:uid="{EF1217C0-E473-4BEF-9B2C-46D16AF63929}" name="Column11562"/>
    <tableColumn id="11577" xr3:uid="{B0E57FAB-D79A-44CD-A92F-EF1BD842F0AE}" name="Column11563"/>
    <tableColumn id="11578" xr3:uid="{A3385D0B-745A-4733-9632-C6C963B14CAB}" name="Column11564"/>
    <tableColumn id="11579" xr3:uid="{72CCD74D-91C7-4875-929E-3769CC0CAFDD}" name="Column11565"/>
    <tableColumn id="11580" xr3:uid="{C5B2F916-5F61-4779-BC37-C18DBA11FCBC}" name="Column11566"/>
    <tableColumn id="11581" xr3:uid="{7A6E552B-65AD-444C-8209-58A4EDC233AB}" name="Column11567"/>
    <tableColumn id="11582" xr3:uid="{84EEC0C3-B5B7-4B38-9F16-2B3896C1746C}" name="Column11568"/>
    <tableColumn id="11583" xr3:uid="{756835E2-4C0D-498C-B030-C34E30910A34}" name="Column11569"/>
    <tableColumn id="11584" xr3:uid="{90F6C90F-A60D-4C68-B224-1A5030943650}" name="Column11570"/>
    <tableColumn id="11585" xr3:uid="{B431E276-A9FD-47B9-B838-0D00FA46C34F}" name="Column11571"/>
    <tableColumn id="11586" xr3:uid="{612BE431-5284-477D-BE04-FCF3B0B38BF7}" name="Column11572"/>
    <tableColumn id="11587" xr3:uid="{4A3C13BB-F0A4-44C2-A931-6EECBF9AAE78}" name="Column11573"/>
    <tableColumn id="11588" xr3:uid="{E437BCCC-80D6-428E-8BEF-EB23DACB6541}" name="Column11574"/>
    <tableColumn id="11589" xr3:uid="{61B257BC-929D-4F19-B486-A6B4947FDB68}" name="Column11575"/>
    <tableColumn id="11590" xr3:uid="{496A5006-0FA8-4862-9547-ED4C8634AEFD}" name="Column11576"/>
    <tableColumn id="11591" xr3:uid="{CA6406A2-E892-4B39-A07C-AF8B6A1D8131}" name="Column11577"/>
    <tableColumn id="11592" xr3:uid="{DE2AB35A-32EC-42EF-A8D7-33BB1310A69B}" name="Column11578"/>
    <tableColumn id="11593" xr3:uid="{AABB0BA3-C72B-4013-8B79-E9C3C005EF53}" name="Column11579"/>
    <tableColumn id="11594" xr3:uid="{AE6856FC-E033-4EEF-925B-425EC5FCE0E3}" name="Column11580"/>
    <tableColumn id="11595" xr3:uid="{41D3CCEA-A244-4F49-A8E6-C4239AC4BCDF}" name="Column11581"/>
    <tableColumn id="11596" xr3:uid="{76EC1193-F369-4A2A-BF45-BA158C68906D}" name="Column11582"/>
    <tableColumn id="11597" xr3:uid="{4059C8F7-E860-42AA-978C-35DE3637F8A4}" name="Column11583"/>
    <tableColumn id="11598" xr3:uid="{5A467DE6-8E9B-4521-8C45-655DEDFD61ED}" name="Column11584"/>
    <tableColumn id="11599" xr3:uid="{0E87DB27-4841-4767-8CC5-8FFEC66FF43D}" name="Column11585"/>
    <tableColumn id="11600" xr3:uid="{EC39050B-7571-4A9F-9B69-6BA01D1B44EC}" name="Column11586"/>
    <tableColumn id="11601" xr3:uid="{03BF46BD-D52B-47C6-A744-3E0ADB2E09D4}" name="Column11587"/>
    <tableColumn id="11602" xr3:uid="{DEC34CE9-AA73-48EA-A912-6DDCDEDDFB90}" name="Column11588"/>
    <tableColumn id="11603" xr3:uid="{E6FD126A-171B-4714-87A5-A08C2E47535D}" name="Column11589"/>
    <tableColumn id="11604" xr3:uid="{12AA4A74-9092-4FA1-B3ED-6402DFF445DE}" name="Column11590"/>
    <tableColumn id="11605" xr3:uid="{D42D24C9-2B8C-4158-9253-0F942275F60D}" name="Column11591"/>
    <tableColumn id="11606" xr3:uid="{39F0ADA0-0E8A-4604-B4B0-E9BD831D5172}" name="Column11592"/>
    <tableColumn id="11607" xr3:uid="{0205D1AD-F790-4723-BCA5-20B422A25CFC}" name="Column11593"/>
    <tableColumn id="11608" xr3:uid="{CE1B966E-AFED-4535-AAA1-20B44A21FE18}" name="Column11594"/>
    <tableColumn id="11609" xr3:uid="{EF1AE7F7-36ED-42AF-B019-0A9981F09BDB}" name="Column11595"/>
    <tableColumn id="11610" xr3:uid="{43CC2688-93C3-4E2E-B602-3F4A9254BCFA}" name="Column11596"/>
    <tableColumn id="11611" xr3:uid="{7471DF0B-4EE7-4ABE-98B9-E58D37053BD9}" name="Column11597"/>
    <tableColumn id="11612" xr3:uid="{33EA594A-62E4-4705-80FC-D9F1AA2EB3FF}" name="Column11598"/>
    <tableColumn id="11613" xr3:uid="{775B9E93-DA69-41D0-A050-117550F85E7F}" name="Column11599"/>
    <tableColumn id="11614" xr3:uid="{852EA643-AA03-494D-A4B1-9B3A672C2B32}" name="Column11600"/>
    <tableColumn id="11615" xr3:uid="{90481509-6438-45DF-94A2-3B3E9DB1CA97}" name="Column11601"/>
    <tableColumn id="11616" xr3:uid="{29D3A079-EC03-4667-9C3F-69B623F04255}" name="Column11602"/>
    <tableColumn id="11617" xr3:uid="{B65986EF-1904-4FD3-8633-53D2C0FB5B12}" name="Column11603"/>
    <tableColumn id="11618" xr3:uid="{69FF0C0D-D5C8-4E47-AA90-F97615D5FD4F}" name="Column11604"/>
    <tableColumn id="11619" xr3:uid="{FE7B9F69-E073-419C-9057-A50F42C58735}" name="Column11605"/>
    <tableColumn id="11620" xr3:uid="{D9A9FC4A-56CA-4B77-8573-655631D6F184}" name="Column11606"/>
    <tableColumn id="11621" xr3:uid="{AE6096EF-6176-41DF-9577-590DEB21549A}" name="Column11607"/>
    <tableColumn id="11622" xr3:uid="{08EEFDFB-36FD-481D-89DE-05F26D8F0355}" name="Column11608"/>
    <tableColumn id="11623" xr3:uid="{DEAE1CB0-DE05-4993-9720-13FEB0B0BCC7}" name="Column11609"/>
    <tableColumn id="11624" xr3:uid="{25AA048D-FB10-41DB-8F91-344E0D3E0AE4}" name="Column11610"/>
    <tableColumn id="11625" xr3:uid="{5DFE7C2A-10C4-4B49-8722-268D009AE51A}" name="Column11611"/>
    <tableColumn id="11626" xr3:uid="{38317F4A-3BD5-4575-B33A-97DABA39CA18}" name="Column11612"/>
    <tableColumn id="11627" xr3:uid="{0DDDFDC4-A2D1-4535-9BE3-8905444EA9DD}" name="Column11613"/>
    <tableColumn id="11628" xr3:uid="{7FA6E140-8789-4853-8B94-41F16B5C92CD}" name="Column11614"/>
    <tableColumn id="11629" xr3:uid="{5261FD6C-A646-4AB2-92A9-E518C0769123}" name="Column11615"/>
    <tableColumn id="11630" xr3:uid="{22573035-CD51-4B64-B9E2-A0B1187014A2}" name="Column11616"/>
    <tableColumn id="11631" xr3:uid="{AB202D9B-31E5-4F6F-8150-DEC0307B0D9F}" name="Column11617"/>
    <tableColumn id="11632" xr3:uid="{9733640E-4740-40F2-80E7-ACB641CBA9E1}" name="Column11618"/>
    <tableColumn id="11633" xr3:uid="{761D14B4-586D-48B5-A5A1-78B8156D4C3A}" name="Column11619"/>
    <tableColumn id="11634" xr3:uid="{5E8D3724-2A95-476D-9F92-BC1B1F8F6E7E}" name="Column11620"/>
    <tableColumn id="11635" xr3:uid="{9C99D389-438C-49DD-9F4D-88CBA028D7DF}" name="Column11621"/>
    <tableColumn id="11636" xr3:uid="{8D541D08-96A0-4FCA-A3D9-434900E70A08}" name="Column11622"/>
    <tableColumn id="11637" xr3:uid="{EA42032E-CE9F-4756-A4A1-D7BF61F57FD6}" name="Column11623"/>
    <tableColumn id="11638" xr3:uid="{D64C9D14-9707-4ADE-8B6B-E4BEB10F5DDB}" name="Column11624"/>
    <tableColumn id="11639" xr3:uid="{B12D5E46-CDFA-4332-8560-14EFD2770BFF}" name="Column11625"/>
    <tableColumn id="11640" xr3:uid="{6B8BD179-33C7-47CA-9803-3192E5909148}" name="Column11626"/>
    <tableColumn id="11641" xr3:uid="{3392ED32-DBF5-4F0F-B031-D3024C8B33DC}" name="Column11627"/>
    <tableColumn id="11642" xr3:uid="{04A710AB-1A8F-4E0E-9C68-17F58663E85B}" name="Column11628"/>
    <tableColumn id="11643" xr3:uid="{946E492B-F11A-457B-BE24-1A97FFA33027}" name="Column11629"/>
    <tableColumn id="11644" xr3:uid="{1D1E1DE1-A49B-4FD7-9284-74F7794084B8}" name="Column11630"/>
    <tableColumn id="11645" xr3:uid="{E060F5F1-9D78-4064-BD6E-A757C1968170}" name="Column11631"/>
    <tableColumn id="11646" xr3:uid="{353A83F9-2713-46B8-95DA-A698A56685A6}" name="Column11632"/>
    <tableColumn id="11647" xr3:uid="{CE01948F-1A76-422C-9C71-8DB2877B2F60}" name="Column11633"/>
    <tableColumn id="11648" xr3:uid="{3B3CBFA1-EDAA-4A57-8795-196CEA1DF4BF}" name="Column11634"/>
    <tableColumn id="11649" xr3:uid="{62D2B200-A898-4F5E-8ECE-96CAB8B26947}" name="Column11635"/>
    <tableColumn id="11650" xr3:uid="{99A14AE2-FE71-4C21-8F73-8A4E948D649D}" name="Column11636"/>
    <tableColumn id="11651" xr3:uid="{B7BC1221-0277-4F34-B8D2-EE203C5D1827}" name="Column11637"/>
    <tableColumn id="11652" xr3:uid="{1A626B7B-C551-4033-B88A-1B6DCC2B5FDD}" name="Column11638"/>
    <tableColumn id="11653" xr3:uid="{1E37D5AE-37D4-40CB-BA75-35914AD3DF35}" name="Column11639"/>
    <tableColumn id="11654" xr3:uid="{310140A7-A4E3-4D23-BAF9-85A3E1313F1D}" name="Column11640"/>
    <tableColumn id="11655" xr3:uid="{5EB3F1B5-3967-4F6D-846A-3FD7301D5B6F}" name="Column11641"/>
    <tableColumn id="11656" xr3:uid="{E8A6944F-B61B-4F0B-8B27-25EC1D6A7B62}" name="Column11642"/>
    <tableColumn id="11657" xr3:uid="{8306FB27-349E-48D3-88E2-6DEDB3CFF40F}" name="Column11643"/>
    <tableColumn id="11658" xr3:uid="{6AF901A1-365A-4AB0-80EE-B76D20376DA4}" name="Column11644"/>
    <tableColumn id="11659" xr3:uid="{5F02F003-29F4-4BE3-AA3C-F00C20A0F3C5}" name="Column11645"/>
    <tableColumn id="11660" xr3:uid="{0F2D7A17-12F4-46AE-87A5-05FF97E38FF0}" name="Column11646"/>
    <tableColumn id="11661" xr3:uid="{B4AB0889-94C8-4742-A312-F24672DA7FF1}" name="Column11647"/>
    <tableColumn id="11662" xr3:uid="{99DD9653-1952-4C52-9C4D-72DB751DD197}" name="Column11648"/>
    <tableColumn id="11663" xr3:uid="{7A2B1548-4EA8-4489-8700-CD400AA6319D}" name="Column11649"/>
    <tableColumn id="11664" xr3:uid="{02527D7D-1714-456F-85F2-135ED5DD184C}" name="Column11650"/>
    <tableColumn id="11665" xr3:uid="{CD28B156-4099-4D18-B74E-8F98DE4628EB}" name="Column11651"/>
    <tableColumn id="11666" xr3:uid="{D807320C-5031-4BE1-A57C-9EF0706FF2F0}" name="Column11652"/>
    <tableColumn id="11667" xr3:uid="{0BAF9D71-A280-4BCE-AF05-C8D319886A8B}" name="Column11653"/>
    <tableColumn id="11668" xr3:uid="{B3D3AF1E-483B-4535-A223-10727D661754}" name="Column11654"/>
    <tableColumn id="11669" xr3:uid="{7E47C521-76A7-4470-8707-D8D27E0A8443}" name="Column11655"/>
    <tableColumn id="11670" xr3:uid="{DDD21EA7-4950-426A-B22B-73640A3B32D9}" name="Column11656"/>
    <tableColumn id="11671" xr3:uid="{500E2782-DAAE-43FE-B213-A37DBC3CB82D}" name="Column11657"/>
    <tableColumn id="11672" xr3:uid="{79C994F6-9560-4209-8501-6FBC9E912F8E}" name="Column11658"/>
    <tableColumn id="11673" xr3:uid="{0AF7ED50-C59E-49D5-BBC2-AFDBDEC4253D}" name="Column11659"/>
    <tableColumn id="11674" xr3:uid="{23F39FA8-920F-4439-89C6-28E013F20EEE}" name="Column11660"/>
    <tableColumn id="11675" xr3:uid="{58932DE5-5791-4973-B36E-00FAB1D94F75}" name="Column11661"/>
    <tableColumn id="11676" xr3:uid="{BA66973D-65D2-41D7-8E0F-B6718E084E3F}" name="Column11662"/>
    <tableColumn id="11677" xr3:uid="{F0050F30-239F-4AB2-B93C-2D22839E68E9}" name="Column11663"/>
    <tableColumn id="11678" xr3:uid="{1F1B097D-8111-4077-9F4F-EBF34ABA7495}" name="Column11664"/>
    <tableColumn id="11679" xr3:uid="{4F49F314-8047-445C-936E-095896B8E556}" name="Column11665"/>
    <tableColumn id="11680" xr3:uid="{AB49B7BB-7D31-4736-9542-698B5DD07A34}" name="Column11666"/>
    <tableColumn id="11681" xr3:uid="{BC122AB9-8941-4AAB-98AF-2D267312578A}" name="Column11667"/>
    <tableColumn id="11682" xr3:uid="{8BEAFD28-EEC4-4712-849F-F697E2058E39}" name="Column11668"/>
    <tableColumn id="11683" xr3:uid="{A26A02E4-35B8-4642-9279-153745A52909}" name="Column11669"/>
    <tableColumn id="11684" xr3:uid="{E58C46D1-9461-4FBD-9E55-033FBA141740}" name="Column11670"/>
    <tableColumn id="11685" xr3:uid="{6F00D8B8-51DE-4A74-8CEC-52BBB8741463}" name="Column11671"/>
    <tableColumn id="11686" xr3:uid="{D855980B-880E-438F-91AC-D62AD6E378BB}" name="Column11672"/>
    <tableColumn id="11687" xr3:uid="{153459EC-C7A0-4A8C-BAA2-3D6A1F31A065}" name="Column11673"/>
    <tableColumn id="11688" xr3:uid="{68F4639E-0463-4AAA-9F0A-EEBF21AE88ED}" name="Column11674"/>
    <tableColumn id="11689" xr3:uid="{52DBAFDA-9369-4ED4-9F3A-CF8C571180AA}" name="Column11675"/>
    <tableColumn id="11690" xr3:uid="{C5C4A788-50A0-4EB3-80B6-C432C24C6A02}" name="Column11676"/>
    <tableColumn id="11691" xr3:uid="{20CEE78B-D30F-463E-9882-52C92D3E6AF8}" name="Column11677"/>
    <tableColumn id="11692" xr3:uid="{03FCE43A-2A33-4D5C-B8F0-BC9C54E9F09F}" name="Column11678"/>
    <tableColumn id="11693" xr3:uid="{D711AD6D-63A5-45C7-BFA2-992778C5FEF1}" name="Column11679"/>
    <tableColumn id="11694" xr3:uid="{ECFAADDE-6840-4C5C-B5AB-BF4CC827DAEA}" name="Column11680"/>
    <tableColumn id="11695" xr3:uid="{9E23E192-AF00-4BE0-9ECA-670EDADE0888}" name="Column11681"/>
    <tableColumn id="11696" xr3:uid="{63A653EF-20D8-4C77-BB01-19788C94C210}" name="Column11682"/>
    <tableColumn id="11697" xr3:uid="{24CC7EE4-8157-4AA9-8B85-D3E8514C8FF9}" name="Column11683"/>
    <tableColumn id="11698" xr3:uid="{9CF4268B-5BE6-468B-92B0-691BBEFCFA82}" name="Column11684"/>
    <tableColumn id="11699" xr3:uid="{08EDD194-C0FC-4F2C-BA17-1CCA55F8D418}" name="Column11685"/>
    <tableColumn id="11700" xr3:uid="{CE8728FE-55F4-409A-B0A3-DBF72D26E1B0}" name="Column11686"/>
    <tableColumn id="11701" xr3:uid="{F9A5A4C2-E17B-4118-8E64-595098E33801}" name="Column11687"/>
    <tableColumn id="11702" xr3:uid="{20CA5E67-4D47-417D-899B-F64CCCE51BE7}" name="Column11688"/>
    <tableColumn id="11703" xr3:uid="{6F7371B6-0300-414A-8276-8E80FB15CD0C}" name="Column11689"/>
    <tableColumn id="11704" xr3:uid="{D241CB8A-4A09-4356-80BE-EB430DC85DCE}" name="Column11690"/>
    <tableColumn id="11705" xr3:uid="{9D72A770-4231-4570-A436-51C0718C5F15}" name="Column11691"/>
    <tableColumn id="11706" xr3:uid="{CCE54B23-474C-421D-8BC3-033F6A867D19}" name="Column11692"/>
    <tableColumn id="11707" xr3:uid="{578B5176-EA8E-4D7E-B40D-039C43E333C7}" name="Column11693"/>
    <tableColumn id="11708" xr3:uid="{D6D95937-D4D9-4C0D-A237-B15D98B72CEC}" name="Column11694"/>
    <tableColumn id="11709" xr3:uid="{FA8C5DEF-58E1-4299-9DFF-CEC6FB743263}" name="Column11695"/>
    <tableColumn id="11710" xr3:uid="{ECF79DB7-83EB-4859-80D0-90250956AA54}" name="Column11696"/>
    <tableColumn id="11711" xr3:uid="{4298803B-43A4-4031-BE24-A619F27F52E9}" name="Column11697"/>
    <tableColumn id="11712" xr3:uid="{4DDD8A98-EA60-4EBA-B942-5F405707F7F9}" name="Column11698"/>
    <tableColumn id="11713" xr3:uid="{A6343DDC-2923-43CA-B9EE-7C7E015DBD91}" name="Column11699"/>
    <tableColumn id="11714" xr3:uid="{53B8186B-C8AF-4857-B4C2-4C536783AEBD}" name="Column11700"/>
    <tableColumn id="11715" xr3:uid="{6AC7DAE5-7A6A-46B8-99C2-E2FEC836928D}" name="Column11701"/>
    <tableColumn id="11716" xr3:uid="{FBDB9896-F13C-4239-A55B-F822EFA71D44}" name="Column11702"/>
    <tableColumn id="11717" xr3:uid="{CA0DB906-D7B8-4459-95F3-65F8B4FB977C}" name="Column11703"/>
    <tableColumn id="11718" xr3:uid="{6A8366CD-7878-405D-B251-CDBB728E5944}" name="Column11704"/>
    <tableColumn id="11719" xr3:uid="{CD366804-7438-4420-A1D2-DACBA71B394E}" name="Column11705"/>
    <tableColumn id="11720" xr3:uid="{B3FBC7F9-DED7-4B40-8B4F-5500E038377C}" name="Column11706"/>
    <tableColumn id="11721" xr3:uid="{4CAF5F9B-5E8B-40A6-A5BF-45D4A5DFFB8F}" name="Column11707"/>
    <tableColumn id="11722" xr3:uid="{507A14DF-F2F1-4604-B7B1-01112A98A623}" name="Column11708"/>
    <tableColumn id="11723" xr3:uid="{899F10D1-6CFF-43BE-A91A-55192009A13D}" name="Column11709"/>
    <tableColumn id="11724" xr3:uid="{C7D15D9B-96C4-452E-8AB5-BE351417A0A9}" name="Column11710"/>
    <tableColumn id="11725" xr3:uid="{CC6C4C05-4CC6-4703-AD8B-1A0E5D0901A3}" name="Column11711"/>
    <tableColumn id="11726" xr3:uid="{0C013609-F611-4B1A-B99A-E27EED655389}" name="Column11712"/>
    <tableColumn id="11727" xr3:uid="{77ECED11-7771-477F-AAB0-28D8D4E575E4}" name="Column11713"/>
    <tableColumn id="11728" xr3:uid="{1AAD8F05-A419-4BA8-B2EB-822B420BC89E}" name="Column11714"/>
    <tableColumn id="11729" xr3:uid="{E420C1A2-1F70-4FC3-BA1B-38E85BADB1B6}" name="Column11715"/>
    <tableColumn id="11730" xr3:uid="{56A4EE0C-3A6C-4C61-975F-A5DB4D0DF951}" name="Column11716"/>
    <tableColumn id="11731" xr3:uid="{9708F53A-9A92-4278-A6AC-A1798640D280}" name="Column11717"/>
    <tableColumn id="11732" xr3:uid="{FDB3B6FC-05BC-4BCB-B6E8-572BBE01F209}" name="Column11718"/>
    <tableColumn id="11733" xr3:uid="{A8EE3248-F008-49E7-92E7-B96E993D2324}" name="Column11719"/>
    <tableColumn id="11734" xr3:uid="{168B1114-54CB-429A-A130-D9A4BCD31EB6}" name="Column11720"/>
    <tableColumn id="11735" xr3:uid="{88C1FF70-1267-4F7E-A76F-F704D9A6B0B0}" name="Column11721"/>
    <tableColumn id="11736" xr3:uid="{AA4A3702-FD44-4A5C-AAD7-3E9FF889899A}" name="Column11722"/>
    <tableColumn id="11737" xr3:uid="{83E20FB0-EA6F-42FD-BD19-2DD8D42F1ED0}" name="Column11723"/>
    <tableColumn id="11738" xr3:uid="{9BB0546D-67BA-41CE-BA43-97ABFEB9BDC0}" name="Column11724"/>
    <tableColumn id="11739" xr3:uid="{371ADBAC-07B4-425F-9665-B425BBAB5B50}" name="Column11725"/>
    <tableColumn id="11740" xr3:uid="{823BE5EE-ED24-4D92-98B5-02B3063D1EF8}" name="Column11726"/>
    <tableColumn id="11741" xr3:uid="{FC9D5E74-D084-48E8-9BD9-961D008F8A89}" name="Column11727"/>
    <tableColumn id="11742" xr3:uid="{1684C56B-E4E7-485B-9D52-761C94A09425}" name="Column11728"/>
    <tableColumn id="11743" xr3:uid="{EDBAD8A2-8E7A-4589-B47F-C9C21B009752}" name="Column11729"/>
    <tableColumn id="11744" xr3:uid="{82D5A13C-890F-4DB3-9445-1FF3E0F32C1B}" name="Column11730"/>
    <tableColumn id="11745" xr3:uid="{F1ED8820-6AED-4CC4-8CC0-9F4461B79108}" name="Column11731"/>
    <tableColumn id="11746" xr3:uid="{BF89032D-279B-4BCD-8384-64620FD423B8}" name="Column11732"/>
    <tableColumn id="11747" xr3:uid="{A01A7B2C-115B-4EB2-B218-D9513D666822}" name="Column11733"/>
    <tableColumn id="11748" xr3:uid="{1134A579-3AE2-4CAE-97DE-0B12C5621CC3}" name="Column11734"/>
    <tableColumn id="11749" xr3:uid="{25923315-48C5-4E6B-9F7A-7CDE8FBFB5D1}" name="Column11735"/>
    <tableColumn id="11750" xr3:uid="{E0F1EBEA-D4AC-41D1-9807-F203DF5E3910}" name="Column11736"/>
    <tableColumn id="11751" xr3:uid="{197017EC-0053-4212-B705-192E493FBACC}" name="Column11737"/>
    <tableColumn id="11752" xr3:uid="{085C8345-EACB-4118-9B82-22A024994209}" name="Column11738"/>
    <tableColumn id="11753" xr3:uid="{B82DECDA-ED9D-4986-BF75-30412B1F292D}" name="Column11739"/>
    <tableColumn id="11754" xr3:uid="{D93DBE40-6D2E-4516-A4CB-959DACEA5C6A}" name="Column11740"/>
    <tableColumn id="11755" xr3:uid="{2D4D8D9F-673A-482F-812F-DC9B8EC338B6}" name="Column11741"/>
    <tableColumn id="11756" xr3:uid="{7C4DCBB7-F9C3-44C6-BBAF-4B2A6AA4AB40}" name="Column11742"/>
    <tableColumn id="11757" xr3:uid="{E5454FEC-3BA7-40D4-8978-CA73EC17B914}" name="Column11743"/>
    <tableColumn id="11758" xr3:uid="{845D2604-0D89-4C8D-93AE-DC13D31E43BC}" name="Column11744"/>
    <tableColumn id="11759" xr3:uid="{FD0AC2D8-699B-4320-9828-6158CD8C3812}" name="Column11745"/>
    <tableColumn id="11760" xr3:uid="{78843499-1638-401E-968D-50EBD95814D7}" name="Column11746"/>
    <tableColumn id="11761" xr3:uid="{579E5B78-5A48-438B-BAC0-A1225BE140F4}" name="Column11747"/>
    <tableColumn id="11762" xr3:uid="{329E80D9-236B-4DB1-8992-CCA4E25EF649}" name="Column11748"/>
    <tableColumn id="11763" xr3:uid="{D383B1A2-B7AA-4C1F-8A39-C9CDEFEF402F}" name="Column11749"/>
    <tableColumn id="11764" xr3:uid="{361BE8E4-9E8D-460C-914E-FFBF039D99E9}" name="Column11750"/>
    <tableColumn id="11765" xr3:uid="{92C1FB27-B094-442F-B21E-B7C087D47672}" name="Column11751"/>
    <tableColumn id="11766" xr3:uid="{AA4DF379-57D0-4DF6-B7E4-1E91FED041E0}" name="Column11752"/>
    <tableColumn id="11767" xr3:uid="{0F82713D-2F51-4767-8154-8D5CA724E526}" name="Column11753"/>
    <tableColumn id="11768" xr3:uid="{A944C461-5D79-412A-B4A8-BADCC83B02BC}" name="Column11754"/>
    <tableColumn id="11769" xr3:uid="{5C707D48-DA74-456B-8E30-2C4658713E02}" name="Column11755"/>
    <tableColumn id="11770" xr3:uid="{8986896B-02AC-43C8-812F-E0E2CC152224}" name="Column11756"/>
    <tableColumn id="11771" xr3:uid="{C1873E43-90AB-45DA-A592-242FB51FCC6A}" name="Column11757"/>
    <tableColumn id="11772" xr3:uid="{E4E72FBC-5C69-4646-8AB2-AFC9853E24DE}" name="Column11758"/>
    <tableColumn id="11773" xr3:uid="{DFA065C3-3797-4F64-BD89-E450C9B6C051}" name="Column11759"/>
    <tableColumn id="11774" xr3:uid="{75F2BB00-D7D0-4005-AF8C-1D0198E80338}" name="Column11760"/>
    <tableColumn id="11775" xr3:uid="{F25D1D39-AE31-4AA4-82B2-0CF249237A68}" name="Column11761"/>
    <tableColumn id="11776" xr3:uid="{C2D2908B-94FF-401D-9999-E30F15C95AC1}" name="Column11762"/>
    <tableColumn id="11777" xr3:uid="{85693BCF-693A-408B-ABF1-1CA16E5D2F48}" name="Column11763"/>
    <tableColumn id="11778" xr3:uid="{C36B19BE-B7A8-4C42-B50C-0ED9BEF54917}" name="Column11764"/>
    <tableColumn id="11779" xr3:uid="{8172113B-DCCC-4FF7-9985-30ED17CCF788}" name="Column11765"/>
    <tableColumn id="11780" xr3:uid="{FB5A18EE-1DC4-4705-BC92-0014985FB8F8}" name="Column11766"/>
    <tableColumn id="11781" xr3:uid="{C33F5CF1-F6C7-4707-96BB-FE10CDB6FC6A}" name="Column11767"/>
    <tableColumn id="11782" xr3:uid="{71BC0183-6A58-4FE2-9004-2C915D52AD9B}" name="Column11768"/>
    <tableColumn id="11783" xr3:uid="{E3CA9B2F-B293-44B5-9CB8-5B88F7A9E241}" name="Column11769"/>
    <tableColumn id="11784" xr3:uid="{536A1D85-3E99-4925-B598-9B655D6097AB}" name="Column11770"/>
    <tableColumn id="11785" xr3:uid="{140ADD82-88B6-49FD-96E3-02BAF66E8BB1}" name="Column11771"/>
    <tableColumn id="11786" xr3:uid="{2A78BF43-4B59-4294-82F3-CD14A295C5C6}" name="Column11772"/>
    <tableColumn id="11787" xr3:uid="{C3C13927-F17A-43EA-8A3F-801F1BD50005}" name="Column11773"/>
    <tableColumn id="11788" xr3:uid="{CB04CFEB-3048-41A7-9422-0CA81A9F385A}" name="Column11774"/>
    <tableColumn id="11789" xr3:uid="{257720F6-41F4-4BC9-B80C-382E4C261E17}" name="Column11775"/>
    <tableColumn id="11790" xr3:uid="{719CC44B-DB73-4E33-9786-25AA12F6A69D}" name="Column11776"/>
    <tableColumn id="11791" xr3:uid="{FF5A1709-75A4-4FFD-92D6-A03CE5A359BF}" name="Column11777"/>
    <tableColumn id="11792" xr3:uid="{82EB79D2-864B-4302-9F33-530FF8792A81}" name="Column11778"/>
    <tableColumn id="11793" xr3:uid="{A47E5F4A-CC6D-49BC-94ED-315522108E76}" name="Column11779"/>
    <tableColumn id="11794" xr3:uid="{2820FD73-6323-4010-9AD5-3631973E5DD7}" name="Column11780"/>
    <tableColumn id="11795" xr3:uid="{493655AE-A56F-4D50-9289-675FAA9F06F9}" name="Column11781"/>
    <tableColumn id="11796" xr3:uid="{55651448-D49A-4AC2-8C7B-519CD0949E88}" name="Column11782"/>
    <tableColumn id="11797" xr3:uid="{F71BF3FE-CFFD-41D0-A55A-9B9216C396AB}" name="Column11783"/>
    <tableColumn id="11798" xr3:uid="{F9031F46-0F0F-427C-AC11-E87320A2AE15}" name="Column11784"/>
    <tableColumn id="11799" xr3:uid="{E76316C3-1840-4A06-91A1-481720D75F54}" name="Column11785"/>
    <tableColumn id="11800" xr3:uid="{4B1EAB6A-435E-47B7-B8E3-611501461CE3}" name="Column11786"/>
    <tableColumn id="11801" xr3:uid="{4E4FAB87-9314-4795-91F5-D0E4F0209C26}" name="Column11787"/>
    <tableColumn id="11802" xr3:uid="{5895EF43-F29E-4F35-B08D-895AC4D0AA02}" name="Column11788"/>
    <tableColumn id="11803" xr3:uid="{940A1903-A6A3-488B-9CEE-982AF6C71D9B}" name="Column11789"/>
    <tableColumn id="11804" xr3:uid="{9EBD173C-AC49-41C0-967A-19F96B5D7179}" name="Column11790"/>
    <tableColumn id="11805" xr3:uid="{055194CF-FFE5-492B-B415-34A2468AA481}" name="Column11791"/>
    <tableColumn id="11806" xr3:uid="{C8BB6521-9AD6-41DE-8A40-A1A03EF19820}" name="Column11792"/>
    <tableColumn id="11807" xr3:uid="{B95F41D5-7BB8-4EA0-94C3-CF40B7C50BF6}" name="Column11793"/>
    <tableColumn id="11808" xr3:uid="{B49DAD6F-1440-4DB6-9C6F-C571D0B089BB}" name="Column11794"/>
    <tableColumn id="11809" xr3:uid="{33674B16-2D70-4C7E-B473-4C070309E7E1}" name="Column11795"/>
    <tableColumn id="11810" xr3:uid="{BC2511EE-E65D-47C6-86C7-5CF773FBBE68}" name="Column11796"/>
    <tableColumn id="11811" xr3:uid="{ED87F833-F0A1-4B5F-88B2-6D005F427F11}" name="Column11797"/>
    <tableColumn id="11812" xr3:uid="{C8B85B5A-D6B7-4310-8346-8982C36594DE}" name="Column11798"/>
    <tableColumn id="11813" xr3:uid="{5EDD12CF-ED0B-4428-8BCC-9316307A2D4A}" name="Column11799"/>
    <tableColumn id="11814" xr3:uid="{38FDF6D3-A604-46A5-8645-A1C1C8A3ECCE}" name="Column11800"/>
    <tableColumn id="11815" xr3:uid="{7F60FBD9-6336-4363-B5BF-799AFDBF25F9}" name="Column11801"/>
    <tableColumn id="11816" xr3:uid="{FA5E284A-C6B2-4B90-B96B-64FB5186AEFB}" name="Column11802"/>
    <tableColumn id="11817" xr3:uid="{DC9E7B63-BCDB-4B98-BD44-0E6CB53BE0B5}" name="Column11803"/>
    <tableColumn id="11818" xr3:uid="{7CD2074A-B8F7-4361-90F4-8F6BABA79CFB}" name="Column11804"/>
    <tableColumn id="11819" xr3:uid="{91E7A69A-4540-4ABE-A5F7-85D5D44AA155}" name="Column11805"/>
    <tableColumn id="11820" xr3:uid="{B3142C8C-D765-43E3-8A41-72405332DE36}" name="Column11806"/>
    <tableColumn id="11821" xr3:uid="{D0FD9DEE-8D78-411E-8343-BDCDE2CBA173}" name="Column11807"/>
    <tableColumn id="11822" xr3:uid="{04C1227D-B7DC-4B1A-BC4D-0ACB12729F2D}" name="Column11808"/>
    <tableColumn id="11823" xr3:uid="{2E04CA18-2D89-470F-BEED-94D63C9BDBB7}" name="Column11809"/>
    <tableColumn id="11824" xr3:uid="{753C70AB-BC05-45FF-AD95-10766A574CBF}" name="Column11810"/>
    <tableColumn id="11825" xr3:uid="{CD441D5E-1B87-434C-8F07-481AF14F8FF6}" name="Column11811"/>
    <tableColumn id="11826" xr3:uid="{95AEA8C2-673F-4054-A799-0A4EFDC245D1}" name="Column11812"/>
    <tableColumn id="11827" xr3:uid="{B58F8FDF-4CA0-45DA-AF29-27A6708A24AA}" name="Column11813"/>
    <tableColumn id="11828" xr3:uid="{F081EC2A-A9E4-4791-BE11-DA205458609C}" name="Column11814"/>
    <tableColumn id="11829" xr3:uid="{0F5B2CE7-4497-4488-B8B8-070FD8973935}" name="Column11815"/>
    <tableColumn id="11830" xr3:uid="{9A300987-70F8-4C6A-AE5B-38BAC47F49AD}" name="Column11816"/>
    <tableColumn id="11831" xr3:uid="{803C8D2E-3603-47D8-831D-7E3C6BCB7462}" name="Column11817"/>
    <tableColumn id="11832" xr3:uid="{06370278-FC63-4FF7-A2D7-DE8EC9854D8B}" name="Column11818"/>
    <tableColumn id="11833" xr3:uid="{00F6007B-4ED8-42C6-855F-7E914B4D231A}" name="Column11819"/>
    <tableColumn id="11834" xr3:uid="{46EECA26-7A5D-4BDB-9C15-68367D9F1FA7}" name="Column11820"/>
    <tableColumn id="11835" xr3:uid="{97A02535-DAE7-4034-B9AC-ABA53E5D0E2D}" name="Column11821"/>
    <tableColumn id="11836" xr3:uid="{13445C92-EDD5-4B9F-AFEF-BADE88F02999}" name="Column11822"/>
    <tableColumn id="11837" xr3:uid="{D3B6E9F5-121C-40EA-81D7-E8D0B020DB2E}" name="Column11823"/>
    <tableColumn id="11838" xr3:uid="{D81F6F0F-CD38-4A6A-B180-65025686F4D3}" name="Column11824"/>
    <tableColumn id="11839" xr3:uid="{6A937E69-7954-4D6E-AFA5-0567C3B7AFB3}" name="Column11825"/>
    <tableColumn id="11840" xr3:uid="{D9A17F70-E579-463A-8944-8E1ECA9B4117}" name="Column11826"/>
    <tableColumn id="11841" xr3:uid="{4E764F7C-45AB-48D4-A567-028DC8BE1D9D}" name="Column11827"/>
    <tableColumn id="11842" xr3:uid="{2DFF00CC-A7C1-4725-8163-27D2F5213A69}" name="Column11828"/>
    <tableColumn id="11843" xr3:uid="{7FB3256F-EDE9-4278-86DB-1324AB0412EE}" name="Column11829"/>
    <tableColumn id="11844" xr3:uid="{C32A7B71-D2D9-4EBF-872E-977277846ED0}" name="Column11830"/>
    <tableColumn id="11845" xr3:uid="{A7E435B8-BFB0-48AC-BD5E-F29E9F842C20}" name="Column11831"/>
    <tableColumn id="11846" xr3:uid="{B3AFDDC9-5119-4436-80A4-0DF7BCA283EC}" name="Column11832"/>
    <tableColumn id="11847" xr3:uid="{BC9C3B0B-4B95-4879-A181-B16EB806A799}" name="Column11833"/>
    <tableColumn id="11848" xr3:uid="{E4EF88BD-4BD9-4B26-8B97-D281EC7C1344}" name="Column11834"/>
    <tableColumn id="11849" xr3:uid="{9F71960A-513A-4C2D-94EF-9277B42CBC67}" name="Column11835"/>
    <tableColumn id="11850" xr3:uid="{F3679E72-1B21-4B0D-9952-5A3D6D3B146D}" name="Column11836"/>
    <tableColumn id="11851" xr3:uid="{6AF16696-7882-487F-9035-2746B4CE6A53}" name="Column11837"/>
    <tableColumn id="11852" xr3:uid="{BC69A55C-154D-44A1-AB35-4C84578CD441}" name="Column11838"/>
    <tableColumn id="11853" xr3:uid="{6FF94AF1-65A6-4499-B571-7285E5DDAA0D}" name="Column11839"/>
    <tableColumn id="11854" xr3:uid="{CED9B7CD-4929-4B8C-AEAC-F5712685EF37}" name="Column11840"/>
    <tableColumn id="11855" xr3:uid="{7A591798-21E3-4C2E-BBCA-295707899BB0}" name="Column11841"/>
    <tableColumn id="11856" xr3:uid="{34B2D08C-ECE2-4E8C-AFF7-A6A814A70F6E}" name="Column11842"/>
    <tableColumn id="11857" xr3:uid="{DBC98C8B-9E4A-4FD2-A16C-96EBDCA6D081}" name="Column11843"/>
    <tableColumn id="11858" xr3:uid="{6510F6A0-DB16-428A-8ADB-67137DEF5386}" name="Column11844"/>
    <tableColumn id="11859" xr3:uid="{BC82B915-CF4B-457A-A567-6A92DC244D4C}" name="Column11845"/>
    <tableColumn id="11860" xr3:uid="{21CFDBDE-7D76-47CF-AA15-1DEE883819EE}" name="Column11846"/>
    <tableColumn id="11861" xr3:uid="{AD8692D3-19D2-405C-B3FE-8B81021ADEF2}" name="Column11847"/>
    <tableColumn id="11862" xr3:uid="{9EEEC379-FC30-47DE-BA88-7AF695CA2D2E}" name="Column11848"/>
    <tableColumn id="11863" xr3:uid="{F6C7E90F-E848-4433-842C-F66DAA278CC9}" name="Column11849"/>
    <tableColumn id="11864" xr3:uid="{640A51B0-38B3-4BEC-BF8D-98BC5805762E}" name="Column11850"/>
    <tableColumn id="11865" xr3:uid="{F63024D6-0EE6-490F-81FC-05C36827FFB1}" name="Column11851"/>
    <tableColumn id="11866" xr3:uid="{9F18C09D-6B0D-444C-84A7-C5D459A457C6}" name="Column11852"/>
    <tableColumn id="11867" xr3:uid="{3C8CFEE3-F3BF-4ABA-AA25-B3D3D0531B28}" name="Column11853"/>
    <tableColumn id="11868" xr3:uid="{0B4FA855-6228-4AFE-BBE0-597EF5D2185F}" name="Column11854"/>
    <tableColumn id="11869" xr3:uid="{DF8233C7-F662-48D6-900F-08E76509DA71}" name="Column11855"/>
    <tableColumn id="11870" xr3:uid="{BCDA3891-93DE-4604-B718-B576446F259F}" name="Column11856"/>
    <tableColumn id="11871" xr3:uid="{662272E0-6B48-4E02-AB8C-49E228F47BC8}" name="Column11857"/>
    <tableColumn id="11872" xr3:uid="{2A296E4B-2A89-4BEB-A0EF-74AB9C797178}" name="Column11858"/>
    <tableColumn id="11873" xr3:uid="{18215A22-11A8-49C5-A8BE-53BBCE3291DB}" name="Column11859"/>
    <tableColumn id="11874" xr3:uid="{EF72A5C9-6182-42E8-9AAA-49CCC33810BB}" name="Column11860"/>
    <tableColumn id="11875" xr3:uid="{6BAB8A82-8468-476A-8782-A1559BB9A4AD}" name="Column11861"/>
    <tableColumn id="11876" xr3:uid="{A3CD4EA5-D6EE-4277-B7A9-C203EDD27CB7}" name="Column11862"/>
    <tableColumn id="11877" xr3:uid="{BDAD14E7-286D-4F24-94B9-331D5FB32C9A}" name="Column11863"/>
    <tableColumn id="11878" xr3:uid="{2A8ECEA7-5617-402E-9040-3D015564C36A}" name="Column11864"/>
    <tableColumn id="11879" xr3:uid="{FA0F21C1-AA79-4373-A387-42DF192F8AEE}" name="Column11865"/>
    <tableColumn id="11880" xr3:uid="{ED774E39-5281-429C-B45A-72CEEEBDCF1B}" name="Column11866"/>
    <tableColumn id="11881" xr3:uid="{6AB85158-D6D2-4BC0-A9CA-D9BAF921B922}" name="Column11867"/>
    <tableColumn id="11882" xr3:uid="{20A84220-6036-427D-93B7-C73659A9A9BE}" name="Column11868"/>
    <tableColumn id="11883" xr3:uid="{309F4E4F-5894-4A7E-A7F5-9F5375CD486C}" name="Column11869"/>
    <tableColumn id="11884" xr3:uid="{EA966F7D-380C-4562-BE3D-3518E94D1546}" name="Column11870"/>
    <tableColumn id="11885" xr3:uid="{EBCBEB91-65EA-484F-A44E-38E85A109BEA}" name="Column11871"/>
    <tableColumn id="11886" xr3:uid="{173A0673-7015-437A-A4E7-F6014D1FA421}" name="Column11872"/>
    <tableColumn id="11887" xr3:uid="{9EC01C1E-6C0A-4559-8C3E-1F7666E7C3D9}" name="Column11873"/>
    <tableColumn id="11888" xr3:uid="{29AF0EBA-A4D8-43B0-859A-0D12FE7605A0}" name="Column11874"/>
    <tableColumn id="11889" xr3:uid="{36E398F1-71D5-4752-B722-8753F60512CA}" name="Column11875"/>
    <tableColumn id="11890" xr3:uid="{56B08A03-CC7D-4624-A9B3-30482FE9A9BB}" name="Column11876"/>
    <tableColumn id="11891" xr3:uid="{4622636C-2EE7-4CBC-8E50-4676059BB137}" name="Column11877"/>
    <tableColumn id="11892" xr3:uid="{0D729E6F-F5FB-4CD6-A766-E5091C16BBEC}" name="Column11878"/>
    <tableColumn id="11893" xr3:uid="{0C6DF29C-EAF0-4081-8ED0-534601118EDE}" name="Column11879"/>
    <tableColumn id="11894" xr3:uid="{2021E96B-B6B3-4112-B8DB-6F8BF3E7D6C0}" name="Column11880"/>
    <tableColumn id="11895" xr3:uid="{F54072EF-B96C-41CA-9F8B-B6A5E87CB8B7}" name="Column11881"/>
    <tableColumn id="11896" xr3:uid="{3C1AE0DF-234C-4912-8F00-F0A62DE9398A}" name="Column11882"/>
    <tableColumn id="11897" xr3:uid="{477A77B9-8BD5-4034-B44A-0C0E87C3EA89}" name="Column11883"/>
    <tableColumn id="11898" xr3:uid="{AE5E5EA6-2CF1-43B0-BA72-EEAF53897CB8}" name="Column11884"/>
    <tableColumn id="11899" xr3:uid="{F06875D1-B2D4-45A7-9E58-FAB85A745B29}" name="Column11885"/>
    <tableColumn id="11900" xr3:uid="{95AD57EE-598A-4E24-AF7E-8C96DFA08A9E}" name="Column11886"/>
    <tableColumn id="11901" xr3:uid="{7F118B66-5C2B-42DC-9909-BAC152D8A1FD}" name="Column11887"/>
    <tableColumn id="11902" xr3:uid="{911B07E1-1B4F-41F0-8D63-3FEAB7179133}" name="Column11888"/>
    <tableColumn id="11903" xr3:uid="{CA10286D-F705-4016-A52F-05DC375F28AD}" name="Column11889"/>
    <tableColumn id="11904" xr3:uid="{0B7E633E-AF65-4B3A-9FB8-32BC01931859}" name="Column11890"/>
    <tableColumn id="11905" xr3:uid="{DA7C0228-9DB1-4604-93F0-F34EE6E8E0DF}" name="Column11891"/>
    <tableColumn id="11906" xr3:uid="{C889F1E5-6440-4061-ACE2-F2F8735C0668}" name="Column11892"/>
    <tableColumn id="11907" xr3:uid="{C582ACFD-B5CB-4F64-9CB5-86D32EEAD3F2}" name="Column11893"/>
    <tableColumn id="11908" xr3:uid="{3654738B-E0E7-4CAC-95BA-F0EB5509A817}" name="Column11894"/>
    <tableColumn id="11909" xr3:uid="{68519045-D112-449D-AA18-5AE5B73243A6}" name="Column11895"/>
    <tableColumn id="11910" xr3:uid="{6BFC77CC-7E9A-4626-9F6A-22A57FCF38D9}" name="Column11896"/>
    <tableColumn id="11911" xr3:uid="{D9A76DCB-3B87-4EE0-9D80-B89AF816A41E}" name="Column11897"/>
    <tableColumn id="11912" xr3:uid="{4F93BBE6-893C-4C72-9D10-35114A4A1B91}" name="Column11898"/>
    <tableColumn id="11913" xr3:uid="{65FC6C92-0206-4E77-87F1-953D1059DE81}" name="Column11899"/>
    <tableColumn id="11914" xr3:uid="{986543EC-C40A-493D-90B3-2E0D6950DB53}" name="Column11900"/>
    <tableColumn id="11915" xr3:uid="{4C1E5DCB-1C12-4CC7-867B-9E941EBF072F}" name="Column11901"/>
    <tableColumn id="11916" xr3:uid="{753F0D43-6273-46B2-93DF-6CF8751F3706}" name="Column11902"/>
    <tableColumn id="11917" xr3:uid="{06D65FD1-2A20-49E0-AA4A-60806A30251F}" name="Column11903"/>
    <tableColumn id="11918" xr3:uid="{06A82592-6A0C-401F-A62F-DD987286D12E}" name="Column11904"/>
    <tableColumn id="11919" xr3:uid="{9A676945-928D-4649-BEAF-865B9E6D4F3D}" name="Column11905"/>
    <tableColumn id="11920" xr3:uid="{F7E1CF43-9DE6-431A-9C34-A217E8057035}" name="Column11906"/>
    <tableColumn id="11921" xr3:uid="{B43FB637-AFC8-43D3-BE17-2CD89B2DD21F}" name="Column11907"/>
    <tableColumn id="11922" xr3:uid="{40C2A58C-3FB5-4B4B-9807-932823253953}" name="Column11908"/>
    <tableColumn id="11923" xr3:uid="{07161484-8E5C-4648-99D6-EADC7811A48D}" name="Column11909"/>
    <tableColumn id="11924" xr3:uid="{B6A70E01-B635-4089-A815-46401B8E4D56}" name="Column11910"/>
    <tableColumn id="11925" xr3:uid="{D12392FF-C86B-47D1-BB2D-829551C9B4E5}" name="Column11911"/>
    <tableColumn id="11926" xr3:uid="{E7357C87-6770-4D46-9339-9B2BC83BEB10}" name="Column11912"/>
    <tableColumn id="11927" xr3:uid="{32903429-856F-48C9-94C9-93D0D732E908}" name="Column11913"/>
    <tableColumn id="11928" xr3:uid="{DA915C3B-3C1A-4D1A-AD8A-ABF84DD37CFE}" name="Column11914"/>
    <tableColumn id="11929" xr3:uid="{9CFBC505-5540-4350-8D4E-09ABBB8B050D}" name="Column11915"/>
    <tableColumn id="11930" xr3:uid="{10451A95-7F29-4DB2-B6A7-4BDE21E0698B}" name="Column11916"/>
    <tableColumn id="11931" xr3:uid="{9F56E97E-1A85-4258-AC54-EF62BD324EF3}" name="Column11917"/>
    <tableColumn id="11932" xr3:uid="{3DABB89A-7CF6-4370-8747-A18193668EB6}" name="Column11918"/>
    <tableColumn id="11933" xr3:uid="{4FB1820F-A5B1-489A-AD4A-8729041D3EFB}" name="Column11919"/>
    <tableColumn id="11934" xr3:uid="{B0B16EC4-AFB8-41EB-845D-D741020DE3AE}" name="Column11920"/>
    <tableColumn id="11935" xr3:uid="{CB3BA6A6-9EA4-4B5B-9E02-DA4DF3AE1DF4}" name="Column11921"/>
    <tableColumn id="11936" xr3:uid="{27723C2E-9384-402D-8A0F-27B2E801C9DA}" name="Column11922"/>
    <tableColumn id="11937" xr3:uid="{36D93CC8-8DFA-4EA6-B48B-5806E5FBDC4E}" name="Column11923"/>
    <tableColumn id="11938" xr3:uid="{E71FAA5C-737A-47FC-B893-400033C2E6CD}" name="Column11924"/>
    <tableColumn id="11939" xr3:uid="{A949D105-E4EF-44BF-8413-34ED6D159F47}" name="Column11925"/>
    <tableColumn id="11940" xr3:uid="{50123C5E-CB6B-4E76-A904-5617D2A928DD}" name="Column11926"/>
    <tableColumn id="11941" xr3:uid="{5B112A3F-4534-4689-89FE-E3D21182AA3F}" name="Column11927"/>
    <tableColumn id="11942" xr3:uid="{7D3E6549-FAD1-4969-820F-0C04FED69BA3}" name="Column11928"/>
    <tableColumn id="11943" xr3:uid="{76DCE036-30DD-43B2-941A-C941081C2C50}" name="Column11929"/>
    <tableColumn id="11944" xr3:uid="{53B71A0D-E905-459D-92BB-1B0AF1806F98}" name="Column11930"/>
    <tableColumn id="11945" xr3:uid="{77D62924-78E4-4600-B76A-BE7E33BC26FB}" name="Column11931"/>
    <tableColumn id="11946" xr3:uid="{0157F33D-BD8D-441B-9DBD-45963D0DBC41}" name="Column11932"/>
    <tableColumn id="11947" xr3:uid="{6F2F0955-514C-4C0A-BC9F-D4C68F1E347C}" name="Column11933"/>
    <tableColumn id="11948" xr3:uid="{F5E0CA9C-0A32-4582-BBDC-DEAE877446B3}" name="Column11934"/>
    <tableColumn id="11949" xr3:uid="{5A05E301-A701-4BB5-AC76-99ACBCC89944}" name="Column11935"/>
    <tableColumn id="11950" xr3:uid="{C8F9DDC8-7293-4217-B80A-20AC8CBB8832}" name="Column11936"/>
    <tableColumn id="11951" xr3:uid="{A9F4A086-C96D-4927-AE7C-61BB00ABFCDE}" name="Column11937"/>
    <tableColumn id="11952" xr3:uid="{DD3569A7-2B51-4CF8-A355-50C4CAE69030}" name="Column11938"/>
    <tableColumn id="11953" xr3:uid="{AB546EB8-3A8C-45A6-B90D-C5E61F162498}" name="Column11939"/>
    <tableColumn id="11954" xr3:uid="{A4FBBEF7-A321-42A2-8017-64BF6E9DE31E}" name="Column11940"/>
    <tableColumn id="11955" xr3:uid="{3CABCB88-7F23-460D-AD49-6733F40E90C3}" name="Column11941"/>
    <tableColumn id="11956" xr3:uid="{15686E8C-3F59-4AB3-B8C2-5F18CE2D75A6}" name="Column11942"/>
    <tableColumn id="11957" xr3:uid="{EEE36EAE-210B-4B01-B64E-94AB1B4EBD03}" name="Column11943"/>
    <tableColumn id="11958" xr3:uid="{263FAB25-0D9B-40D5-83EB-8ABF169BC845}" name="Column11944"/>
    <tableColumn id="11959" xr3:uid="{F791B3D9-DBED-4511-86A1-ADC79271BA05}" name="Column11945"/>
    <tableColumn id="11960" xr3:uid="{5A1EAD05-954E-4139-B7C1-61C0F62CC959}" name="Column11946"/>
    <tableColumn id="11961" xr3:uid="{057020C0-D626-4D81-A4C4-A208689125BF}" name="Column11947"/>
    <tableColumn id="11962" xr3:uid="{63361758-C448-4B0F-8404-9880261765EF}" name="Column11948"/>
    <tableColumn id="11963" xr3:uid="{ECF8709C-E18F-41A2-917E-C051757B5143}" name="Column11949"/>
    <tableColumn id="11964" xr3:uid="{8C4D96FE-C3D4-4087-B473-55C1BD1A6482}" name="Column11950"/>
    <tableColumn id="11965" xr3:uid="{489A691D-34AC-44C4-AE77-EDE1AD5FB643}" name="Column11951"/>
    <tableColumn id="11966" xr3:uid="{4ADBB907-48A7-4F7D-A55E-9D4399BA5FB5}" name="Column11952"/>
    <tableColumn id="11967" xr3:uid="{31920B5C-746D-472F-8FB9-539C32F77A6B}" name="Column11953"/>
    <tableColumn id="11968" xr3:uid="{F2FCA9EB-2A00-4015-A470-B6ECC7A7227A}" name="Column11954"/>
    <tableColumn id="11969" xr3:uid="{5BA465EB-78C6-4E47-8514-D7789710FEC9}" name="Column11955"/>
    <tableColumn id="11970" xr3:uid="{3028BB90-8360-44CD-A30C-6964FE5E8794}" name="Column11956"/>
    <tableColumn id="11971" xr3:uid="{F41B36D1-B989-4342-A76A-09134167A247}" name="Column11957"/>
    <tableColumn id="11972" xr3:uid="{E0E845B6-B707-4B4F-BEEC-D5C46372A92E}" name="Column11958"/>
    <tableColumn id="11973" xr3:uid="{C4F361F6-B6D0-4A41-8FB4-E63EC47C92E2}" name="Column11959"/>
    <tableColumn id="11974" xr3:uid="{4BE5EAEA-1553-4A42-B4C6-3439B4E0F23E}" name="Column11960"/>
    <tableColumn id="11975" xr3:uid="{D4B68A3E-C8AC-4C19-AA55-D75057FF2B15}" name="Column11961"/>
    <tableColumn id="11976" xr3:uid="{507C0C0A-2A87-4046-AF12-7B24918D8718}" name="Column11962"/>
    <tableColumn id="11977" xr3:uid="{1080C4AC-72ED-4FA6-A78A-6C30B12F04E8}" name="Column11963"/>
    <tableColumn id="11978" xr3:uid="{B8E43159-48AC-44AE-8B2B-61DED7F29F5F}" name="Column11964"/>
    <tableColumn id="11979" xr3:uid="{6054AE16-73D0-4B17-9F1E-6BA36EBD1094}" name="Column11965"/>
    <tableColumn id="11980" xr3:uid="{BD75C7B6-F32E-499F-B606-6BE514B31A75}" name="Column11966"/>
    <tableColumn id="11981" xr3:uid="{0C3A4659-4BA0-4F65-B97A-EC1FD6F93F51}" name="Column11967"/>
    <tableColumn id="11982" xr3:uid="{CF24CAC0-F050-476F-9C87-090340000146}" name="Column11968"/>
    <tableColumn id="11983" xr3:uid="{2E5B7F96-5B34-4E32-ADAA-BEEDCCAFA526}" name="Column11969"/>
    <tableColumn id="11984" xr3:uid="{5EAEE6B9-8CA5-499E-93FF-042B124A3403}" name="Column11970"/>
    <tableColumn id="11985" xr3:uid="{4EE36DF1-B696-4544-B5DA-B9825934C10F}" name="Column11971"/>
    <tableColumn id="11986" xr3:uid="{D2F5405E-1CDA-4EBB-B183-DD4DC5F36962}" name="Column11972"/>
    <tableColumn id="11987" xr3:uid="{935E2929-DD2F-4338-A7F7-C87DBB4BBACC}" name="Column11973"/>
    <tableColumn id="11988" xr3:uid="{A2FE0395-5D69-49F4-B845-911C52F49558}" name="Column11974"/>
    <tableColumn id="11989" xr3:uid="{A875FFB7-0C1F-4152-AC67-1F1584752B2E}" name="Column11975"/>
    <tableColumn id="11990" xr3:uid="{A4364346-AB94-485D-985F-324CAAD66837}" name="Column11976"/>
    <tableColumn id="11991" xr3:uid="{821EB016-AD4B-48B6-BCAD-FBA401CE5F35}" name="Column11977"/>
    <tableColumn id="11992" xr3:uid="{96B37FBD-C457-4035-9487-2531B719F151}" name="Column11978"/>
    <tableColumn id="11993" xr3:uid="{89D3FDF3-2080-47FE-9B0A-8737B3BCAEDA}" name="Column11979"/>
    <tableColumn id="11994" xr3:uid="{B377C610-6DBF-4B01-A41D-47ED6A089CE1}" name="Column11980"/>
    <tableColumn id="11995" xr3:uid="{82EADCA6-3158-4262-85E7-3CFDD4789845}" name="Column11981"/>
    <tableColumn id="11996" xr3:uid="{016C9E2D-8BFB-40E6-80E3-F673FEC2326B}" name="Column11982"/>
    <tableColumn id="11997" xr3:uid="{FF3427F5-2527-4F2E-8E35-A2C333214ECE}" name="Column11983"/>
    <tableColumn id="11998" xr3:uid="{39A93E46-B58A-4787-856D-52CAE31909D9}" name="Column11984"/>
    <tableColumn id="11999" xr3:uid="{F394289F-6EB5-4867-801B-67C0E37834AF}" name="Column11985"/>
    <tableColumn id="12000" xr3:uid="{82855F6E-159A-4349-8C2A-ABCB2578DFF2}" name="Column11986"/>
    <tableColumn id="12001" xr3:uid="{A18985AF-7F95-4BC2-9C6A-F4D6359498EB}" name="Column11987"/>
    <tableColumn id="12002" xr3:uid="{5317B3C3-AEAF-4AB9-B41D-FC66AB3BC371}" name="Column11988"/>
    <tableColumn id="12003" xr3:uid="{EA7A5BD3-2506-418B-AAC5-108573A2C1D0}" name="Column11989"/>
    <tableColumn id="12004" xr3:uid="{54848466-3E8F-4019-AAD9-E063973D22FC}" name="Column11990"/>
    <tableColumn id="12005" xr3:uid="{A35D9DB3-3589-47AB-BB8B-05CAC0491921}" name="Column11991"/>
    <tableColumn id="12006" xr3:uid="{961A70EF-3151-4236-A6FE-B9C443A169E2}" name="Column11992"/>
    <tableColumn id="12007" xr3:uid="{1DD41BD8-1CCF-4677-8BCC-8E922D483C36}" name="Column11993"/>
    <tableColumn id="12008" xr3:uid="{B0EFFD7D-E284-4A16-B907-05BB29166C31}" name="Column11994"/>
    <tableColumn id="12009" xr3:uid="{7A8A30C8-CA5E-42D8-88F7-D1474E715F04}" name="Column11995"/>
    <tableColumn id="12010" xr3:uid="{136A2795-BC14-46A1-848C-D1B43A3037D0}" name="Column11996"/>
    <tableColumn id="12011" xr3:uid="{68F198DD-E497-4DA9-8AFC-97E94EF0D2B2}" name="Column11997"/>
    <tableColumn id="12012" xr3:uid="{F17E9057-E914-4E02-82C3-40FFD3B5C75C}" name="Column11998"/>
    <tableColumn id="12013" xr3:uid="{97A1FA9F-324C-4D1A-AFF6-7D5523C3D566}" name="Column11999"/>
    <tableColumn id="12014" xr3:uid="{FA62C187-2E83-410B-9464-2B873CAB06D2}" name="Column12000"/>
    <tableColumn id="12015" xr3:uid="{8D7B9F02-3E39-4762-86C8-CE9F3BD4B651}" name="Column12001"/>
    <tableColumn id="12016" xr3:uid="{976B1731-6916-4602-9A8E-910CD6AE72D3}" name="Column12002"/>
    <tableColumn id="12017" xr3:uid="{9071606A-5A44-4173-B0FC-296855E2066E}" name="Column12003"/>
    <tableColumn id="12018" xr3:uid="{2D20D4E7-291C-4D55-B339-C9B62AAB6DEB}" name="Column12004"/>
    <tableColumn id="12019" xr3:uid="{24B49FFE-D1C3-4B81-997E-B0B7C820E8D7}" name="Column12005"/>
    <tableColumn id="12020" xr3:uid="{C900D31D-964A-40C9-950B-34417387D760}" name="Column12006"/>
    <tableColumn id="12021" xr3:uid="{2B4B8E29-CEFC-4B43-9BAF-1C59A624BCE3}" name="Column12007"/>
    <tableColumn id="12022" xr3:uid="{DE82FF95-F83A-4B02-B1FE-A7EBB9C9ABA7}" name="Column12008"/>
    <tableColumn id="12023" xr3:uid="{E9F1DE38-C018-4D54-8C29-A9661705BD48}" name="Column12009"/>
    <tableColumn id="12024" xr3:uid="{26F39A37-AB81-4E68-9138-8413C0708C58}" name="Column12010"/>
    <tableColumn id="12025" xr3:uid="{49AFF320-82A6-4E4F-B291-A388CDD5CD42}" name="Column12011"/>
    <tableColumn id="12026" xr3:uid="{4B4FEEA1-CE9C-4D01-9616-39B4A214A8BD}" name="Column12012"/>
    <tableColumn id="12027" xr3:uid="{631A5F44-FB13-4DD9-BB5E-7624156037DA}" name="Column12013"/>
    <tableColumn id="12028" xr3:uid="{90AAC736-04EE-41F0-9BB8-AB23C33BC060}" name="Column12014"/>
    <tableColumn id="12029" xr3:uid="{C6CBD0C3-96A1-4962-B1DD-3D5CEDF701F7}" name="Column12015"/>
    <tableColumn id="12030" xr3:uid="{92C543D6-5323-4ECB-A5B7-B43689BFE6E6}" name="Column12016"/>
    <tableColumn id="12031" xr3:uid="{714DB295-B102-4E00-A9C1-2F07C42768C4}" name="Column12017"/>
    <tableColumn id="12032" xr3:uid="{43AA814F-8817-48AE-83C6-09270D912DCB}" name="Column12018"/>
    <tableColumn id="12033" xr3:uid="{603A2A7D-B78E-4D73-A456-BE27CD4FD723}" name="Column12019"/>
    <tableColumn id="12034" xr3:uid="{871E20B5-6516-4019-A9D1-2E0B65A9F137}" name="Column12020"/>
    <tableColumn id="12035" xr3:uid="{646D79D5-DC7E-4FA1-9C1E-15EB8F5A1B59}" name="Column12021"/>
    <tableColumn id="12036" xr3:uid="{9DA21F24-EAE0-4121-9429-B5E8280F4041}" name="Column12022"/>
    <tableColumn id="12037" xr3:uid="{77CF10BB-6424-4174-A3F0-72F4E61A24FB}" name="Column12023"/>
    <tableColumn id="12038" xr3:uid="{4A5240A8-A27D-4B91-BB0E-58E3FF568BA0}" name="Column12024"/>
    <tableColumn id="12039" xr3:uid="{FD0B395F-2A2B-4B79-BA35-11A232F6A9BB}" name="Column12025"/>
    <tableColumn id="12040" xr3:uid="{315F623D-3B7A-4058-A352-105BE10EBDE8}" name="Column12026"/>
    <tableColumn id="12041" xr3:uid="{938E33AD-0352-4E25-A1AC-5725C247B872}" name="Column12027"/>
    <tableColumn id="12042" xr3:uid="{AFF62FF8-2FF5-4D9A-BDD3-E2BD5F90241B}" name="Column12028"/>
    <tableColumn id="12043" xr3:uid="{BCD34AA4-275C-46FD-8105-09A4AF493018}" name="Column12029"/>
    <tableColumn id="12044" xr3:uid="{D748DE0A-D008-4E0B-B0A2-B7D391AED5BC}" name="Column12030"/>
    <tableColumn id="12045" xr3:uid="{2C85E55B-D2D0-46E7-9223-E8F9A7387E67}" name="Column12031"/>
    <tableColumn id="12046" xr3:uid="{55FE0AB9-9EB1-4373-B267-A139DC95093F}" name="Column12032"/>
    <tableColumn id="12047" xr3:uid="{F6AEE3A7-387C-44EA-B219-981AB865A93C}" name="Column12033"/>
    <tableColumn id="12048" xr3:uid="{87FE8213-AFB2-488F-A298-95FBDD339C5B}" name="Column12034"/>
    <tableColumn id="12049" xr3:uid="{580CD9E5-772D-4FBC-A8A5-B9F6757398B7}" name="Column12035"/>
    <tableColumn id="12050" xr3:uid="{7A5FE185-4070-44ED-B1ED-DCA671A605B3}" name="Column12036"/>
    <tableColumn id="12051" xr3:uid="{82F6076C-902A-4CBC-B43F-192D8A7A6E52}" name="Column12037"/>
    <tableColumn id="12052" xr3:uid="{DCBA8957-4C02-45A3-83AE-D5D6CE01D1A8}" name="Column12038"/>
    <tableColumn id="12053" xr3:uid="{40EDFCE8-CECA-45F8-8E7E-D84E3CAC4186}" name="Column12039"/>
    <tableColumn id="12054" xr3:uid="{7C924778-3029-4FBD-B690-B889A3D70C40}" name="Column12040"/>
    <tableColumn id="12055" xr3:uid="{5627C173-C9AA-4A41-8853-0B0DFF8552AA}" name="Column12041"/>
    <tableColumn id="12056" xr3:uid="{5CE152F2-38D6-4E77-87A3-6962AB10E85B}" name="Column12042"/>
    <tableColumn id="12057" xr3:uid="{43461B00-52FB-44A6-A6E0-8B4F9DA6B75C}" name="Column12043"/>
    <tableColumn id="12058" xr3:uid="{A9C6375F-F342-4EED-BA62-00C018549AC9}" name="Column12044"/>
    <tableColumn id="12059" xr3:uid="{614408E7-93BC-4FEA-AC24-95D6373409A0}" name="Column12045"/>
    <tableColumn id="12060" xr3:uid="{B6F3A9A7-A8AA-4D7F-AB51-649F9716EC46}" name="Column12046"/>
    <tableColumn id="12061" xr3:uid="{0DB3FAA0-4A39-4D11-A3AE-01D65D5008C8}" name="Column12047"/>
    <tableColumn id="12062" xr3:uid="{729C7CDE-8C03-4EB3-8192-BABE533ED055}" name="Column12048"/>
    <tableColumn id="12063" xr3:uid="{55006738-465D-4240-9AEC-E468F6079641}" name="Column12049"/>
    <tableColumn id="12064" xr3:uid="{4841AF96-4378-41CA-AD22-CC593DB95775}" name="Column12050"/>
    <tableColumn id="12065" xr3:uid="{B25ABF0F-4DA1-407C-B5D0-E383A858253D}" name="Column12051"/>
    <tableColumn id="12066" xr3:uid="{E48DAFBE-C280-414F-BAC9-64C3382DCF9A}" name="Column12052"/>
    <tableColumn id="12067" xr3:uid="{F32EE943-AD6F-4E4A-82CD-647C909C96AB}" name="Column12053"/>
    <tableColumn id="12068" xr3:uid="{165C05C7-F214-4E5C-A1AF-815AD20D47E2}" name="Column12054"/>
    <tableColumn id="12069" xr3:uid="{E071C653-5FAE-4710-A57E-8B6743222BB1}" name="Column12055"/>
    <tableColumn id="12070" xr3:uid="{58D1F631-FD78-49BC-8FD4-348317B7C3F6}" name="Column12056"/>
    <tableColumn id="12071" xr3:uid="{996B00F2-62B3-47C2-9D3A-5F23CDA3A783}" name="Column12057"/>
    <tableColumn id="12072" xr3:uid="{37093C6D-7F1E-4F00-9845-F7ADC9E8ABD2}" name="Column12058"/>
    <tableColumn id="12073" xr3:uid="{59DB0AA4-D89C-416F-AFA6-18A7DB9D702C}" name="Column12059"/>
    <tableColumn id="12074" xr3:uid="{2C22E18C-6087-4AB6-B13D-E2E0079C1370}" name="Column12060"/>
    <tableColumn id="12075" xr3:uid="{6DF2798E-C319-4625-8006-04B5BE96EAC3}" name="Column12061"/>
    <tableColumn id="12076" xr3:uid="{48ACB1C3-D280-4D24-893C-4517D3ABAD53}" name="Column12062"/>
    <tableColumn id="12077" xr3:uid="{1621325F-CB47-46A3-AE64-D5D0E6057311}" name="Column12063"/>
    <tableColumn id="12078" xr3:uid="{23595272-FE7E-49F9-9EB6-5FE8C07500C0}" name="Column12064"/>
    <tableColumn id="12079" xr3:uid="{B78F7FF8-E9E1-4CEB-BF2B-A7BC9AC22BEA}" name="Column12065"/>
    <tableColumn id="12080" xr3:uid="{987C97B6-516C-463D-B2C6-176C5A732B73}" name="Column12066"/>
    <tableColumn id="12081" xr3:uid="{BFE92385-512C-4079-B98C-C67BE7F3B184}" name="Column12067"/>
    <tableColumn id="12082" xr3:uid="{63648A90-C2AE-4532-8FED-52B580DE6C40}" name="Column12068"/>
    <tableColumn id="12083" xr3:uid="{7887E675-68EB-4D2C-8C33-1A7E4BEE72EB}" name="Column12069"/>
    <tableColumn id="12084" xr3:uid="{B1CD93F6-E3B4-4BCD-89A6-D8EEFEA7F272}" name="Column12070"/>
    <tableColumn id="12085" xr3:uid="{A6832A2A-313D-426E-9E30-0FD895857804}" name="Column12071"/>
    <tableColumn id="12086" xr3:uid="{9C31E833-F4E5-4A0D-9FDE-F716F7DAFD47}" name="Column12072"/>
    <tableColumn id="12087" xr3:uid="{527F30B4-424D-4EE2-A34E-FF967AD6FB85}" name="Column12073"/>
    <tableColumn id="12088" xr3:uid="{0AA75706-4199-49D0-B40B-0765479129FC}" name="Column12074"/>
    <tableColumn id="12089" xr3:uid="{0CBF6FC5-C519-40FB-BC90-643EE0B7F5C3}" name="Column12075"/>
    <tableColumn id="12090" xr3:uid="{543774CD-BC6A-4FF5-8106-3BE488AF4008}" name="Column12076"/>
    <tableColumn id="12091" xr3:uid="{44FF9667-06E3-4BA8-BA9C-C84A3324CF59}" name="Column12077"/>
    <tableColumn id="12092" xr3:uid="{9688B6B9-5C5E-4BE7-B875-4D23E85FBA80}" name="Column12078"/>
    <tableColumn id="12093" xr3:uid="{D8DA1765-8DDB-4E54-8577-2FE71C51DF37}" name="Column12079"/>
    <tableColumn id="12094" xr3:uid="{9DEFD55A-B713-40D4-825B-6C261184453C}" name="Column12080"/>
    <tableColumn id="12095" xr3:uid="{724CA5F8-D502-4282-9AD9-42F091B89807}" name="Column12081"/>
    <tableColumn id="12096" xr3:uid="{21E82284-5423-463F-B10A-947012AB1029}" name="Column12082"/>
    <tableColumn id="12097" xr3:uid="{376BB8A1-44BD-46E4-8428-037FFDEBAFD7}" name="Column12083"/>
    <tableColumn id="12098" xr3:uid="{20E200D4-D478-4CF3-869D-7BF1217B85AC}" name="Column12084"/>
    <tableColumn id="12099" xr3:uid="{9C8B5368-F232-4E2E-AF82-18F82C31FC91}" name="Column12085"/>
    <tableColumn id="12100" xr3:uid="{14C71B59-2AC1-426C-99FE-56C276E8D373}" name="Column12086"/>
    <tableColumn id="12101" xr3:uid="{B7A54DF2-D056-4145-8A40-A65801D1DE83}" name="Column12087"/>
    <tableColumn id="12102" xr3:uid="{2FEEE28F-46CE-4E28-BB05-A3EE329D64FA}" name="Column12088"/>
    <tableColumn id="12103" xr3:uid="{B4DEED68-A499-4293-AEBA-586239A0A4DC}" name="Column12089"/>
    <tableColumn id="12104" xr3:uid="{19F6F838-CA64-49AD-879E-3A16CB5BA2B7}" name="Column12090"/>
    <tableColumn id="12105" xr3:uid="{4F9DF275-3FD8-471B-924C-CFE4191B5D2A}" name="Column12091"/>
    <tableColumn id="12106" xr3:uid="{C539C00E-981B-4A55-8C15-B4AB770E3DCD}" name="Column12092"/>
    <tableColumn id="12107" xr3:uid="{B46FCBF8-F04F-435C-80A7-0498C89ADDF9}" name="Column12093"/>
    <tableColumn id="12108" xr3:uid="{961EA067-C57C-4C62-8FDC-1447AD0CA727}" name="Column12094"/>
    <tableColumn id="12109" xr3:uid="{9C6D0044-5D74-4F55-B037-29994D2EB85D}" name="Column12095"/>
    <tableColumn id="12110" xr3:uid="{B847DFB4-7D6E-4E06-8043-A6C944AD37DB}" name="Column12096"/>
    <tableColumn id="12111" xr3:uid="{1E92BFC5-D6F8-48CF-9D40-3F0183BBA557}" name="Column12097"/>
    <tableColumn id="12112" xr3:uid="{4C1C076B-CADF-48CA-8021-31F5C4221431}" name="Column12098"/>
    <tableColumn id="12113" xr3:uid="{F83C0BA2-B84A-435B-BD0E-3B4D9B4F5726}" name="Column12099"/>
    <tableColumn id="12114" xr3:uid="{28C3B01B-7CDC-43D7-9355-F5247D8F2A17}" name="Column12100"/>
    <tableColumn id="12115" xr3:uid="{0AE0168C-D780-449F-A70C-CFD03008D25E}" name="Column12101"/>
    <tableColumn id="12116" xr3:uid="{1CC1F5C7-7794-4AFE-8657-65FF710C0E2A}" name="Column12102"/>
    <tableColumn id="12117" xr3:uid="{0F3080AC-C4C0-4B2A-AE99-178DA279C9CF}" name="Column12103"/>
    <tableColumn id="12118" xr3:uid="{BA95FB70-8D47-4305-BB78-3EFB1C5022E1}" name="Column12104"/>
    <tableColumn id="12119" xr3:uid="{48B821CE-4C8C-4B44-B83D-558CEC8CCE53}" name="Column12105"/>
    <tableColumn id="12120" xr3:uid="{BF444474-6141-4FB1-95D9-981D24BAA604}" name="Column12106"/>
    <tableColumn id="12121" xr3:uid="{5A928EB9-658F-4B47-81DA-F2FE06A12440}" name="Column12107"/>
    <tableColumn id="12122" xr3:uid="{4E059C82-02E4-4649-BBCB-0B054E7A65F3}" name="Column12108"/>
    <tableColumn id="12123" xr3:uid="{DEFE2E99-69DA-4698-8783-68A48A7C3564}" name="Column12109"/>
    <tableColumn id="12124" xr3:uid="{765C6BAA-8E57-4FEA-8328-7CFA40DF175C}" name="Column12110"/>
    <tableColumn id="12125" xr3:uid="{A2315E2A-C4B0-4787-9D7D-576A1D51BED1}" name="Column12111"/>
    <tableColumn id="12126" xr3:uid="{5767C2B9-648D-412B-9435-966031FAF790}" name="Column12112"/>
    <tableColumn id="12127" xr3:uid="{7BBE62E2-A1BA-413A-839A-B59452A48A42}" name="Column12113"/>
    <tableColumn id="12128" xr3:uid="{05BDB33F-848C-447C-92A1-3865BF835181}" name="Column12114"/>
    <tableColumn id="12129" xr3:uid="{590B86B4-926D-4249-9D43-81387E5F236C}" name="Column12115"/>
    <tableColumn id="12130" xr3:uid="{2F4DEB42-2380-41E2-ADAE-D47DD970A684}" name="Column12116"/>
    <tableColumn id="12131" xr3:uid="{C1E1007A-38B6-4167-BBD2-B2E16B3887AD}" name="Column12117"/>
    <tableColumn id="12132" xr3:uid="{22B640AD-9443-49F4-8A3D-FE8A57DE61AD}" name="Column12118"/>
    <tableColumn id="12133" xr3:uid="{EA695D29-00FF-42C8-9552-A3A79F0BE3EA}" name="Column12119"/>
    <tableColumn id="12134" xr3:uid="{8AF4AE3D-B145-48E9-BA5E-F5C71181FF9A}" name="Column12120"/>
    <tableColumn id="12135" xr3:uid="{43D43E20-2D50-43BE-A461-E28499FF52A3}" name="Column12121"/>
    <tableColumn id="12136" xr3:uid="{E6664F4C-4C0E-4F50-83B1-DDDA6223A83E}" name="Column12122"/>
    <tableColumn id="12137" xr3:uid="{F518D5FA-07D7-417F-9D78-1198FFC123A8}" name="Column12123"/>
    <tableColumn id="12138" xr3:uid="{9A4189F0-3D84-4DA6-A454-575F78BCCD10}" name="Column12124"/>
    <tableColumn id="12139" xr3:uid="{3DF8A608-8410-4436-A172-30D1CDF6800E}" name="Column12125"/>
    <tableColumn id="12140" xr3:uid="{722055FD-D4E6-4B58-998A-B71D919EDC85}" name="Column12126"/>
    <tableColumn id="12141" xr3:uid="{FDB7A96F-71B8-4489-9AC5-703F57E2AE8D}" name="Column12127"/>
    <tableColumn id="12142" xr3:uid="{D0337CCB-906C-4B39-B119-3CFE0172D4FA}" name="Column12128"/>
    <tableColumn id="12143" xr3:uid="{F01F4107-5E69-40C0-A568-5EE2EFDAFEC9}" name="Column12129"/>
    <tableColumn id="12144" xr3:uid="{C29B27F5-75A8-4C50-921C-733099163B77}" name="Column12130"/>
    <tableColumn id="12145" xr3:uid="{3E293B91-31F6-43CF-A96C-F69525C27773}" name="Column12131"/>
    <tableColumn id="12146" xr3:uid="{E2AAE08B-A2BB-4A50-A6C7-518775FDC57C}" name="Column12132"/>
    <tableColumn id="12147" xr3:uid="{B8E7A408-58A0-4032-AFB8-6851B021C00F}" name="Column12133"/>
    <tableColumn id="12148" xr3:uid="{941DAB76-CC3B-4B43-A268-7B07E9D19356}" name="Column12134"/>
    <tableColumn id="12149" xr3:uid="{8A03B7F4-06C8-4D3B-8DA0-7EECA3F65316}" name="Column12135"/>
    <tableColumn id="12150" xr3:uid="{053050E7-769E-4F17-B822-23DC9D6DF639}" name="Column12136"/>
    <tableColumn id="12151" xr3:uid="{5C2BA637-5E44-41AE-B68F-CCB4F9AC8940}" name="Column12137"/>
    <tableColumn id="12152" xr3:uid="{22CE0269-010B-42E5-B5DF-5933463240D9}" name="Column12138"/>
    <tableColumn id="12153" xr3:uid="{5D4A9686-C3D4-47C9-BD98-19BFDB97C421}" name="Column12139"/>
    <tableColumn id="12154" xr3:uid="{8665983B-92F0-4257-B5D6-D6AC216228A1}" name="Column12140"/>
    <tableColumn id="12155" xr3:uid="{9E3CDCF8-69E0-4B67-88A6-704FEACD33BD}" name="Column12141"/>
    <tableColumn id="12156" xr3:uid="{963A3868-9F14-47A1-A378-6020B05D0E64}" name="Column12142"/>
    <tableColumn id="12157" xr3:uid="{A4B05D23-F361-41B1-A31D-850FD9898D21}" name="Column12143"/>
    <tableColumn id="12158" xr3:uid="{072F3FE2-3ACE-46A1-B3BF-F0DCBE20C611}" name="Column12144"/>
    <tableColumn id="12159" xr3:uid="{1DEF150F-4BCF-4938-91BF-DAD5E9B15678}" name="Column12145"/>
    <tableColumn id="12160" xr3:uid="{44D8FACE-A3C0-445F-9EF9-1456424970F2}" name="Column12146"/>
    <tableColumn id="12161" xr3:uid="{A1153CB5-0020-4285-9CEC-207EA64A0BCC}" name="Column12147"/>
    <tableColumn id="12162" xr3:uid="{13EF23EB-9FF0-4359-9A20-5450C5E7E9B5}" name="Column12148"/>
    <tableColumn id="12163" xr3:uid="{30A58CB1-DFC6-45E6-AEB2-974E7F0460F6}" name="Column12149"/>
    <tableColumn id="12164" xr3:uid="{EEE13111-7468-4E5F-BBAC-5862D3830ABE}" name="Column12150"/>
    <tableColumn id="12165" xr3:uid="{7D5A34B3-719B-438A-BD22-C0E7E3F01742}" name="Column12151"/>
    <tableColumn id="12166" xr3:uid="{65B323F6-8171-4F9C-A38E-0BD30C028735}" name="Column12152"/>
    <tableColumn id="12167" xr3:uid="{47C2C6A0-2E76-4BA0-B74F-F80C52CD305D}" name="Column12153"/>
    <tableColumn id="12168" xr3:uid="{2D3CFCDF-6EFD-4C3A-92DE-1C02209570D9}" name="Column12154"/>
    <tableColumn id="12169" xr3:uid="{80D03ED7-1618-4CDD-9250-13E5A6DDE66A}" name="Column12155"/>
    <tableColumn id="12170" xr3:uid="{E93F9490-6609-4B2D-A8D7-970F4D38945C}" name="Column12156"/>
    <tableColumn id="12171" xr3:uid="{C9C2E45B-0A6E-41E7-816E-0567A3008C5F}" name="Column12157"/>
    <tableColumn id="12172" xr3:uid="{2C578922-2DAB-4F26-9525-C1CF000122DC}" name="Column12158"/>
    <tableColumn id="12173" xr3:uid="{A10859CF-2FF4-406B-B74B-B7B6908F0E9D}" name="Column12159"/>
    <tableColumn id="12174" xr3:uid="{76A5EA08-0BA2-42CC-936E-A06BAE757DAC}" name="Column12160"/>
    <tableColumn id="12175" xr3:uid="{D6E1832A-B3EF-4C74-9D3D-E5111D665FF2}" name="Column12161"/>
    <tableColumn id="12176" xr3:uid="{67586F21-B2E0-4F49-8DF6-CF1FF71430AE}" name="Column12162"/>
    <tableColumn id="12177" xr3:uid="{7B0CC8E5-20E3-44FA-B6A1-42D0E946ADC8}" name="Column12163"/>
    <tableColumn id="12178" xr3:uid="{5B65CBD7-C02D-4680-B824-24151A48B855}" name="Column12164"/>
    <tableColumn id="12179" xr3:uid="{57100EA8-B017-4107-8842-DA26BFE9EE71}" name="Column12165"/>
    <tableColumn id="12180" xr3:uid="{2F3E1D92-1613-47B2-BF59-C43DE01CD01F}" name="Column12166"/>
    <tableColumn id="12181" xr3:uid="{2EF2527F-18C7-4143-B19E-2AE0B70512CF}" name="Column12167"/>
    <tableColumn id="12182" xr3:uid="{E107A242-5159-4328-B849-09D86CD3996E}" name="Column12168"/>
    <tableColumn id="12183" xr3:uid="{36528D88-C054-44B5-B941-988A5DFE3A5F}" name="Column12169"/>
    <tableColumn id="12184" xr3:uid="{3E63946E-B09B-46BA-9626-EF5F3BFB3D5B}" name="Column12170"/>
    <tableColumn id="12185" xr3:uid="{C5E037AD-0CB8-4C74-9821-95EF3A841E34}" name="Column12171"/>
    <tableColumn id="12186" xr3:uid="{EC0C1D7C-9155-4905-9064-F6636E739CC9}" name="Column12172"/>
    <tableColumn id="12187" xr3:uid="{4FCF0DA1-9D6C-4479-9763-5A446B2CA655}" name="Column12173"/>
    <tableColumn id="12188" xr3:uid="{C229FEF5-30F5-4452-944D-86C146ADA4EA}" name="Column12174"/>
    <tableColumn id="12189" xr3:uid="{991866AC-8E37-423E-8604-1ED556E6591A}" name="Column12175"/>
    <tableColumn id="12190" xr3:uid="{00F642BC-8F37-4721-B13C-7DCD1BBB5885}" name="Column12176"/>
    <tableColumn id="12191" xr3:uid="{F4B8B737-762B-4829-BBE6-CC7EB0865D4A}" name="Column12177"/>
    <tableColumn id="12192" xr3:uid="{0621454E-5373-4F65-9F1E-67895ABB1AE9}" name="Column12178"/>
    <tableColumn id="12193" xr3:uid="{05C7840A-B35A-4860-A2BA-9293E4BD1420}" name="Column12179"/>
    <tableColumn id="12194" xr3:uid="{B64928B0-596A-49DC-8F7A-A4CA42316104}" name="Column12180"/>
    <tableColumn id="12195" xr3:uid="{555D9436-FD50-40C3-A04D-407D199CF8D2}" name="Column12181"/>
    <tableColumn id="12196" xr3:uid="{B5F01C95-AC1C-44B9-8EB5-FCF06505A127}" name="Column12182"/>
    <tableColumn id="12197" xr3:uid="{700673F4-AA75-4F89-8F2F-10D8660794D9}" name="Column12183"/>
    <tableColumn id="12198" xr3:uid="{C35EA2C6-7A5F-4DED-8AA8-276DD57378A8}" name="Column12184"/>
    <tableColumn id="12199" xr3:uid="{31F7A037-A0EE-413D-9B02-62C4E0F89BF0}" name="Column12185"/>
    <tableColumn id="12200" xr3:uid="{60160969-5734-4A35-AC9D-02FCFDA90AC4}" name="Column12186"/>
    <tableColumn id="12201" xr3:uid="{AA658662-D659-478C-860B-1956AAE6ED2A}" name="Column12187"/>
    <tableColumn id="12202" xr3:uid="{FF34F3B5-4BC6-49F6-9A75-583DB8BCB587}" name="Column12188"/>
    <tableColumn id="12203" xr3:uid="{C0A14EC0-AECE-4B88-9396-634E75955BB2}" name="Column12189"/>
    <tableColumn id="12204" xr3:uid="{62A1278C-9FAA-42B7-AB24-3D3A4A76C47E}" name="Column12190"/>
    <tableColumn id="12205" xr3:uid="{B1224F21-376A-4E9B-8345-557FD6A7D08A}" name="Column12191"/>
    <tableColumn id="12206" xr3:uid="{170FA764-5C67-4B49-B7AF-18D77C16E72C}" name="Column12192"/>
    <tableColumn id="12207" xr3:uid="{3804BB31-350B-409C-938D-074A34BD72B4}" name="Column12193"/>
    <tableColumn id="12208" xr3:uid="{FBEF344D-D605-4356-9A6A-879E8E377943}" name="Column12194"/>
    <tableColumn id="12209" xr3:uid="{3A80B8E3-4D6D-4AD2-9959-D332B82F1430}" name="Column12195"/>
    <tableColumn id="12210" xr3:uid="{C94D7E02-96DF-4666-91FC-1FD92793A2BF}" name="Column12196"/>
    <tableColumn id="12211" xr3:uid="{0567E327-7EE9-44AB-A502-5320572F3E99}" name="Column12197"/>
    <tableColumn id="12212" xr3:uid="{811CE380-45D1-4525-9303-483B6A18AD48}" name="Column12198"/>
    <tableColumn id="12213" xr3:uid="{C4DAF573-6EB8-4401-8D07-56133B4A6A75}" name="Column12199"/>
    <tableColumn id="12214" xr3:uid="{70DB30BC-43C4-448F-9E0A-4FD09224E224}" name="Column12200"/>
    <tableColumn id="12215" xr3:uid="{598392BF-B6D9-412B-A78B-50761A0A9221}" name="Column12201"/>
    <tableColumn id="12216" xr3:uid="{A74DA37A-7136-43A3-A651-F0ABF636BA1D}" name="Column12202"/>
    <tableColumn id="12217" xr3:uid="{2114962B-D8FF-4B78-A71D-C8D00ADC0BEA}" name="Column12203"/>
    <tableColumn id="12218" xr3:uid="{4F83EB29-FFAD-46FC-A9F1-40EE76B83B1B}" name="Column12204"/>
    <tableColumn id="12219" xr3:uid="{90F8D683-111A-447E-903F-93F77D5D2196}" name="Column12205"/>
    <tableColumn id="12220" xr3:uid="{0507E4A9-8CF6-4DFE-9CDF-49BF3D9A2D57}" name="Column12206"/>
    <tableColumn id="12221" xr3:uid="{F0FD6A5D-07D3-4787-8411-E8EDA93A322A}" name="Column12207"/>
    <tableColumn id="12222" xr3:uid="{1FF5CF2E-F465-4922-A6D8-C7BE6B3664FD}" name="Column12208"/>
    <tableColumn id="12223" xr3:uid="{DBD4BAD3-5A00-479D-A4DC-3D5735C88119}" name="Column12209"/>
    <tableColumn id="12224" xr3:uid="{6828C059-AC27-4242-8834-8BA3A11A1CE5}" name="Column12210"/>
    <tableColumn id="12225" xr3:uid="{038D0D54-62E0-4EA5-9FF1-6D7D74AE686D}" name="Column12211"/>
    <tableColumn id="12226" xr3:uid="{4A38097C-CF83-48DF-8020-781E57C6296B}" name="Column12212"/>
    <tableColumn id="12227" xr3:uid="{C2560B40-398C-4F13-B47E-2722563B0293}" name="Column12213"/>
    <tableColumn id="12228" xr3:uid="{6FBFED52-9CB3-49D4-A3D2-964541D64210}" name="Column12214"/>
    <tableColumn id="12229" xr3:uid="{1EE05856-BA80-448F-8F02-21467D7D8D95}" name="Column12215"/>
    <tableColumn id="12230" xr3:uid="{545D08D3-D624-42F7-991D-376BD2B1C219}" name="Column12216"/>
    <tableColumn id="12231" xr3:uid="{FB4D4903-3A0A-4D40-B4C3-3317DCD4A9EC}" name="Column12217"/>
    <tableColumn id="12232" xr3:uid="{3C260DC6-D239-43C1-BA0D-9CB51C6ADFCB}" name="Column12218"/>
    <tableColumn id="12233" xr3:uid="{F2C7158A-15CD-4ADD-A528-349EC1693D5C}" name="Column12219"/>
    <tableColumn id="12234" xr3:uid="{922AC1A4-889E-4D8D-B5B2-7FB001AD66F4}" name="Column12220"/>
    <tableColumn id="12235" xr3:uid="{49437534-DFED-4B23-A8B7-136F90237B09}" name="Column12221"/>
    <tableColumn id="12236" xr3:uid="{941A9476-3FCC-452B-BB9A-9987D4705760}" name="Column12222"/>
    <tableColumn id="12237" xr3:uid="{440FE498-1C8E-4457-A388-3B3BFD29FA17}" name="Column12223"/>
    <tableColumn id="12238" xr3:uid="{26F2C276-C244-45B2-BB99-266DA5B1C250}" name="Column12224"/>
    <tableColumn id="12239" xr3:uid="{0D85534C-7DD1-4B60-9189-B58BE733E57B}" name="Column12225"/>
    <tableColumn id="12240" xr3:uid="{2A817162-C120-4813-8C44-F8DF202E382C}" name="Column12226"/>
    <tableColumn id="12241" xr3:uid="{E84E7BB7-F2FD-455B-9B61-9115F7B02412}" name="Column12227"/>
    <tableColumn id="12242" xr3:uid="{62233B3C-7318-40AD-88D7-3BA6756DFEC2}" name="Column12228"/>
    <tableColumn id="12243" xr3:uid="{2C9EF235-6697-4B48-A5C4-C1B34BA9218B}" name="Column12229"/>
    <tableColumn id="12244" xr3:uid="{C48D2E72-12D7-4BB6-AE88-583BA54826B3}" name="Column12230"/>
    <tableColumn id="12245" xr3:uid="{7F6B6AE4-CD8F-4CA1-A48E-CF613BE4A8DD}" name="Column12231"/>
    <tableColumn id="12246" xr3:uid="{C454C89A-49F9-4F96-9246-E3CA193FF40C}" name="Column12232"/>
    <tableColumn id="12247" xr3:uid="{8DAD578D-E13D-4086-9A02-4C85CFB3932B}" name="Column12233"/>
    <tableColumn id="12248" xr3:uid="{9D3E1A60-E9C3-438C-9133-76EBE3E682AB}" name="Column12234"/>
    <tableColumn id="12249" xr3:uid="{70F61598-05F2-4AED-AE26-6B2C6BC264FC}" name="Column12235"/>
    <tableColumn id="12250" xr3:uid="{2B30B644-2106-4656-B9AD-F848CCF00DA4}" name="Column12236"/>
    <tableColumn id="12251" xr3:uid="{D96C0541-E604-42F1-9232-09B2EC14AFCB}" name="Column12237"/>
    <tableColumn id="12252" xr3:uid="{821D6F6D-EF16-4256-917D-A21AA0FB3416}" name="Column12238"/>
    <tableColumn id="12253" xr3:uid="{12327237-95D7-4C04-AEAB-18E0D5CA5A16}" name="Column12239"/>
    <tableColumn id="12254" xr3:uid="{EB311286-8C03-4B17-ACD0-0773BF5829D2}" name="Column12240"/>
    <tableColumn id="12255" xr3:uid="{B4884B59-89D5-42FE-BC5D-6AF19BB540BE}" name="Column12241"/>
    <tableColumn id="12256" xr3:uid="{C4A9BAD7-D2B7-403F-BF4E-FDAE5EA47D25}" name="Column12242"/>
    <tableColumn id="12257" xr3:uid="{79AB575D-725A-4F1E-8573-E1EC5DCC848B}" name="Column12243"/>
    <tableColumn id="12258" xr3:uid="{C43E978C-9BFB-4573-AC94-CBEBCFE22161}" name="Column12244"/>
    <tableColumn id="12259" xr3:uid="{4AAFBAED-B706-437B-AC74-C10FCDEE7A94}" name="Column12245"/>
    <tableColumn id="12260" xr3:uid="{A40B6F2D-4A61-4E27-A9E1-7F79B7C5E0D3}" name="Column12246"/>
    <tableColumn id="12261" xr3:uid="{264356CE-23C7-4644-8572-9B18803A1180}" name="Column12247"/>
    <tableColumn id="12262" xr3:uid="{BEE2C032-5878-44F4-93FE-0E1CE2DA1250}" name="Column12248"/>
    <tableColumn id="12263" xr3:uid="{D38B9A8D-71F4-420B-9B6C-A64794A4FDB8}" name="Column12249"/>
    <tableColumn id="12264" xr3:uid="{86F90922-4B3D-48E2-87DD-9627B7A6A770}" name="Column12250"/>
    <tableColumn id="12265" xr3:uid="{80963441-3AD4-460B-BEA3-1644DC898FA5}" name="Column12251"/>
    <tableColumn id="12266" xr3:uid="{1D29B2B7-ACE8-47B9-9CCF-DA885EB5FF16}" name="Column12252"/>
    <tableColumn id="12267" xr3:uid="{C09C6C24-82D6-4E47-94A9-04C93AA2F3BA}" name="Column12253"/>
    <tableColumn id="12268" xr3:uid="{A4BCE285-E5C2-4CF2-A50A-32B0323FBD00}" name="Column12254"/>
    <tableColumn id="12269" xr3:uid="{08105AEF-1990-4B15-AF70-5F7902E06B42}" name="Column12255"/>
    <tableColumn id="12270" xr3:uid="{AA7517E5-F806-4A80-9352-F8FD03B979C3}" name="Column12256"/>
    <tableColumn id="12271" xr3:uid="{A7A23E23-1169-41B4-B0D6-F6EBDF429FA8}" name="Column12257"/>
    <tableColumn id="12272" xr3:uid="{226D9297-2B11-461A-BBC7-ECC96EB1459E}" name="Column12258"/>
    <tableColumn id="12273" xr3:uid="{426FFB14-BD00-42BD-92BB-4656B2931B81}" name="Column12259"/>
    <tableColumn id="12274" xr3:uid="{FA3C2C9B-CF54-45B6-AC90-78720EB3BA9A}" name="Column12260"/>
    <tableColumn id="12275" xr3:uid="{72D7AD02-1F08-422D-875D-C16C722F6E8F}" name="Column12261"/>
    <tableColumn id="12276" xr3:uid="{CBFF73BA-7903-45E3-80FE-881A9702B60D}" name="Column12262"/>
    <tableColumn id="12277" xr3:uid="{30526718-6214-47E9-8F48-804096E237C7}" name="Column12263"/>
    <tableColumn id="12278" xr3:uid="{C773F004-83A7-4D76-B8BF-5AD5197AA7C0}" name="Column12264"/>
    <tableColumn id="12279" xr3:uid="{A0AA4483-1A8B-4CD7-907A-6A193A97CD77}" name="Column12265"/>
    <tableColumn id="12280" xr3:uid="{632C158C-8402-466B-8D20-3DAA1F96DC8D}" name="Column12266"/>
    <tableColumn id="12281" xr3:uid="{343C70A8-5B68-41B0-9F02-B3BFE19E9140}" name="Column12267"/>
    <tableColumn id="12282" xr3:uid="{F1068F3A-7A52-4B08-877E-2A00BC771AD5}" name="Column12268"/>
    <tableColumn id="12283" xr3:uid="{F3238DC4-0D61-473C-A03D-8023F07184E0}" name="Column12269"/>
    <tableColumn id="12284" xr3:uid="{1AD8B9C0-C186-42ED-96BB-0CEE6DBA8679}" name="Column12270"/>
    <tableColumn id="12285" xr3:uid="{600BD357-C16F-4584-96C7-DEE1CCE89BC7}" name="Column12271"/>
    <tableColumn id="12286" xr3:uid="{A6A2B9F5-3EE3-4CBD-80EA-C808C054F663}" name="Column12272"/>
    <tableColumn id="12287" xr3:uid="{DCADC741-E2B2-45CC-B32F-C344E53167F7}" name="Column12273"/>
    <tableColumn id="12288" xr3:uid="{B430127D-35A6-47A3-9ADD-AB3F3486109E}" name="Column12274"/>
    <tableColumn id="12289" xr3:uid="{F3F84560-1F7A-4D19-9CA8-B87D82629347}" name="Column12275"/>
    <tableColumn id="12290" xr3:uid="{E7C34F46-6376-485A-95D2-639B79EAAB14}" name="Column12276"/>
    <tableColumn id="12291" xr3:uid="{9707C4C2-E5A5-477E-8881-DB97756A5BC6}" name="Column12277"/>
    <tableColumn id="12292" xr3:uid="{20303B28-F117-44F4-85BB-822884C44FD2}" name="Column12278"/>
    <tableColumn id="12293" xr3:uid="{FC3DEEF7-02AA-40B0-AD85-A4A9B5C0753D}" name="Column12279"/>
    <tableColumn id="12294" xr3:uid="{BCBC5D44-D42D-4174-B80A-E4A532705B12}" name="Column12280"/>
    <tableColumn id="12295" xr3:uid="{1874CD02-7452-428A-8604-D76358AAE159}" name="Column12281"/>
    <tableColumn id="12296" xr3:uid="{E8A92774-ECCF-42EC-97FC-AB6687C66FCE}" name="Column12282"/>
    <tableColumn id="12297" xr3:uid="{8D6D957A-E4E0-40A1-8D87-E775FD7815B1}" name="Column12283"/>
    <tableColumn id="12298" xr3:uid="{8F9A6605-4666-4BDB-B724-5EC4E66D93B4}" name="Column12284"/>
    <tableColumn id="12299" xr3:uid="{9B275000-4752-4BD7-A765-934E05B28EB5}" name="Column12285"/>
    <tableColumn id="12300" xr3:uid="{6BA2C1B9-CD68-483D-88B7-DE06CFC8B5F0}" name="Column12286"/>
    <tableColumn id="12301" xr3:uid="{CB4B96EB-5909-4BA1-B582-2A6B34D89019}" name="Column12287"/>
    <tableColumn id="12302" xr3:uid="{822EFEBB-B6FC-455D-8FE3-B62F838631E1}" name="Column12288"/>
    <tableColumn id="12303" xr3:uid="{6AA3664B-4727-406B-BF2A-23DB2B804DC5}" name="Column12289"/>
    <tableColumn id="12304" xr3:uid="{2FBB4D1D-715C-435F-82A5-27E7F9934791}" name="Column12290"/>
    <tableColumn id="12305" xr3:uid="{33709C7F-6115-4ACE-BD5B-56FDB5330D52}" name="Column12291"/>
    <tableColumn id="12306" xr3:uid="{21D1AF96-A5DD-4A49-A9DC-6D52090E99F5}" name="Column12292"/>
    <tableColumn id="12307" xr3:uid="{409B4797-EA30-4A45-96D0-63B8D093390D}" name="Column12293"/>
    <tableColumn id="12308" xr3:uid="{F2E3ECDB-06E5-49AA-9E5F-BEB5B8FB30B8}" name="Column12294"/>
    <tableColumn id="12309" xr3:uid="{91B44B45-737D-4940-BE4F-515A2E8FBEA6}" name="Column12295"/>
    <tableColumn id="12310" xr3:uid="{59753A5B-FA0A-4510-852D-B0D5C17A06EC}" name="Column12296"/>
    <tableColumn id="12311" xr3:uid="{998736F9-3F8B-4FB6-BB55-6BA91B0C0E87}" name="Column12297"/>
    <tableColumn id="12312" xr3:uid="{C9EA2896-B404-49D1-BD07-C2D67C736F15}" name="Column12298"/>
    <tableColumn id="12313" xr3:uid="{7BA89A5E-18CE-41C7-9994-98E76530E42C}" name="Column12299"/>
    <tableColumn id="12314" xr3:uid="{B4E50283-8F5B-4691-8879-B883DA24F15F}" name="Column12300"/>
    <tableColumn id="12315" xr3:uid="{63A52CEA-37AE-4841-A297-64065D6D600A}" name="Column12301"/>
    <tableColumn id="12316" xr3:uid="{863209BA-069F-47E5-8A17-B0A20DE6A7A7}" name="Column12302"/>
    <tableColumn id="12317" xr3:uid="{E2234CA6-2420-4E23-93E3-51D3D11354A9}" name="Column12303"/>
    <tableColumn id="12318" xr3:uid="{476BB501-8367-421D-B683-372A73845EA8}" name="Column12304"/>
    <tableColumn id="12319" xr3:uid="{DCFAC8A0-776A-4D77-9520-08EE00FC8F83}" name="Column12305"/>
    <tableColumn id="12320" xr3:uid="{6AF7D39F-B5BB-4866-83B6-261A31AF7391}" name="Column12306"/>
    <tableColumn id="12321" xr3:uid="{0C4504D2-565F-4B72-9D1C-A78CF283B98C}" name="Column12307"/>
    <tableColumn id="12322" xr3:uid="{971044DC-CA31-49C7-9111-C83017FD14A8}" name="Column12308"/>
    <tableColumn id="12323" xr3:uid="{5E10AAE4-607E-44EC-9588-FEDBBC3F8E4A}" name="Column12309"/>
    <tableColumn id="12324" xr3:uid="{8AF5D90E-890A-4AC5-A613-23D9C7D94BB3}" name="Column12310"/>
    <tableColumn id="12325" xr3:uid="{795DC9C9-8774-4D2E-8841-1FE41C7DA902}" name="Column12311"/>
    <tableColumn id="12326" xr3:uid="{675DDA9C-D7AF-4CB2-895D-D0AFCC69B335}" name="Column12312"/>
    <tableColumn id="12327" xr3:uid="{4ADD01EF-8192-431F-915E-BB36800D688F}" name="Column12313"/>
    <tableColumn id="12328" xr3:uid="{F5EEC157-74C8-4417-9219-0F03140BF63E}" name="Column12314"/>
    <tableColumn id="12329" xr3:uid="{D9A05FA7-EA3A-4D92-B793-D05E1AFD6399}" name="Column12315"/>
    <tableColumn id="12330" xr3:uid="{35F9EA8E-6C8B-4D8E-AEB6-020F17C23790}" name="Column12316"/>
    <tableColumn id="12331" xr3:uid="{D1DA43B8-70A3-4526-BF2D-9C325F46D06D}" name="Column12317"/>
    <tableColumn id="12332" xr3:uid="{1C99DC36-B9CF-44CB-8A2B-8661F16D3DCC}" name="Column12318"/>
    <tableColumn id="12333" xr3:uid="{EEDE3B0C-1EC3-429E-8FED-5226F8E708F1}" name="Column12319"/>
    <tableColumn id="12334" xr3:uid="{48C38C8E-A92E-4B53-8F6C-2E68A87B0A9D}" name="Column12320"/>
    <tableColumn id="12335" xr3:uid="{8652939E-D868-4A72-ADFC-8A9A853539DB}" name="Column12321"/>
    <tableColumn id="12336" xr3:uid="{9A6BC614-9EDA-4FE7-8846-26B995D1A687}" name="Column12322"/>
    <tableColumn id="12337" xr3:uid="{40253E34-2B13-4F72-9DA2-6AB51175E6BE}" name="Column12323"/>
    <tableColumn id="12338" xr3:uid="{CE2013C2-E3F8-4D7F-8C31-1B749C605B80}" name="Column12324"/>
    <tableColumn id="12339" xr3:uid="{AE896BF5-EBED-417C-8513-E5C5D5F663CF}" name="Column12325"/>
    <tableColumn id="12340" xr3:uid="{695D39E5-234B-4A14-886C-4A25F43B94A9}" name="Column12326"/>
    <tableColumn id="12341" xr3:uid="{6A29B20C-02DA-425E-80BE-7AB3F60CBFCA}" name="Column12327"/>
    <tableColumn id="12342" xr3:uid="{61E87E1F-FFE2-4AB2-A2C7-B0DFAFB7922E}" name="Column12328"/>
    <tableColumn id="12343" xr3:uid="{C585CE5B-4D5C-4493-B395-C64AC340AD65}" name="Column12329"/>
    <tableColumn id="12344" xr3:uid="{E1D238C4-29A1-4982-8A53-08F58A921D4A}" name="Column12330"/>
    <tableColumn id="12345" xr3:uid="{ECA0E0B7-B2E2-421F-A471-3BB9FED6A73C}" name="Column12331"/>
    <tableColumn id="12346" xr3:uid="{4ABCC2CB-2C0C-4A32-A429-8AC03D67EF05}" name="Column12332"/>
    <tableColumn id="12347" xr3:uid="{3485D5BC-697A-47A4-AAAF-D063561CCC98}" name="Column12333"/>
    <tableColumn id="12348" xr3:uid="{3A2229E9-F80C-4C14-93FA-16C1AE955F25}" name="Column12334"/>
    <tableColumn id="12349" xr3:uid="{504745AB-20D3-4FFA-B731-969ACB0166A3}" name="Column12335"/>
    <tableColumn id="12350" xr3:uid="{9B37ADDE-BC08-49E8-AB91-D64B05282D1B}" name="Column12336"/>
    <tableColumn id="12351" xr3:uid="{2F92CEBC-C314-4170-99FB-C4B1406161FC}" name="Column12337"/>
    <tableColumn id="12352" xr3:uid="{5B44113D-FF70-4EF4-8065-9A5ECFE09617}" name="Column12338"/>
    <tableColumn id="12353" xr3:uid="{9B16874C-E16C-4AFF-906D-86D270DB29F9}" name="Column12339"/>
    <tableColumn id="12354" xr3:uid="{3938BEC1-367E-4915-87D8-45CBBEDEAE65}" name="Column12340"/>
    <tableColumn id="12355" xr3:uid="{DF0FD84E-15A6-4F5E-9DC5-33BF25F8A687}" name="Column12341"/>
    <tableColumn id="12356" xr3:uid="{909E0AEA-5703-4FB6-B6AE-FBA3C091CD0A}" name="Column12342"/>
    <tableColumn id="12357" xr3:uid="{C21990A3-4C03-4269-B54B-FEC637BCB3DE}" name="Column12343"/>
    <tableColumn id="12358" xr3:uid="{53CD1A78-F96B-4246-97D0-D2D4B9872281}" name="Column12344"/>
    <tableColumn id="12359" xr3:uid="{D1E99CE8-307E-4AF1-82D1-FAD991B033C8}" name="Column12345"/>
    <tableColumn id="12360" xr3:uid="{4F1FC89A-9203-4400-BE17-42328A9B729C}" name="Column12346"/>
    <tableColumn id="12361" xr3:uid="{27E09092-6D21-44F4-A393-8DEEAAECB8BC}" name="Column12347"/>
    <tableColumn id="12362" xr3:uid="{4C6CA05D-0203-4342-A659-C0713BFE8868}" name="Column12348"/>
    <tableColumn id="12363" xr3:uid="{4FF41E3A-57C5-487F-8741-0CDD1951C934}" name="Column12349"/>
    <tableColumn id="12364" xr3:uid="{D8A0A5A3-EF3C-4C06-9980-FF95C08948A2}" name="Column12350"/>
    <tableColumn id="12365" xr3:uid="{FAC5A5E6-1B5E-4107-80A8-CA02016FA910}" name="Column12351"/>
    <tableColumn id="12366" xr3:uid="{099824A5-C3DF-4E0F-867D-996515DCA907}" name="Column12352"/>
    <tableColumn id="12367" xr3:uid="{1999953D-5F48-4F86-BA20-A3FAA40EFD11}" name="Column12353"/>
    <tableColumn id="12368" xr3:uid="{BF97848E-1D40-4C82-B83E-ED0625E1C576}" name="Column12354"/>
    <tableColumn id="12369" xr3:uid="{646C12F3-97B4-4400-B7D4-F1132DEE3324}" name="Column12355"/>
    <tableColumn id="12370" xr3:uid="{22ABD6A1-1C0C-4572-A59D-296F5499D119}" name="Column12356"/>
    <tableColumn id="12371" xr3:uid="{7135E6EB-FF3C-4FCD-A63A-5A70B7A3BBDF}" name="Column12357"/>
    <tableColumn id="12372" xr3:uid="{E8F28136-359D-4936-9720-BF245433089B}" name="Column12358"/>
    <tableColumn id="12373" xr3:uid="{FF03A44C-A15D-4FE4-ADC6-78AAD88BF2A7}" name="Column12359"/>
    <tableColumn id="12374" xr3:uid="{4CFEB778-6EDC-410B-BFA4-53C0C7A0A312}" name="Column12360"/>
    <tableColumn id="12375" xr3:uid="{741CCCDA-BF04-4118-BDF4-754535A0AA24}" name="Column12361"/>
    <tableColumn id="12376" xr3:uid="{A78890C3-DFFD-4CD6-B33B-515F85562EB8}" name="Column12362"/>
    <tableColumn id="12377" xr3:uid="{50F0DABD-8D50-4B8A-A1E0-9F9C36CC737C}" name="Column12363"/>
    <tableColumn id="12378" xr3:uid="{18FCC44C-14A3-47EA-A1DB-9E41849D6778}" name="Column12364"/>
    <tableColumn id="12379" xr3:uid="{297C84D1-9A45-446E-8575-3DE6C9B23637}" name="Column12365"/>
    <tableColumn id="12380" xr3:uid="{01A0B42E-29F4-455B-AD36-3590255214B9}" name="Column12366"/>
    <tableColumn id="12381" xr3:uid="{C2398419-6C06-4FB4-9C9D-8E23F91262E1}" name="Column12367"/>
    <tableColumn id="12382" xr3:uid="{948E5F6E-C01E-40E8-BE89-FFB2DA01D1AB}" name="Column12368"/>
    <tableColumn id="12383" xr3:uid="{C95D3548-48D0-460A-8B63-71CB5AFA0FE4}" name="Column12369"/>
    <tableColumn id="12384" xr3:uid="{3021ECC1-CE07-4BA1-919D-0F18AA1CE84B}" name="Column12370"/>
    <tableColumn id="12385" xr3:uid="{F17F2BA5-42C4-4EB7-BD81-3A24D0FEC903}" name="Column12371"/>
    <tableColumn id="12386" xr3:uid="{B278B547-6A5D-4C68-84F1-D03502CF9394}" name="Column12372"/>
    <tableColumn id="12387" xr3:uid="{35B8FF88-4B47-4FF9-8B3C-E69E7C1449FD}" name="Column12373"/>
    <tableColumn id="12388" xr3:uid="{2B76F2BC-7F43-412A-93F8-862A08350D69}" name="Column12374"/>
    <tableColumn id="12389" xr3:uid="{BAB69C0B-A647-4CA3-A3B6-87910C0C398B}" name="Column12375"/>
    <tableColumn id="12390" xr3:uid="{07D1E799-2C99-4FC9-9D0F-3840D1291DDE}" name="Column12376"/>
    <tableColumn id="12391" xr3:uid="{17D37814-1873-4140-B4B3-C69EA82822B1}" name="Column12377"/>
    <tableColumn id="12392" xr3:uid="{B4C2C750-C7C4-481E-8D8A-E24379D44414}" name="Column12378"/>
    <tableColumn id="12393" xr3:uid="{47BBC8F4-25E5-4C50-85EB-6016A7CACD09}" name="Column12379"/>
    <tableColumn id="12394" xr3:uid="{B564E818-A2B0-4DE6-A84F-411B21663C74}" name="Column12380"/>
    <tableColumn id="12395" xr3:uid="{92A6C3FF-7D28-4F93-8541-E8BDBBBB684F}" name="Column12381"/>
    <tableColumn id="12396" xr3:uid="{026C3E92-B5CF-4769-AAC0-4184BA880223}" name="Column12382"/>
    <tableColumn id="12397" xr3:uid="{0ECEEC6F-7949-4E35-8B23-52F7E7FC033D}" name="Column12383"/>
    <tableColumn id="12398" xr3:uid="{DC826C98-7CC3-4AEF-BC92-3A9418B19606}" name="Column12384"/>
    <tableColumn id="12399" xr3:uid="{1F7A5872-7C06-4CB5-87BC-7A6FA4404979}" name="Column12385"/>
    <tableColumn id="12400" xr3:uid="{2BF581CA-BDAA-4410-811F-1DB32F22C7CB}" name="Column12386"/>
    <tableColumn id="12401" xr3:uid="{8B6F9C20-B90B-47F5-9A3F-F89372D0DFF6}" name="Column12387"/>
    <tableColumn id="12402" xr3:uid="{378E382B-A9D1-4A93-9727-5F8F970CEAB4}" name="Column12388"/>
    <tableColumn id="12403" xr3:uid="{DB541EFD-9DB1-41D9-9B58-647ECBD44B2E}" name="Column12389"/>
    <tableColumn id="12404" xr3:uid="{B497C8AD-E2DC-4761-9E66-20ED1D92CD82}" name="Column12390"/>
    <tableColumn id="12405" xr3:uid="{20F1B83A-67EC-44B0-8FDE-0AB15FB9A65A}" name="Column12391"/>
    <tableColumn id="12406" xr3:uid="{551514DB-DB21-44A5-95E2-0371644A2B52}" name="Column12392"/>
    <tableColumn id="12407" xr3:uid="{BD028BC0-869E-41B5-B8A3-29207CA56F98}" name="Column12393"/>
    <tableColumn id="12408" xr3:uid="{A1A2834A-8C5E-4D7E-BEFD-22282E6D53CB}" name="Column12394"/>
    <tableColumn id="12409" xr3:uid="{91D0F753-2319-482A-9016-783E472D6915}" name="Column12395"/>
    <tableColumn id="12410" xr3:uid="{21E7CB57-67C8-48F4-854F-AE10DD86D47B}" name="Column12396"/>
    <tableColumn id="12411" xr3:uid="{0DC9337A-E141-4957-BC02-5E88DA3431A8}" name="Column12397"/>
    <tableColumn id="12412" xr3:uid="{1EB9689B-A953-4F63-AEA1-45300C31FE24}" name="Column12398"/>
    <tableColumn id="12413" xr3:uid="{92494D2B-447D-4401-8EC0-1A320AD65AFF}" name="Column12399"/>
    <tableColumn id="12414" xr3:uid="{187FA8DB-802F-4714-9103-01100BA6B22E}" name="Column12400"/>
    <tableColumn id="12415" xr3:uid="{99AE63AE-12ED-40AF-9428-22A96B54828E}" name="Column12401"/>
    <tableColumn id="12416" xr3:uid="{04611115-69F5-4AAF-AA43-5CE05E055674}" name="Column12402"/>
    <tableColumn id="12417" xr3:uid="{A65CF11B-3106-4106-A237-A98E5FBF998C}" name="Column12403"/>
    <tableColumn id="12418" xr3:uid="{238F08D0-8EEA-4087-91D2-005C0E5295C4}" name="Column12404"/>
    <tableColumn id="12419" xr3:uid="{05798C94-590D-4BDE-ACEB-C8D3408AE91F}" name="Column12405"/>
    <tableColumn id="12420" xr3:uid="{E7FA7E37-F04E-4F34-8D5E-44EAD930CEE7}" name="Column12406"/>
    <tableColumn id="12421" xr3:uid="{F0F1D810-FAFA-4181-B192-F0368F5D86C8}" name="Column12407"/>
    <tableColumn id="12422" xr3:uid="{13505E76-D676-4830-BF75-83A970932362}" name="Column12408"/>
    <tableColumn id="12423" xr3:uid="{A0BA79B5-B34D-4315-963D-DE516591EDE8}" name="Column12409"/>
    <tableColumn id="12424" xr3:uid="{0724E78B-CBCA-405C-8ABE-3E7C3289EAB5}" name="Column12410"/>
    <tableColumn id="12425" xr3:uid="{01F89A1C-6CC1-4002-AF52-CD58ED6F66F6}" name="Column12411"/>
    <tableColumn id="12426" xr3:uid="{6E7B5FE4-CC91-4D32-BB41-6D063FCE2F40}" name="Column12412"/>
    <tableColumn id="12427" xr3:uid="{8CAD5D3E-35F2-48FF-9142-994DD1E392AE}" name="Column12413"/>
    <tableColumn id="12428" xr3:uid="{108CA018-A663-4526-8FCE-E494E874CC42}" name="Column12414"/>
    <tableColumn id="12429" xr3:uid="{0D304E5E-9C62-4B13-A564-E78475470DFB}" name="Column12415"/>
    <tableColumn id="12430" xr3:uid="{9EF5CBCA-30DE-4EAB-B104-3C1E019431F8}" name="Column12416"/>
    <tableColumn id="12431" xr3:uid="{8F49498F-90EC-4875-99AC-93D967ED1C7F}" name="Column12417"/>
    <tableColumn id="12432" xr3:uid="{2E3F6534-25ED-479D-9661-C8B7BD2F3FC8}" name="Column12418"/>
    <tableColumn id="12433" xr3:uid="{17EF0BD6-84C9-43CA-A489-DA6F82E69FBF}" name="Column12419"/>
    <tableColumn id="12434" xr3:uid="{84D8A5B8-D29D-42DA-92BF-8C0C35B47130}" name="Column12420"/>
    <tableColumn id="12435" xr3:uid="{B3791DA9-ADA0-4525-8BFC-D2668AD34710}" name="Column12421"/>
    <tableColumn id="12436" xr3:uid="{09DF34BC-E85B-43DE-8F60-05EFD91A3B19}" name="Column12422"/>
    <tableColumn id="12437" xr3:uid="{1864F7F0-CC3C-4D99-9AED-75D0B1D3F9F1}" name="Column12423"/>
    <tableColumn id="12438" xr3:uid="{CDF5BF7A-FA64-46D5-AD09-035D8C618B37}" name="Column12424"/>
    <tableColumn id="12439" xr3:uid="{CB7346C8-5BFA-4E8C-90E1-CFAF2ACC0F4C}" name="Column12425"/>
    <tableColumn id="12440" xr3:uid="{EF271EEA-31C6-4D9D-B737-AF2AD6BD75E1}" name="Column12426"/>
    <tableColumn id="12441" xr3:uid="{9E983B5A-397B-479C-BD33-2CC557055D9F}" name="Column12427"/>
    <tableColumn id="12442" xr3:uid="{BD15E471-9B95-43E4-8EC3-6D8C8CF5262E}" name="Column12428"/>
    <tableColumn id="12443" xr3:uid="{B2A61D4E-2370-43C3-895B-18146CD7D681}" name="Column12429"/>
    <tableColumn id="12444" xr3:uid="{57D7E94A-AB5F-4F79-8986-F2DABD9A645F}" name="Column12430"/>
    <tableColumn id="12445" xr3:uid="{0B62586A-8FAD-4BA3-AFB6-632B7C6453B5}" name="Column12431"/>
    <tableColumn id="12446" xr3:uid="{CDE0EC23-DEB6-4806-B214-64C79A954371}" name="Column12432"/>
    <tableColumn id="12447" xr3:uid="{B4E30364-D445-44B7-AA3E-0881019F4C8D}" name="Column12433"/>
    <tableColumn id="12448" xr3:uid="{F96F4A7F-DD70-4FB8-8EF1-7C24A2BE4F6C}" name="Column12434"/>
    <tableColumn id="12449" xr3:uid="{756496B4-2403-4663-B254-13D411D93CBD}" name="Column12435"/>
    <tableColumn id="12450" xr3:uid="{B5B136B5-580C-4FDB-9DDE-E6CFB8877930}" name="Column12436"/>
    <tableColumn id="12451" xr3:uid="{7983F1CF-B426-4CED-A204-8A8A51076A7E}" name="Column12437"/>
    <tableColumn id="12452" xr3:uid="{D98ADF57-CE7D-4E85-9A78-423A61836ECC}" name="Column12438"/>
    <tableColumn id="12453" xr3:uid="{3B9852DF-BD15-48EB-9854-0580AE28FE28}" name="Column12439"/>
    <tableColumn id="12454" xr3:uid="{438FC811-F11D-467F-840B-52F55D521EC4}" name="Column12440"/>
    <tableColumn id="12455" xr3:uid="{AC93741B-AFA9-4EBD-AF22-C9151BDFDB17}" name="Column12441"/>
    <tableColumn id="12456" xr3:uid="{7D04B8DE-E6B4-4198-8B62-31486D930FF7}" name="Column12442"/>
    <tableColumn id="12457" xr3:uid="{D72E56B9-45E8-46E8-AEBA-B2370C60023A}" name="Column12443"/>
    <tableColumn id="12458" xr3:uid="{34383A48-6198-41AC-97D2-DDF511466C8A}" name="Column12444"/>
    <tableColumn id="12459" xr3:uid="{1635B51F-1C24-43FD-95C9-CE038987E975}" name="Column12445"/>
    <tableColumn id="12460" xr3:uid="{C8A2D25A-6A3F-44D2-8696-87BF505BEB37}" name="Column12446"/>
    <tableColumn id="12461" xr3:uid="{2403B01C-E2F7-4AE8-B188-9350067956CF}" name="Column12447"/>
    <tableColumn id="12462" xr3:uid="{88279381-1DD4-496E-8E4D-CD49DB4592E6}" name="Column12448"/>
    <tableColumn id="12463" xr3:uid="{3BB230BA-9A98-452A-A2D7-EA30467F1F74}" name="Column12449"/>
    <tableColumn id="12464" xr3:uid="{B4689A79-681C-4D8F-B868-014649ABED95}" name="Column12450"/>
    <tableColumn id="12465" xr3:uid="{22EF6250-42DD-4A72-BDB1-B904182B9D26}" name="Column12451"/>
    <tableColumn id="12466" xr3:uid="{B4ACE9B2-8C0D-4BAA-912B-42CF2061D56C}" name="Column12452"/>
    <tableColumn id="12467" xr3:uid="{814DB746-9802-48FB-937B-C3B5CC7332B8}" name="Column12453"/>
    <tableColumn id="12468" xr3:uid="{84F566D6-5198-4323-B8FD-51798C6B5D32}" name="Column12454"/>
    <tableColumn id="12469" xr3:uid="{8F7A2DBD-BF8D-4267-9DC0-7299F78B2F65}" name="Column12455"/>
    <tableColumn id="12470" xr3:uid="{1A970B39-27CB-4E73-AB17-31F9DD2252C6}" name="Column12456"/>
    <tableColumn id="12471" xr3:uid="{50756F33-92D1-40AF-A8F4-2EFA71F90B4C}" name="Column12457"/>
    <tableColumn id="12472" xr3:uid="{C1014860-ED8E-43D3-AAAF-DA530CA17823}" name="Column12458"/>
    <tableColumn id="12473" xr3:uid="{BA3E12A4-17D0-47EB-96C2-911E2942F220}" name="Column12459"/>
    <tableColumn id="12474" xr3:uid="{E98A4940-38EC-43A1-8015-F3C6E681E251}" name="Column12460"/>
    <tableColumn id="12475" xr3:uid="{C422B59F-3071-4F00-BD97-D78250ABB5CA}" name="Column12461"/>
    <tableColumn id="12476" xr3:uid="{6A2D3EC2-AA98-476A-8D16-DDEDA4F75B14}" name="Column12462"/>
    <tableColumn id="12477" xr3:uid="{D68A49A3-E276-4C04-927B-B6AC087CBBE8}" name="Column12463"/>
    <tableColumn id="12478" xr3:uid="{501603AE-9EEA-4267-8644-C51303A3CB65}" name="Column12464"/>
    <tableColumn id="12479" xr3:uid="{39243CE5-3DE4-42AC-B16E-EF69E8769D92}" name="Column12465"/>
    <tableColumn id="12480" xr3:uid="{68820BEE-8516-4454-B7BD-CC864074CFB7}" name="Column12466"/>
    <tableColumn id="12481" xr3:uid="{E2E77672-469B-44FB-BD2C-700545368955}" name="Column12467"/>
    <tableColumn id="12482" xr3:uid="{4F6529A1-8D63-4507-BF3D-8567A6808F9D}" name="Column12468"/>
    <tableColumn id="12483" xr3:uid="{D4697BE8-D040-4EB8-973E-A335907D4EDE}" name="Column12469"/>
    <tableColumn id="12484" xr3:uid="{6A359713-0564-456A-A035-3ADC3EE8F409}" name="Column12470"/>
    <tableColumn id="12485" xr3:uid="{4697A92C-0850-45B3-8EB4-1F5433613BCF}" name="Column12471"/>
    <tableColumn id="12486" xr3:uid="{C976987F-2699-4861-BA54-4EB52D323825}" name="Column12472"/>
    <tableColumn id="12487" xr3:uid="{F6010F59-3BF2-4349-9588-D125AB2A7A47}" name="Column12473"/>
    <tableColumn id="12488" xr3:uid="{023BFA8C-4343-49FF-8E88-8764626C4259}" name="Column12474"/>
    <tableColumn id="12489" xr3:uid="{17C693BE-8C6E-4488-9EB6-AC5D3FE32187}" name="Column12475"/>
    <tableColumn id="12490" xr3:uid="{463BBB84-5144-4F4C-BE55-079A5FFAA369}" name="Column12476"/>
    <tableColumn id="12491" xr3:uid="{A9C7AD09-BACA-42A5-87D7-CF8B1FA11CC6}" name="Column12477"/>
    <tableColumn id="12492" xr3:uid="{652C9C66-491E-41E0-AD4A-C3F8E9FDF5C6}" name="Column12478"/>
    <tableColumn id="12493" xr3:uid="{12685399-62C8-4A40-960F-0CB8496233DC}" name="Column12479"/>
    <tableColumn id="12494" xr3:uid="{034D0CAD-C202-4DF6-9E14-60D609D394AE}" name="Column12480"/>
    <tableColumn id="12495" xr3:uid="{819C7B99-7074-4F87-9B0D-56C46FC4926F}" name="Column12481"/>
    <tableColumn id="12496" xr3:uid="{AF155043-60DF-4A5E-BAC8-26B778E2D9EE}" name="Column12482"/>
    <tableColumn id="12497" xr3:uid="{C6889134-DC87-428D-BBB5-83AE5B0F4039}" name="Column12483"/>
    <tableColumn id="12498" xr3:uid="{85DBEA92-5E61-46FD-8E6C-15BEF6E170D8}" name="Column12484"/>
    <tableColumn id="12499" xr3:uid="{8DB32F1C-B8AA-4307-8CF7-5A56A911A0A7}" name="Column12485"/>
    <tableColumn id="12500" xr3:uid="{60B62AFF-8BC6-4F7B-A7F1-662895AADDB1}" name="Column12486"/>
    <tableColumn id="12501" xr3:uid="{8AF123CE-4732-46D8-91A8-C6F08E6C9E6F}" name="Column12487"/>
    <tableColumn id="12502" xr3:uid="{2B500C91-D99D-4C84-A997-D25C1B682C7A}" name="Column12488"/>
    <tableColumn id="12503" xr3:uid="{338C2C82-0516-4F89-AE5C-0D91BBE6B76C}" name="Column12489"/>
    <tableColumn id="12504" xr3:uid="{9C15DF96-C7B7-486B-8286-B688D240BDF4}" name="Column12490"/>
    <tableColumn id="12505" xr3:uid="{3782207D-4404-4950-B7F5-3C7E21C5BCF9}" name="Column12491"/>
    <tableColumn id="12506" xr3:uid="{855EB8F7-BA50-4F97-8185-E584EE1E8F50}" name="Column12492"/>
    <tableColumn id="12507" xr3:uid="{6CAA488D-D0C0-466A-B0DE-DDBA38EEFC85}" name="Column12493"/>
    <tableColumn id="12508" xr3:uid="{CFA0C350-028D-43BA-B48A-BBAB0D2364AB}" name="Column12494"/>
    <tableColumn id="12509" xr3:uid="{3E8DE244-2FDE-4415-A2BD-1586FA49DF77}" name="Column12495"/>
    <tableColumn id="12510" xr3:uid="{06FD3C0B-283B-43F7-8783-386D963729D0}" name="Column12496"/>
    <tableColumn id="12511" xr3:uid="{72E9C901-87A5-41D0-9B41-F7C34D094DBF}" name="Column12497"/>
    <tableColumn id="12512" xr3:uid="{A5634EB9-5F51-49F5-B60A-A2EF470AB753}" name="Column12498"/>
    <tableColumn id="12513" xr3:uid="{10F1396E-A14C-4A5D-945A-515CFAAC4534}" name="Column12499"/>
    <tableColumn id="12514" xr3:uid="{2ED0EE4D-2947-479B-B5DF-740FFFACAF94}" name="Column12500"/>
    <tableColumn id="12515" xr3:uid="{AF50DAC1-B77C-4C93-855F-47D8C879B70F}" name="Column12501"/>
    <tableColumn id="12516" xr3:uid="{BA17E321-47FA-46EC-946B-8F290208750A}" name="Column12502"/>
    <tableColumn id="12517" xr3:uid="{51213B10-018B-4073-B7CA-161A04E7EF96}" name="Column12503"/>
    <tableColumn id="12518" xr3:uid="{3EB43FD0-6B5F-4D58-8E7C-EFBD7724EADA}" name="Column12504"/>
    <tableColumn id="12519" xr3:uid="{A940278D-F6A3-4291-B3B8-E6588E21224E}" name="Column12505"/>
    <tableColumn id="12520" xr3:uid="{33880FFD-6C00-4B64-846D-0B4B052E41F4}" name="Column12506"/>
    <tableColumn id="12521" xr3:uid="{E79F7798-BB25-416E-8FE2-500908DB18F5}" name="Column12507"/>
    <tableColumn id="12522" xr3:uid="{B4F5C762-437F-4407-9488-2C5EC75E4A2D}" name="Column12508"/>
    <tableColumn id="12523" xr3:uid="{7890B7FA-F9BE-4929-92BF-921CF8094293}" name="Column12509"/>
    <tableColumn id="12524" xr3:uid="{A20C31EC-76C7-473F-8A32-8ABA84763BBE}" name="Column12510"/>
    <tableColumn id="12525" xr3:uid="{5EDB19AF-128B-4558-8767-D66E22B09804}" name="Column12511"/>
    <tableColumn id="12526" xr3:uid="{5D99CC67-187E-4B8E-9C15-4E8BB075AF41}" name="Column12512"/>
    <tableColumn id="12527" xr3:uid="{50552E0F-BC56-4B63-9A6B-231B5EBC8914}" name="Column12513"/>
    <tableColumn id="12528" xr3:uid="{A6541793-6854-48A6-B002-9CD65BC82A93}" name="Column12514"/>
    <tableColumn id="12529" xr3:uid="{A1E7B24C-09F2-4BBC-9F92-0564F3823E7E}" name="Column12515"/>
    <tableColumn id="12530" xr3:uid="{F31E175F-C81F-48C9-9590-DE34ABFB168F}" name="Column12516"/>
    <tableColumn id="12531" xr3:uid="{02108DFE-0871-4DB9-81A9-DCB515561C42}" name="Column12517"/>
    <tableColumn id="12532" xr3:uid="{8EEDF724-6E36-44E9-85DB-D326CC02D41C}" name="Column12518"/>
    <tableColumn id="12533" xr3:uid="{C533B362-6ADA-4E40-A709-D65C9A607730}" name="Column12519"/>
    <tableColumn id="12534" xr3:uid="{EA3F4C95-8E45-49F9-97BD-BF41F62B2472}" name="Column12520"/>
    <tableColumn id="12535" xr3:uid="{B29489B2-F5D2-4A3B-9A66-C4201A0E2741}" name="Column12521"/>
    <tableColumn id="12536" xr3:uid="{2C83B8B1-3F34-4E83-B72D-0C348C7F61EA}" name="Column12522"/>
    <tableColumn id="12537" xr3:uid="{FA5464C3-7A03-4BF4-B734-1D0A6EA8519F}" name="Column12523"/>
    <tableColumn id="12538" xr3:uid="{497311DA-56B8-4192-9BDE-88C09BB882AC}" name="Column12524"/>
    <tableColumn id="12539" xr3:uid="{7C87B7F9-A9D8-4D38-8782-C7D7A77E6E5A}" name="Column12525"/>
    <tableColumn id="12540" xr3:uid="{688CECBF-F9D4-45BC-8439-19661E5AD2BE}" name="Column12526"/>
    <tableColumn id="12541" xr3:uid="{8FB1D5C9-44E9-42CA-BE13-1A99384E30B8}" name="Column12527"/>
    <tableColumn id="12542" xr3:uid="{74B83B60-6555-458E-ACD0-B36C8D0A1112}" name="Column12528"/>
    <tableColumn id="12543" xr3:uid="{8F44A8C7-98DB-4044-B0DD-3CCF47DBAA75}" name="Column12529"/>
    <tableColumn id="12544" xr3:uid="{94C5EA1C-B697-4802-BA9B-8CD43E7CDB4C}" name="Column12530"/>
    <tableColumn id="12545" xr3:uid="{ACFFE706-DEB7-4982-8D9B-BEBC1201A4DA}" name="Column12531"/>
    <tableColumn id="12546" xr3:uid="{2BE25F91-CCB5-4683-8CE5-08FACD448382}" name="Column12532"/>
    <tableColumn id="12547" xr3:uid="{47758D40-83AA-4A88-88D1-B6E39CAFBF6F}" name="Column12533"/>
    <tableColumn id="12548" xr3:uid="{32E558F4-EE87-404C-BF93-41EDF5F177BB}" name="Column12534"/>
    <tableColumn id="12549" xr3:uid="{5955BDA3-A09F-4A01-8BBB-75EDC57002DC}" name="Column12535"/>
    <tableColumn id="12550" xr3:uid="{D8FA8247-72E2-43FB-8645-256392F3B6E2}" name="Column12536"/>
    <tableColumn id="12551" xr3:uid="{B65201BE-39C1-418E-8463-4B1BD4195640}" name="Column12537"/>
    <tableColumn id="12552" xr3:uid="{721A0EFB-D6DC-4FEF-B088-C16899CAC327}" name="Column12538"/>
    <tableColumn id="12553" xr3:uid="{2E5EBD4F-DDAA-48E0-8FA5-CE5000FC5236}" name="Column12539"/>
    <tableColumn id="12554" xr3:uid="{DB74D82C-BBDC-44EA-A73F-0328D8CB247E}" name="Column12540"/>
    <tableColumn id="12555" xr3:uid="{6C106EEF-9BF7-490C-9703-38AB81E1FD31}" name="Column12541"/>
    <tableColumn id="12556" xr3:uid="{9069D421-D4C8-426D-8A46-495ACB1C551A}" name="Column12542"/>
    <tableColumn id="12557" xr3:uid="{99CF9B14-9C0C-4328-8A95-3CDD12D665D1}" name="Column12543"/>
    <tableColumn id="12558" xr3:uid="{CEF1CD39-A422-493D-A715-A04313559756}" name="Column12544"/>
    <tableColumn id="12559" xr3:uid="{3C5EB7D4-6D29-4C8E-B538-EDAD08251016}" name="Column12545"/>
    <tableColumn id="12560" xr3:uid="{326FF70E-3AE8-490C-BA45-2834AFFA311A}" name="Column12546"/>
    <tableColumn id="12561" xr3:uid="{0F953457-D42B-4C6E-9F0C-817B6212D556}" name="Column12547"/>
    <tableColumn id="12562" xr3:uid="{90A5695B-3979-4F26-AC98-8FC069679009}" name="Column12548"/>
    <tableColumn id="12563" xr3:uid="{42C5EED6-77D2-43F2-BFAF-2C032A5BBF49}" name="Column12549"/>
    <tableColumn id="12564" xr3:uid="{2B94B64C-A285-43C1-B928-35FAAEF9C8F4}" name="Column12550"/>
    <tableColumn id="12565" xr3:uid="{16ED83BA-F03E-4A61-8954-550D065557C8}" name="Column12551"/>
    <tableColumn id="12566" xr3:uid="{1171B4E5-D9EC-4976-9ABC-CD1831808F87}" name="Column12552"/>
    <tableColumn id="12567" xr3:uid="{D2F3DBA4-4698-4C07-8507-EA53FD96A469}" name="Column12553"/>
    <tableColumn id="12568" xr3:uid="{2A1680EF-2005-4131-BC60-2AF09670E58B}" name="Column12554"/>
    <tableColumn id="12569" xr3:uid="{C91B668B-9E32-4474-8F87-19CE3396F8DF}" name="Column12555"/>
    <tableColumn id="12570" xr3:uid="{7D33F581-92E5-44BA-838D-D13977AFDC6B}" name="Column12556"/>
    <tableColumn id="12571" xr3:uid="{1004224C-DC81-491B-81A8-5C68426BB3C9}" name="Column12557"/>
    <tableColumn id="12572" xr3:uid="{2C611089-35B5-45D7-9E9A-4FFD725CC81D}" name="Column12558"/>
    <tableColumn id="12573" xr3:uid="{7802E39D-C193-4D7A-9CDF-CD481D4AC9B6}" name="Column12559"/>
    <tableColumn id="12574" xr3:uid="{429B8BE9-52BB-4B51-A9E9-A5AE5B886D1D}" name="Column12560"/>
    <tableColumn id="12575" xr3:uid="{C4F5A455-F2E0-4607-B8B6-6140E78DDCC9}" name="Column12561"/>
    <tableColumn id="12576" xr3:uid="{393CB7EC-945A-49F0-8FB5-D59B5BA94885}" name="Column12562"/>
    <tableColumn id="12577" xr3:uid="{0DA90506-38C8-4F2F-9ADA-E3EDC8F4BF53}" name="Column12563"/>
    <tableColumn id="12578" xr3:uid="{DC644F0E-B72E-4843-B5C3-D6641C1437A4}" name="Column12564"/>
    <tableColumn id="12579" xr3:uid="{7BF0291A-25CF-4047-9837-5F6EB31CF680}" name="Column12565"/>
    <tableColumn id="12580" xr3:uid="{F0E6E251-D2B5-4DC2-ADE9-E7BE37DA4BEA}" name="Column12566"/>
    <tableColumn id="12581" xr3:uid="{CAF4F097-B9DF-4EAD-8283-1861F2CCA97F}" name="Column12567"/>
    <tableColumn id="12582" xr3:uid="{C6B5478A-B287-4477-82A8-D215597AA8ED}" name="Column12568"/>
    <tableColumn id="12583" xr3:uid="{74352439-6160-423D-9782-7FD9CCE22F81}" name="Column12569"/>
    <tableColumn id="12584" xr3:uid="{6EB23DFF-58D9-4D8D-B396-BA4ED9950D53}" name="Column12570"/>
    <tableColumn id="12585" xr3:uid="{142DCEEA-DC0B-4133-8D93-5F367929021C}" name="Column12571"/>
    <tableColumn id="12586" xr3:uid="{7F6F2234-7828-4634-B4CD-91B0D0E897B4}" name="Column12572"/>
    <tableColumn id="12587" xr3:uid="{C0653A42-E1F8-4B15-8F2C-5F200839FC25}" name="Column12573"/>
    <tableColumn id="12588" xr3:uid="{030C0B57-0E89-44ED-B6DE-C9AD77C9AEC5}" name="Column12574"/>
    <tableColumn id="12589" xr3:uid="{650E8AB2-2A07-46ED-9F76-6F8082CF0DF6}" name="Column12575"/>
    <tableColumn id="12590" xr3:uid="{56053400-13F1-4513-884C-E0A970D780EA}" name="Column12576"/>
    <tableColumn id="12591" xr3:uid="{CC0FBCE0-176F-4E4F-A140-3695F8BF38CA}" name="Column12577"/>
    <tableColumn id="12592" xr3:uid="{DB91DC33-7ABA-4919-9A00-B38ADB6FFC96}" name="Column12578"/>
    <tableColumn id="12593" xr3:uid="{C2A48D03-A7F4-4ECD-BD60-D372CFAE6472}" name="Column12579"/>
    <tableColumn id="12594" xr3:uid="{C7870E1C-B2F0-4F97-BA7A-BDB84FF89EFD}" name="Column12580"/>
    <tableColumn id="12595" xr3:uid="{A6CB2FDA-A4C7-4670-9570-CE3FD5A08932}" name="Column12581"/>
    <tableColumn id="12596" xr3:uid="{E8B28CB6-97D1-46D7-ABCC-28E144F4EBAE}" name="Column12582"/>
    <tableColumn id="12597" xr3:uid="{15EE4EA0-033B-4B64-9D80-A2C8FEE95E21}" name="Column12583"/>
    <tableColumn id="12598" xr3:uid="{CE29762E-F768-45EB-974C-366123E67F7B}" name="Column12584"/>
    <tableColumn id="12599" xr3:uid="{3A716933-D824-49D5-85D9-6BB166E069BE}" name="Column12585"/>
    <tableColumn id="12600" xr3:uid="{5767F2CB-C351-4AF3-B974-3210B6AC4AC0}" name="Column12586"/>
    <tableColumn id="12601" xr3:uid="{D3937C6B-D260-475C-B2CD-0D7F4BCD1400}" name="Column12587"/>
    <tableColumn id="12602" xr3:uid="{D96B0456-3B32-4BF4-AF51-FC68668422C4}" name="Column12588"/>
    <tableColumn id="12603" xr3:uid="{A8AD3539-DE3F-41FA-9382-6720A2BF6704}" name="Column12589"/>
    <tableColumn id="12604" xr3:uid="{469F1767-84CA-40B8-878E-903B7D1DD288}" name="Column12590"/>
    <tableColumn id="12605" xr3:uid="{D85091AA-4048-4B31-B93C-8F4D526F12BC}" name="Column12591"/>
    <tableColumn id="12606" xr3:uid="{AD0C90CD-7E41-4B9D-B139-6F8C069BE2E1}" name="Column12592"/>
    <tableColumn id="12607" xr3:uid="{0C0B551A-24F3-47E5-8AF1-CFBC53ADFF7C}" name="Column12593"/>
    <tableColumn id="12608" xr3:uid="{3C3C6657-8250-4C0B-B2A1-F48865F2F5F6}" name="Column12594"/>
    <tableColumn id="12609" xr3:uid="{C6C1C5DE-8DFF-4EF8-A412-97E2DBEEFEFB}" name="Column12595"/>
    <tableColumn id="12610" xr3:uid="{66BD0764-6878-43B5-B6ED-29876E140C91}" name="Column12596"/>
    <tableColumn id="12611" xr3:uid="{46066FF5-2132-4C1D-B6EE-849869FB9C22}" name="Column12597"/>
    <tableColumn id="12612" xr3:uid="{AED248CC-F321-4DD3-BF94-C6362C033C50}" name="Column12598"/>
    <tableColumn id="12613" xr3:uid="{C92458D3-01EC-45B3-8A8B-7F2B745CDB64}" name="Column12599"/>
    <tableColumn id="12614" xr3:uid="{7F6B6CEC-1941-48DC-AC01-433E6CFEEB20}" name="Column12600"/>
    <tableColumn id="12615" xr3:uid="{39517E13-E1FF-47C5-AE27-0855E850C4D0}" name="Column12601"/>
    <tableColumn id="12616" xr3:uid="{FB7FF0DE-B9AF-42BE-99FE-61F5B4283B97}" name="Column12602"/>
    <tableColumn id="12617" xr3:uid="{CE3D8028-1334-4AED-A327-7E4863F1979E}" name="Column12603"/>
    <tableColumn id="12618" xr3:uid="{53C004F1-85BA-4FFB-BCEF-96098430AF3F}" name="Column12604"/>
    <tableColumn id="12619" xr3:uid="{25BED16A-3D2E-4BCE-B0FC-FE12B9872791}" name="Column12605"/>
    <tableColumn id="12620" xr3:uid="{D2F9AA0B-62B4-4521-B89E-A71AE39B28D4}" name="Column12606"/>
    <tableColumn id="12621" xr3:uid="{AB3D789D-B980-4440-816B-12034DE6CA35}" name="Column12607"/>
    <tableColumn id="12622" xr3:uid="{5ECDAFF6-8332-4564-BA48-DAA7A1E82CF4}" name="Column12608"/>
    <tableColumn id="12623" xr3:uid="{5BB4212E-E6D5-4757-BC83-3747666302AA}" name="Column12609"/>
    <tableColumn id="12624" xr3:uid="{5A6ABE84-0705-408E-88F4-C076A86E56B7}" name="Column12610"/>
    <tableColumn id="12625" xr3:uid="{A51F19D9-E56C-43E3-B684-7C078DCA69A9}" name="Column12611"/>
    <tableColumn id="12626" xr3:uid="{4BB514DC-7FEF-4FDA-8732-20392EDF5ED7}" name="Column12612"/>
    <tableColumn id="12627" xr3:uid="{B8E7924D-C21F-4454-8BDE-02413A305CFB}" name="Column12613"/>
    <tableColumn id="12628" xr3:uid="{BA66E08C-3581-4650-A512-00AA50625EB0}" name="Column12614"/>
    <tableColumn id="12629" xr3:uid="{ABC4AE4A-2446-4DC3-86B7-92046EDFBF91}" name="Column12615"/>
    <tableColumn id="12630" xr3:uid="{3BCE7092-0D5F-4A92-A1CA-796AD8DAC4CC}" name="Column12616"/>
    <tableColumn id="12631" xr3:uid="{3DDE4AC5-0B4E-4F10-9A86-9A47A8055098}" name="Column12617"/>
    <tableColumn id="12632" xr3:uid="{3BD2CDD3-A36A-4127-9604-D25833F1296B}" name="Column12618"/>
    <tableColumn id="12633" xr3:uid="{A16678B8-FC4F-4136-B6E2-5F33171B5ECF}" name="Column12619"/>
    <tableColumn id="12634" xr3:uid="{9DF0E633-5103-4417-A727-7DEA6DE18F1A}" name="Column12620"/>
    <tableColumn id="12635" xr3:uid="{88820238-AC7A-40CA-913E-E16EB3557220}" name="Column12621"/>
    <tableColumn id="12636" xr3:uid="{F861A7AF-FCA4-4BE4-A629-2CEFEAE7408E}" name="Column12622"/>
    <tableColumn id="12637" xr3:uid="{6221A2FE-DDB3-4BF4-BAA6-F6B917AEA56F}" name="Column12623"/>
    <tableColumn id="12638" xr3:uid="{71FB0C00-E2CD-48E2-914C-AE75A5F7F51D}" name="Column12624"/>
    <tableColumn id="12639" xr3:uid="{C8845155-38D2-44C4-B7B0-532DF4070A95}" name="Column12625"/>
    <tableColumn id="12640" xr3:uid="{C5EA1398-38C6-4EE0-B857-7EF8E95E4B16}" name="Column12626"/>
    <tableColumn id="12641" xr3:uid="{4AE73E24-2C21-4BA9-B011-CC7FF0D2782A}" name="Column12627"/>
    <tableColumn id="12642" xr3:uid="{91BC9E0F-24E3-47D4-B71A-5FC9379957BD}" name="Column12628"/>
    <tableColumn id="12643" xr3:uid="{C6FA1607-D561-4958-8083-0EA08F9F3440}" name="Column12629"/>
    <tableColumn id="12644" xr3:uid="{078B8B14-52EE-48E5-B4C3-EDD881915E03}" name="Column12630"/>
    <tableColumn id="12645" xr3:uid="{DB6A3CAE-FC4F-48C3-BACB-DBE0CA69441C}" name="Column12631"/>
    <tableColumn id="12646" xr3:uid="{478E7236-AD5E-473A-923E-97A41E852F1E}" name="Column12632"/>
    <tableColumn id="12647" xr3:uid="{449533F5-621D-4643-8488-1E26EDACEF19}" name="Column12633"/>
    <tableColumn id="12648" xr3:uid="{90E35707-C88D-47B1-84DA-DAE280DF5520}" name="Column12634"/>
    <tableColumn id="12649" xr3:uid="{E4B9B569-8421-49AB-A03E-F54EB71242F7}" name="Column12635"/>
    <tableColumn id="12650" xr3:uid="{6C01332E-CF69-4CF1-BE54-3B7253B5F724}" name="Column12636"/>
    <tableColumn id="12651" xr3:uid="{C8169DD2-4C0C-4F0B-97FE-4547636F2B51}" name="Column12637"/>
    <tableColumn id="12652" xr3:uid="{96126589-0C2D-43EE-B75C-FD4255205939}" name="Column12638"/>
    <tableColumn id="12653" xr3:uid="{5C213050-479F-459A-A566-A74D024AA527}" name="Column12639"/>
    <tableColumn id="12654" xr3:uid="{69BD5BDB-2B35-4868-9C64-84FA247D843B}" name="Column12640"/>
    <tableColumn id="12655" xr3:uid="{1DEE9571-E560-42EA-BE07-77B9FC12C423}" name="Column12641"/>
    <tableColumn id="12656" xr3:uid="{B9F451AC-4C40-4BBF-B72C-39701AA919FF}" name="Column12642"/>
    <tableColumn id="12657" xr3:uid="{2994840C-3594-4782-9568-0E7BC5D5CF0F}" name="Column12643"/>
    <tableColumn id="12658" xr3:uid="{DA91064A-BD05-415F-9C80-8A74AEA98485}" name="Column12644"/>
    <tableColumn id="12659" xr3:uid="{F51B1C2D-583A-4D22-B4A6-8739AB1A9EC2}" name="Column12645"/>
    <tableColumn id="12660" xr3:uid="{037F5246-DF5F-4F47-8221-995D9F0F7DF4}" name="Column12646"/>
    <tableColumn id="12661" xr3:uid="{6C202907-DFB2-4735-A118-1B78C64433C9}" name="Column12647"/>
    <tableColumn id="12662" xr3:uid="{FF63A0D5-6836-4B01-B963-AEFC9661A221}" name="Column12648"/>
    <tableColumn id="12663" xr3:uid="{88394335-5A53-4CC7-940B-D4F7A2251401}" name="Column12649"/>
    <tableColumn id="12664" xr3:uid="{9CC8CA0D-A562-4697-8F90-DF8BF22D15B6}" name="Column12650"/>
    <tableColumn id="12665" xr3:uid="{5E2C2D0D-4777-45F8-80FF-C0D48F4F8D8A}" name="Column12651"/>
    <tableColumn id="12666" xr3:uid="{BE1B6BA6-EE3E-4C92-AC7B-1190980677D8}" name="Column12652"/>
    <tableColumn id="12667" xr3:uid="{2C5EABFA-BC92-4262-9AE9-96348659AA27}" name="Column12653"/>
    <tableColumn id="12668" xr3:uid="{50D6ABB3-2D85-4405-AB39-A5D0BFB236EF}" name="Column12654"/>
    <tableColumn id="12669" xr3:uid="{F0E2FF58-A2A7-4BBB-A937-04E95BBD3B05}" name="Column12655"/>
    <tableColumn id="12670" xr3:uid="{9A9DF6F2-28D2-4AA3-B2A3-C0BF7B5CC2F8}" name="Column12656"/>
    <tableColumn id="12671" xr3:uid="{80C9686D-D226-4F62-AB26-675339B1B759}" name="Column12657"/>
    <tableColumn id="12672" xr3:uid="{03F34D29-B2BC-4083-B42C-0457C1C0ADC6}" name="Column12658"/>
    <tableColumn id="12673" xr3:uid="{3661EA1A-9730-4E64-95FA-3F8A3DAF4CFB}" name="Column12659"/>
    <tableColumn id="12674" xr3:uid="{D2EBF672-8698-4099-A1EF-7814869417FB}" name="Column12660"/>
    <tableColumn id="12675" xr3:uid="{BECEC688-9F36-4366-A5AE-6CDB8475E547}" name="Column12661"/>
    <tableColumn id="12676" xr3:uid="{7C5E0558-A0D0-426A-9127-D0EA1BA14633}" name="Column12662"/>
    <tableColumn id="12677" xr3:uid="{9544869D-3B01-46DC-AD43-894EFB2EDBDA}" name="Column12663"/>
    <tableColumn id="12678" xr3:uid="{F764AAF1-0093-41F1-8836-969FBD151655}" name="Column12664"/>
    <tableColumn id="12679" xr3:uid="{E5FFDC1B-0AF7-4B61-8622-4A6BF788F56B}" name="Column12665"/>
    <tableColumn id="12680" xr3:uid="{C1DB1B8B-049B-4821-A3A6-86B3A3754B35}" name="Column12666"/>
    <tableColumn id="12681" xr3:uid="{F0EBDD25-C46A-4DB4-BAE3-D974D908F14D}" name="Column12667"/>
    <tableColumn id="12682" xr3:uid="{B6E49F12-BE3A-4398-B72C-3D8F31D942B5}" name="Column12668"/>
    <tableColumn id="12683" xr3:uid="{033F34C5-2586-4725-820E-9518BCBD8A07}" name="Column12669"/>
    <tableColumn id="12684" xr3:uid="{CABE40CE-5AB3-4817-A608-8ECD6FABB407}" name="Column12670"/>
    <tableColumn id="12685" xr3:uid="{067CAA62-A0DF-462A-9286-8369C329BA1A}" name="Column12671"/>
    <tableColumn id="12686" xr3:uid="{86C82B98-0D49-4CF9-8F26-A1DA145B9409}" name="Column12672"/>
    <tableColumn id="12687" xr3:uid="{3003C8CD-CB10-45EE-B97F-B21BF68EABBE}" name="Column12673"/>
    <tableColumn id="12688" xr3:uid="{FE3F31D0-ADCD-42A0-B5CD-95FFFCA1FD6B}" name="Column12674"/>
    <tableColumn id="12689" xr3:uid="{95709C37-D7FF-41B8-B6D6-9C0D39E4583E}" name="Column12675"/>
    <tableColumn id="12690" xr3:uid="{238189D9-DFA9-4AE8-9DE5-D2BB470AD95D}" name="Column12676"/>
    <tableColumn id="12691" xr3:uid="{6920070D-2647-407C-A7D1-C5E2D7233C0E}" name="Column12677"/>
    <tableColumn id="12692" xr3:uid="{E19E1979-9B44-457E-B779-3E227ADE36EF}" name="Column12678"/>
    <tableColumn id="12693" xr3:uid="{251EBCB2-8B33-468D-B18B-39ABBCB7B7F5}" name="Column12679"/>
    <tableColumn id="12694" xr3:uid="{4719BC2C-42C4-4421-B3A9-1C720E3CC01E}" name="Column12680"/>
    <tableColumn id="12695" xr3:uid="{996C1F92-B9E1-49EB-B8C8-7B75D91918D0}" name="Column12681"/>
    <tableColumn id="12696" xr3:uid="{7BC8C29A-1CF1-4645-9C41-24E0179EC583}" name="Column12682"/>
    <tableColumn id="12697" xr3:uid="{F4DBCBFC-F709-4198-835C-158E83D14E19}" name="Column12683"/>
    <tableColumn id="12698" xr3:uid="{AE26C044-9ADE-4E6D-9833-C81B87CA354A}" name="Column12684"/>
    <tableColumn id="12699" xr3:uid="{7DD00DA5-0184-4CD2-811C-5961F4D8FB71}" name="Column12685"/>
    <tableColumn id="12700" xr3:uid="{A7096300-C888-4854-BE23-BE36E3B72E22}" name="Column12686"/>
    <tableColumn id="12701" xr3:uid="{DD40DF93-446E-43FD-A409-3AAEB5E582A2}" name="Column12687"/>
    <tableColumn id="12702" xr3:uid="{5B1F3AE8-C81B-4EE4-BABB-DD05343FBE78}" name="Column12688"/>
    <tableColumn id="12703" xr3:uid="{47EFC5C5-430A-4F13-B4F9-C6D1276B18B6}" name="Column12689"/>
    <tableColumn id="12704" xr3:uid="{E98C08C6-C4DF-477C-AD37-B52DDE90D719}" name="Column12690"/>
    <tableColumn id="12705" xr3:uid="{747B1176-C8F2-4204-92F6-D59BC0DA6E5D}" name="Column12691"/>
    <tableColumn id="12706" xr3:uid="{87E93FFC-FBC8-4F53-8023-0288980ACEBC}" name="Column12692"/>
    <tableColumn id="12707" xr3:uid="{F31576E0-C7BC-4E34-9302-FEB7A12E24C5}" name="Column12693"/>
    <tableColumn id="12708" xr3:uid="{9ED9F704-17D8-464C-A2EE-3F0CDCD421B2}" name="Column12694"/>
    <tableColumn id="12709" xr3:uid="{3238E6A2-CBEC-4FE4-96D9-2A1D7D77FB51}" name="Column12695"/>
    <tableColumn id="12710" xr3:uid="{8FAE3C88-785E-4BBA-888D-F0478424D29F}" name="Column12696"/>
    <tableColumn id="12711" xr3:uid="{49827753-391D-40BB-A0C6-38600A44A1A9}" name="Column12697"/>
    <tableColumn id="12712" xr3:uid="{80D05674-E1A7-4B94-93C1-62C44A9E7DC1}" name="Column12698"/>
    <tableColumn id="12713" xr3:uid="{70CDFC6D-F4D7-4205-ACF4-9EA64166BA4C}" name="Column12699"/>
    <tableColumn id="12714" xr3:uid="{533BDE82-1667-4AB8-B280-72C2B59E09E7}" name="Column12700"/>
    <tableColumn id="12715" xr3:uid="{A7DC109F-FD70-4561-A118-E050C8AA2AE3}" name="Column12701"/>
    <tableColumn id="12716" xr3:uid="{92EEAA0B-B129-4C8E-832C-4D721BD365FB}" name="Column12702"/>
    <tableColumn id="12717" xr3:uid="{D24CD057-6E92-45D7-A036-D6D1C07360EF}" name="Column12703"/>
    <tableColumn id="12718" xr3:uid="{98322026-6EC0-46BA-81BB-9430BDA50CEF}" name="Column12704"/>
    <tableColumn id="12719" xr3:uid="{05C5603C-C3DE-46B4-A8E7-25C9ED26474D}" name="Column12705"/>
    <tableColumn id="12720" xr3:uid="{9FB793EC-F003-4AF1-ACF2-F541520A3944}" name="Column12706"/>
    <tableColumn id="12721" xr3:uid="{0B3B9249-E7AB-4241-B5CF-507E0219C58E}" name="Column12707"/>
    <tableColumn id="12722" xr3:uid="{C5F8B004-5AEF-46D7-8A88-B1D6A18C8F40}" name="Column12708"/>
    <tableColumn id="12723" xr3:uid="{D8ADD02F-2164-4D06-9266-8855D34FD784}" name="Column12709"/>
    <tableColumn id="12724" xr3:uid="{F642B768-6286-4CFB-BEA2-B9A7759BC94F}" name="Column12710"/>
    <tableColumn id="12725" xr3:uid="{3FB7751E-E56E-4290-9E9E-B917D6D8F133}" name="Column12711"/>
    <tableColumn id="12726" xr3:uid="{E99920FD-94C4-40F2-8BC2-89EF602DD018}" name="Column12712"/>
    <tableColumn id="12727" xr3:uid="{8282FB35-5B92-49F7-8334-975BBEC9CF74}" name="Column12713"/>
    <tableColumn id="12728" xr3:uid="{C790A53C-4C29-4636-BCF8-8AA0D607F1D5}" name="Column12714"/>
    <tableColumn id="12729" xr3:uid="{739A300B-F46D-477A-8707-14C34E0EF4DF}" name="Column12715"/>
    <tableColumn id="12730" xr3:uid="{E8AB9018-F2C5-4D49-8A49-3E446797F2FD}" name="Column12716"/>
    <tableColumn id="12731" xr3:uid="{0289680A-A6E9-4F8E-BAB4-1777CBCBC28D}" name="Column12717"/>
    <tableColumn id="12732" xr3:uid="{EA4F8E7B-4D0E-4765-93BE-F91398F8C2C9}" name="Column12718"/>
    <tableColumn id="12733" xr3:uid="{360C9246-609D-4160-A012-9417008B26FD}" name="Column12719"/>
    <tableColumn id="12734" xr3:uid="{F62A741F-FBD1-45B4-8B45-091472176D2D}" name="Column12720"/>
    <tableColumn id="12735" xr3:uid="{145AC90A-98B0-40A7-A9D0-3A70F5811A60}" name="Column12721"/>
    <tableColumn id="12736" xr3:uid="{CD674B61-8B34-4BC7-9431-53CC254020A6}" name="Column12722"/>
    <tableColumn id="12737" xr3:uid="{64C50EF7-7D96-402F-8A5A-122030CAF699}" name="Column12723"/>
    <tableColumn id="12738" xr3:uid="{AB75FCEA-8C48-4840-B2C8-4CB7440020F0}" name="Column12724"/>
    <tableColumn id="12739" xr3:uid="{CFDDD460-86E6-4058-89D2-501281218A15}" name="Column12725"/>
    <tableColumn id="12740" xr3:uid="{40F7A989-6338-49BA-8717-8BC1D2520778}" name="Column12726"/>
    <tableColumn id="12741" xr3:uid="{FA3E74B6-5124-447D-8F12-3B64D027A744}" name="Column12727"/>
    <tableColumn id="12742" xr3:uid="{2A291515-C8D3-4F42-A945-52469BFC51C4}" name="Column12728"/>
    <tableColumn id="12743" xr3:uid="{5738F6C5-9EDF-4114-9F46-DD8192B6D93D}" name="Column12729"/>
    <tableColumn id="12744" xr3:uid="{4D12946D-A5E5-4127-B96D-366B6DB4D401}" name="Column12730"/>
    <tableColumn id="12745" xr3:uid="{97DA6B35-40AD-4888-B619-66017E425FF8}" name="Column12731"/>
    <tableColumn id="12746" xr3:uid="{01F492A3-7A93-450B-840D-DA87BA550EEB}" name="Column12732"/>
    <tableColumn id="12747" xr3:uid="{63DA4F5F-A0EC-4145-9278-F261692DA696}" name="Column12733"/>
    <tableColumn id="12748" xr3:uid="{00802123-ADFD-4006-A708-5654965E224F}" name="Column12734"/>
    <tableColumn id="12749" xr3:uid="{A7A58E54-AC86-4C98-9944-67BDF46C5354}" name="Column12735"/>
    <tableColumn id="12750" xr3:uid="{E5F6A0AF-7DDB-4C61-9EBF-D7E493491A2F}" name="Column12736"/>
    <tableColumn id="12751" xr3:uid="{F911D949-DBD8-45B3-AEB5-69D0F744E20E}" name="Column12737"/>
    <tableColumn id="12752" xr3:uid="{E6B6CE1D-0703-44F7-A3AB-FD8FD9C46EF6}" name="Column12738"/>
    <tableColumn id="12753" xr3:uid="{2C04EBFF-1B16-4439-AEA7-039750628992}" name="Column12739"/>
    <tableColumn id="12754" xr3:uid="{389C72F9-0697-4B7C-B3BF-93FBA6F2B3F8}" name="Column12740"/>
    <tableColumn id="12755" xr3:uid="{EC25870D-EE86-46BF-A843-66DD2B950D45}" name="Column12741"/>
    <tableColumn id="12756" xr3:uid="{F2B665C1-7B28-4130-879B-5B4C69C6D2E5}" name="Column12742"/>
    <tableColumn id="12757" xr3:uid="{15D8AC92-3965-4240-A9B4-C5FF8D498D2A}" name="Column12743"/>
    <tableColumn id="12758" xr3:uid="{CE9FC3B5-F989-4E5A-9305-6722F2CD3701}" name="Column12744"/>
    <tableColumn id="12759" xr3:uid="{EF11E8EF-3D39-4721-8F55-28AFB8413AEC}" name="Column12745"/>
    <tableColumn id="12760" xr3:uid="{78E3F40C-67F1-49D5-B2F7-C78120712451}" name="Column12746"/>
    <tableColumn id="12761" xr3:uid="{2639045D-FFBA-4093-9F8A-DF7287E3BFE4}" name="Column12747"/>
    <tableColumn id="12762" xr3:uid="{FE386CA4-9AA9-4484-80BA-5EFD1D3DC05C}" name="Column12748"/>
    <tableColumn id="12763" xr3:uid="{C162E45A-44B2-4D0B-B8E5-A509CA20DD5D}" name="Column12749"/>
    <tableColumn id="12764" xr3:uid="{6A9FEF8E-B6C9-45C5-8926-0AD33BB28F86}" name="Column12750"/>
    <tableColumn id="12765" xr3:uid="{B23D4E67-D471-4C5F-A0A8-2CC7B73E33DF}" name="Column12751"/>
    <tableColumn id="12766" xr3:uid="{40855641-6FF8-4B4B-B159-5E83C895DCF0}" name="Column12752"/>
    <tableColumn id="12767" xr3:uid="{FBEA092C-C03B-4C6F-89BE-763D71DA2AEC}" name="Column12753"/>
    <tableColumn id="12768" xr3:uid="{DCE227BF-200C-495D-A778-B21652C41B20}" name="Column12754"/>
    <tableColumn id="12769" xr3:uid="{CED4FCE8-DF20-467A-88D9-03F5B0AEC032}" name="Column12755"/>
    <tableColumn id="12770" xr3:uid="{0F3364D6-88AF-4CDF-A8F8-BB24A5C01A84}" name="Column12756"/>
    <tableColumn id="12771" xr3:uid="{98F77546-6DBF-4B47-AF3C-61C424822665}" name="Column12757"/>
    <tableColumn id="12772" xr3:uid="{B48A3418-CCDC-4805-BC03-62B733950766}" name="Column12758"/>
    <tableColumn id="12773" xr3:uid="{BEE7447B-5A04-45CC-904C-5BA70B221DC8}" name="Column12759"/>
    <tableColumn id="12774" xr3:uid="{FB40760E-CAB1-49F9-8329-76D9517024B1}" name="Column12760"/>
    <tableColumn id="12775" xr3:uid="{AF877C05-AAA0-4D3E-ABBA-83941D37E2AC}" name="Column12761"/>
    <tableColumn id="12776" xr3:uid="{37E813EE-DD1D-40EA-95C0-099042E6C3EA}" name="Column12762"/>
    <tableColumn id="12777" xr3:uid="{75C9FE60-9F0A-4A68-93AB-288D8019C020}" name="Column12763"/>
    <tableColumn id="12778" xr3:uid="{BDCCEB26-50E5-4F87-8CB8-F28D967ADF6D}" name="Column12764"/>
    <tableColumn id="12779" xr3:uid="{12FF806E-3DDD-48B3-B63F-264DCD49336F}" name="Column12765"/>
    <tableColumn id="12780" xr3:uid="{46D8EB93-1F67-4D60-A3E1-2305EE7905C3}" name="Column12766"/>
    <tableColumn id="12781" xr3:uid="{1F504509-ED25-4D16-866C-5441677A3053}" name="Column12767"/>
    <tableColumn id="12782" xr3:uid="{A65FB0D4-F6AE-4A88-A54E-5EE63FD79304}" name="Column12768"/>
    <tableColumn id="12783" xr3:uid="{619F5A95-C35F-4835-86F5-A0F5CF466A71}" name="Column12769"/>
    <tableColumn id="12784" xr3:uid="{D1E5E7D9-2A96-474E-A499-03FDB5E6F6BE}" name="Column12770"/>
    <tableColumn id="12785" xr3:uid="{E6CB53D1-3D4C-4679-BE23-473E10BA2B4A}" name="Column12771"/>
    <tableColumn id="12786" xr3:uid="{DED39B56-B2AE-4B4D-93F8-409CF201238C}" name="Column12772"/>
    <tableColumn id="12787" xr3:uid="{093D3040-FA39-4596-8FDD-AFBCF173BA56}" name="Column12773"/>
    <tableColumn id="12788" xr3:uid="{B909EEFF-BB17-4422-B299-D50F9E012460}" name="Column12774"/>
    <tableColumn id="12789" xr3:uid="{46C3D5EA-59BC-4165-B9F6-96E8A0CB3780}" name="Column12775"/>
    <tableColumn id="12790" xr3:uid="{8C5F9732-45DA-4947-80D4-42AC43518FA2}" name="Column12776"/>
    <tableColumn id="12791" xr3:uid="{8A2D0BB3-CAA8-410A-898D-9DE4CEE914D3}" name="Column12777"/>
    <tableColumn id="12792" xr3:uid="{55E2C15D-1694-4371-B949-7AD83E7DE476}" name="Column12778"/>
    <tableColumn id="12793" xr3:uid="{0EB5F21E-A50C-473E-AFE6-E899D78CB4FC}" name="Column12779"/>
    <tableColumn id="12794" xr3:uid="{EF2A0F98-6762-4A60-B201-84D2D3453156}" name="Column12780"/>
    <tableColumn id="12795" xr3:uid="{B514332B-BAD2-40FC-9C7E-5F4F2F366535}" name="Column12781"/>
    <tableColumn id="12796" xr3:uid="{ACDAFC8A-453D-47F1-9CC2-7B95B1DCF672}" name="Column12782"/>
    <tableColumn id="12797" xr3:uid="{089AC6BA-FF9E-4407-8686-B255B11CAF58}" name="Column12783"/>
    <tableColumn id="12798" xr3:uid="{888D7E42-ABCA-495B-AB8F-2A22F6670882}" name="Column12784"/>
    <tableColumn id="12799" xr3:uid="{F2C2F79B-06DC-4488-980B-3A641136F2B8}" name="Column12785"/>
    <tableColumn id="12800" xr3:uid="{6B98F267-FF3D-4FAB-9F47-7BC9B32D8E16}" name="Column12786"/>
    <tableColumn id="12801" xr3:uid="{A6F34DF2-B469-4B40-9C38-C342B47CBFB5}" name="Column12787"/>
    <tableColumn id="12802" xr3:uid="{4713CBF0-26F7-42FB-804E-3BCA1DD27FEA}" name="Column12788"/>
    <tableColumn id="12803" xr3:uid="{2A13D832-B30F-4D49-B857-74C5FF7590BA}" name="Column12789"/>
    <tableColumn id="12804" xr3:uid="{13312544-D967-4B6C-AF7B-1016AE128FFB}" name="Column12790"/>
    <tableColumn id="12805" xr3:uid="{B69B3F07-1475-491E-921C-17FEEEC3C3A2}" name="Column12791"/>
    <tableColumn id="12806" xr3:uid="{574329A5-1609-47F9-9817-F0F25B0300F6}" name="Column12792"/>
    <tableColumn id="12807" xr3:uid="{EAD22E94-8737-43DD-AB1F-F4AEA32EFE13}" name="Column12793"/>
    <tableColumn id="12808" xr3:uid="{05A8DD68-98D6-4075-A769-55C5A9987CC7}" name="Column12794"/>
    <tableColumn id="12809" xr3:uid="{0C56AF05-F59B-4605-8A40-D449CBC2BFA3}" name="Column12795"/>
    <tableColumn id="12810" xr3:uid="{BFEEAB38-9726-4BB8-AB10-7EC678F5AF94}" name="Column12796"/>
    <tableColumn id="12811" xr3:uid="{3B1E8FC3-80E6-44D3-B0DB-D7945AD640DB}" name="Column12797"/>
    <tableColumn id="12812" xr3:uid="{DBDA1C56-70DC-4B7D-9986-6A558E3FC89E}" name="Column12798"/>
    <tableColumn id="12813" xr3:uid="{ED06AC99-16DE-4728-98ED-90A7E928D5DE}" name="Column12799"/>
    <tableColumn id="12814" xr3:uid="{F3073C38-084D-4C96-86E1-0576BF3C1C9D}" name="Column12800"/>
    <tableColumn id="12815" xr3:uid="{578A8E12-2E46-41F5-80D4-3D0B8F840F74}" name="Column12801"/>
    <tableColumn id="12816" xr3:uid="{CC001171-D13B-403D-B36F-85E625E9050B}" name="Column12802"/>
    <tableColumn id="12817" xr3:uid="{FEFEC968-FA56-420F-B749-6EFA0C1326A7}" name="Column12803"/>
    <tableColumn id="12818" xr3:uid="{6375BEE0-41CB-47A8-B14D-1FEAAE58DD85}" name="Column12804"/>
    <tableColumn id="12819" xr3:uid="{72854D33-A897-4FA4-B544-B367FC8278FE}" name="Column12805"/>
    <tableColumn id="12820" xr3:uid="{9F55159D-7795-45F6-ACA1-61E79EE59001}" name="Column12806"/>
    <tableColumn id="12821" xr3:uid="{E0000421-C9CF-42C7-8719-6947A7B97F51}" name="Column12807"/>
    <tableColumn id="12822" xr3:uid="{A540EDF9-6268-4531-A94E-2DDF6DA1DA6B}" name="Column12808"/>
    <tableColumn id="12823" xr3:uid="{ABAA717C-0175-42D1-BA89-6B52005D8375}" name="Column12809"/>
    <tableColumn id="12824" xr3:uid="{8A03B745-D763-467D-A381-C4DCEA508213}" name="Column12810"/>
    <tableColumn id="12825" xr3:uid="{F514A0D0-B399-4775-A407-D85CC1D00987}" name="Column12811"/>
    <tableColumn id="12826" xr3:uid="{396CD7D7-CECF-49A8-8FE3-2278517D134C}" name="Column12812"/>
    <tableColumn id="12827" xr3:uid="{750E80AD-089A-42C6-894F-5B3A8B7AD437}" name="Column12813"/>
    <tableColumn id="12828" xr3:uid="{FB92404D-3ABA-46BA-96A4-F9CF474ACC45}" name="Column12814"/>
    <tableColumn id="12829" xr3:uid="{7A80F63B-FE60-4349-B452-544F6ACCD922}" name="Column12815"/>
    <tableColumn id="12830" xr3:uid="{4F7FB83C-3186-40D1-9526-C4AE9F10474D}" name="Column12816"/>
    <tableColumn id="12831" xr3:uid="{6F79552C-6113-4D37-B32B-DCC907D8D334}" name="Column12817"/>
    <tableColumn id="12832" xr3:uid="{B356F9B0-46F9-4E85-A39B-14D9D01212F9}" name="Column12818"/>
    <tableColumn id="12833" xr3:uid="{1B5A047C-42F9-4E19-9553-3498601B23E7}" name="Column12819"/>
    <tableColumn id="12834" xr3:uid="{1AED5CE7-6DFB-46A4-BE43-467E2F03A4FC}" name="Column12820"/>
    <tableColumn id="12835" xr3:uid="{A66471EE-F184-48CE-A0ED-AE7110D36EC3}" name="Column12821"/>
    <tableColumn id="12836" xr3:uid="{0068697A-595D-480A-9449-360C967B8864}" name="Column12822"/>
    <tableColumn id="12837" xr3:uid="{4007855B-571A-4E02-B01E-9DF45A0398AC}" name="Column12823"/>
    <tableColumn id="12838" xr3:uid="{3135E782-1069-45F1-BFF7-326E258A0CCE}" name="Column12824"/>
    <tableColumn id="12839" xr3:uid="{2F5DAE03-406C-44AB-A329-5A9B22381C83}" name="Column12825"/>
    <tableColumn id="12840" xr3:uid="{21EB6459-1B8F-4D01-929E-6CEA42CA53B6}" name="Column12826"/>
    <tableColumn id="12841" xr3:uid="{297A6A71-34FF-4FB0-B245-2E81F3ABD8CD}" name="Column12827"/>
    <tableColumn id="12842" xr3:uid="{07AFAAF8-4335-450B-8675-3F7EB4DFDF4E}" name="Column12828"/>
    <tableColumn id="12843" xr3:uid="{B207C5D0-0842-44A6-BC77-5CDF61F92A63}" name="Column12829"/>
    <tableColumn id="12844" xr3:uid="{D84E96BB-53FB-4455-8475-FCFD43631B2A}" name="Column12830"/>
    <tableColumn id="12845" xr3:uid="{2755833C-85E6-425E-9C79-CF9A37B6975A}" name="Column12831"/>
    <tableColumn id="12846" xr3:uid="{236B966B-8D7F-4DC7-9AE3-6BECB3DE7B94}" name="Column12832"/>
    <tableColumn id="12847" xr3:uid="{E95352F8-60F4-4EA4-9C9E-C4EDB0D1BECD}" name="Column12833"/>
    <tableColumn id="12848" xr3:uid="{A6234236-B6AA-47AC-B9FC-A5A9B294EBD1}" name="Column12834"/>
    <tableColumn id="12849" xr3:uid="{C6E01C8F-E472-48F2-B074-8A539497B411}" name="Column12835"/>
    <tableColumn id="12850" xr3:uid="{B0294B75-B788-4B39-92B9-6A0A2B489825}" name="Column12836"/>
    <tableColumn id="12851" xr3:uid="{DFAB3FFA-5E7A-4249-911E-BF4CA40608A0}" name="Column12837"/>
    <tableColumn id="12852" xr3:uid="{77B47FC6-BBF4-40A6-B5E9-6047063BF88F}" name="Column12838"/>
    <tableColumn id="12853" xr3:uid="{C98D0730-AA6E-4BCC-9F50-015E2956D63F}" name="Column12839"/>
    <tableColumn id="12854" xr3:uid="{A9CE7A11-7638-495C-B084-795167F00B75}" name="Column12840"/>
    <tableColumn id="12855" xr3:uid="{5E354CAC-B962-4DFA-8999-2935B7CD62F0}" name="Column12841"/>
    <tableColumn id="12856" xr3:uid="{A75906A6-CFE4-4A2F-90DE-0D0D4ED1A940}" name="Column12842"/>
    <tableColumn id="12857" xr3:uid="{5E6EC02A-E916-40FB-9C02-7C1E523F7C28}" name="Column12843"/>
    <tableColumn id="12858" xr3:uid="{4B44CB42-762E-4969-A8DD-2C936E3E9FC0}" name="Column12844"/>
    <tableColumn id="12859" xr3:uid="{46F9E09F-CAB9-4560-8557-1E3BB9E8BC52}" name="Column12845"/>
    <tableColumn id="12860" xr3:uid="{3CCC036B-EC05-4034-A382-854E32DA6A63}" name="Column12846"/>
    <tableColumn id="12861" xr3:uid="{A8438122-FAC5-4740-98BE-A52BFD768A74}" name="Column12847"/>
    <tableColumn id="12862" xr3:uid="{07D0D883-E78A-4B4F-8109-58C9EAFC56B2}" name="Column12848"/>
    <tableColumn id="12863" xr3:uid="{CE38D10D-98B4-4A6E-823A-E9BD8A4159FE}" name="Column12849"/>
    <tableColumn id="12864" xr3:uid="{5AB656A1-E015-425E-A1C0-A1186868F9A2}" name="Column12850"/>
    <tableColumn id="12865" xr3:uid="{765560EF-4F55-44E9-8F02-0BA2C302EE59}" name="Column12851"/>
    <tableColumn id="12866" xr3:uid="{D1A0B301-735D-4E83-88BA-9FC26F825013}" name="Column12852"/>
    <tableColumn id="12867" xr3:uid="{091377F0-8A7D-493C-9DD2-0DED6ECB8947}" name="Column12853"/>
    <tableColumn id="12868" xr3:uid="{014EEA89-9A2F-4BCD-94B8-C2E306B50A31}" name="Column12854"/>
    <tableColumn id="12869" xr3:uid="{4699C570-1113-4DA0-BF45-207D5AEEBE41}" name="Column12855"/>
    <tableColumn id="12870" xr3:uid="{BBF469E6-2B8D-4A0A-8E24-F82340736C58}" name="Column12856"/>
    <tableColumn id="12871" xr3:uid="{2F291F21-F875-4D4E-BB0E-3E603FE789F6}" name="Column12857"/>
    <tableColumn id="12872" xr3:uid="{4CF2BD49-22EA-4B7C-8F88-EC1442929DAE}" name="Column12858"/>
    <tableColumn id="12873" xr3:uid="{5DCBF23F-3647-4081-8043-C467AA639084}" name="Column12859"/>
    <tableColumn id="12874" xr3:uid="{0A6E2844-97A9-49A0-A9BF-E7D78BA9F2F8}" name="Column12860"/>
    <tableColumn id="12875" xr3:uid="{1C330B6F-64B8-428E-BAA1-FAD90838FEE5}" name="Column12861"/>
    <tableColumn id="12876" xr3:uid="{F45E7560-F537-4DE9-A3F1-BF270475F0C5}" name="Column12862"/>
    <tableColumn id="12877" xr3:uid="{584A9087-C05D-4BF3-B7D3-7B4DDB95E424}" name="Column12863"/>
    <tableColumn id="12878" xr3:uid="{3F035142-33F1-438F-A1BE-172241091A27}" name="Column12864"/>
    <tableColumn id="12879" xr3:uid="{DFFC31B4-1AB9-49E9-94C7-21CA642FBE95}" name="Column12865"/>
    <tableColumn id="12880" xr3:uid="{F0C486AA-8F91-403F-9713-33879B03A75E}" name="Column12866"/>
    <tableColumn id="12881" xr3:uid="{8764AB26-5138-4238-9503-1DA59435E952}" name="Column12867"/>
    <tableColumn id="12882" xr3:uid="{4FDA9D75-0BE4-4F85-805E-903BD64D50AC}" name="Column12868"/>
    <tableColumn id="12883" xr3:uid="{D9214AAE-2405-419C-85F4-672681E3ABFB}" name="Column12869"/>
    <tableColumn id="12884" xr3:uid="{20FF6F26-0680-4902-BCF9-DECF06A40367}" name="Column12870"/>
    <tableColumn id="12885" xr3:uid="{31BD7881-E9FF-45DE-BDE2-44215AFB9F87}" name="Column12871"/>
    <tableColumn id="12886" xr3:uid="{C99A3B52-958C-4006-8BEF-FB1A0B4DED1D}" name="Column12872"/>
    <tableColumn id="12887" xr3:uid="{2DF53637-BC8E-4458-B659-7296574F1AAD}" name="Column12873"/>
    <tableColumn id="12888" xr3:uid="{1A0CDF02-CA5A-483E-8B0D-D49504300562}" name="Column12874"/>
    <tableColumn id="12889" xr3:uid="{D36A4170-9F24-46B8-B7B4-8CD9342C7BF4}" name="Column12875"/>
    <tableColumn id="12890" xr3:uid="{1C4F5E32-5772-4C8C-8D15-055B85E149C5}" name="Column12876"/>
    <tableColumn id="12891" xr3:uid="{6B9A3EB9-86BC-46DB-9C6B-E9D53955E214}" name="Column12877"/>
    <tableColumn id="12892" xr3:uid="{80974698-9E35-460B-9825-7E98971E40DA}" name="Column12878"/>
    <tableColumn id="12893" xr3:uid="{B13BC556-880B-4A70-98A6-BF6239D62122}" name="Column12879"/>
    <tableColumn id="12894" xr3:uid="{175FC0B1-7DF7-49E8-8408-14BB9F29C1F6}" name="Column12880"/>
    <tableColumn id="12895" xr3:uid="{746C9B6D-FE3A-4E55-A34A-60CFB88C220C}" name="Column12881"/>
    <tableColumn id="12896" xr3:uid="{176433AF-3024-42FE-A284-8C6BAB5BD256}" name="Column12882"/>
    <tableColumn id="12897" xr3:uid="{96CBA812-B91D-4B9F-B90D-527ED7EB9182}" name="Column12883"/>
    <tableColumn id="12898" xr3:uid="{D92DADB2-E910-4081-90D2-7DCEB91267AA}" name="Column12884"/>
    <tableColumn id="12899" xr3:uid="{22D55AEC-F30E-4FB6-9A02-E03BCBF63725}" name="Column12885"/>
    <tableColumn id="12900" xr3:uid="{8447E4D3-8A1F-42ED-9CD5-B703B69CEA83}" name="Column12886"/>
    <tableColumn id="12901" xr3:uid="{5DA9E7BD-5B8F-48C4-B6EB-5614D4DAA186}" name="Column12887"/>
    <tableColumn id="12902" xr3:uid="{4C317BAB-E7A9-418A-BC3B-142B31002B85}" name="Column12888"/>
    <tableColumn id="12903" xr3:uid="{84A8A1BB-97BC-41A7-B400-49EF90A7F66F}" name="Column12889"/>
    <tableColumn id="12904" xr3:uid="{6304CCB0-F622-493D-8700-6C4E369AE1B0}" name="Column12890"/>
    <tableColumn id="12905" xr3:uid="{D0355612-FB01-49D9-8E6B-C4D3FBFC15BC}" name="Column12891"/>
    <tableColumn id="12906" xr3:uid="{3E3B6C5F-8D3D-4D34-B929-C7359D9DB857}" name="Column12892"/>
    <tableColumn id="12907" xr3:uid="{518A64B5-FA57-43E4-A81B-B25F7869CE7F}" name="Column12893"/>
    <tableColumn id="12908" xr3:uid="{8764BC94-2ACA-4201-80B3-FB44C74DC3D3}" name="Column12894"/>
    <tableColumn id="12909" xr3:uid="{43EB3BBE-7378-4D52-A4F0-C27CA775E446}" name="Column12895"/>
    <tableColumn id="12910" xr3:uid="{DF0A67DB-9459-4DE7-9C71-DC119F9B60BB}" name="Column12896"/>
    <tableColumn id="12911" xr3:uid="{1BD0F397-4257-4D66-908D-754529A5222E}" name="Column12897"/>
    <tableColumn id="12912" xr3:uid="{3FBE3A39-D396-4EAC-AB01-FF9E02FBAD22}" name="Column12898"/>
    <tableColumn id="12913" xr3:uid="{9E1C2003-EE8A-46C6-AD57-1E09DFA0B360}" name="Column12899"/>
    <tableColumn id="12914" xr3:uid="{6743C52E-7703-4A06-B228-057103F35651}" name="Column12900"/>
    <tableColumn id="12915" xr3:uid="{E24D7904-D6F4-4EDE-A6B0-A39075122C51}" name="Column12901"/>
    <tableColumn id="12916" xr3:uid="{7768B4EA-CF65-4D0A-9949-3B24BEA28483}" name="Column12902"/>
    <tableColumn id="12917" xr3:uid="{CC442C20-43A4-48E1-87D2-26A0EDA15579}" name="Column12903"/>
    <tableColumn id="12918" xr3:uid="{3038B81B-7C49-46E4-97DA-DE3A4ADBB3A7}" name="Column12904"/>
    <tableColumn id="12919" xr3:uid="{A11187F3-F26C-42F8-9725-6C5F92096FAF}" name="Column12905"/>
    <tableColumn id="12920" xr3:uid="{41757429-ED87-48B1-BCBF-D302B7E89BC2}" name="Column12906"/>
    <tableColumn id="12921" xr3:uid="{EC8E41CF-161C-454C-AA48-86061D7C0264}" name="Column12907"/>
    <tableColumn id="12922" xr3:uid="{2D1DF58A-B743-4642-977A-AD7E99687798}" name="Column12908"/>
    <tableColumn id="12923" xr3:uid="{A3C3B9BF-4BE4-4B1E-997D-F69DA7D08B14}" name="Column12909"/>
    <tableColumn id="12924" xr3:uid="{76304DC9-A5D4-49FD-BB0F-4B9BA073902C}" name="Column12910"/>
    <tableColumn id="12925" xr3:uid="{394157BD-CD1A-437D-A652-DE263A42BD5A}" name="Column12911"/>
    <tableColumn id="12926" xr3:uid="{FAA44610-FD59-44BA-AD58-8EC35BBDBC33}" name="Column12912"/>
    <tableColumn id="12927" xr3:uid="{7EE18C5B-08E4-4834-B41D-20368B29D896}" name="Column12913"/>
    <tableColumn id="12928" xr3:uid="{69F16785-4BA8-423E-8F75-B84F9F2EC147}" name="Column12914"/>
    <tableColumn id="12929" xr3:uid="{2A57D898-5F74-4B56-AB44-0DEC95E817B3}" name="Column12915"/>
    <tableColumn id="12930" xr3:uid="{EEF4417D-0765-4DA4-ABB9-3B2468385251}" name="Column12916"/>
    <tableColumn id="12931" xr3:uid="{9B630392-4165-4298-ACA6-374DEAD1BFAF}" name="Column12917"/>
    <tableColumn id="12932" xr3:uid="{29556D1E-7836-492F-8594-5B425ED8CFA1}" name="Column12918"/>
    <tableColumn id="12933" xr3:uid="{0302C2A6-D5D8-4324-AFF9-10806DF235FD}" name="Column12919"/>
    <tableColumn id="12934" xr3:uid="{BD5EB3C2-CCBD-42F1-BF10-B75CDC2E1C39}" name="Column12920"/>
    <tableColumn id="12935" xr3:uid="{BC3B67F3-8932-4316-A5EA-75B0890B27D8}" name="Column12921"/>
    <tableColumn id="12936" xr3:uid="{10C08DF5-8E88-4CF7-AC39-0F4C52F3BA75}" name="Column12922"/>
    <tableColumn id="12937" xr3:uid="{5E59A56C-CE6C-425E-9A1F-D000055144E4}" name="Column12923"/>
    <tableColumn id="12938" xr3:uid="{C83FC7EC-C436-4BD8-B4FF-E6464C4FDCED}" name="Column12924"/>
    <tableColumn id="12939" xr3:uid="{46E63F4E-CBB1-4A13-AF83-34D24B0C95F4}" name="Column12925"/>
    <tableColumn id="12940" xr3:uid="{977DE4D3-AE2D-418D-A80C-858648703661}" name="Column12926"/>
    <tableColumn id="12941" xr3:uid="{74B9CD17-B4E0-4366-8773-C04E9E6502AA}" name="Column12927"/>
    <tableColumn id="12942" xr3:uid="{FA97CD82-47F0-4235-B2EC-2675E61D7DD2}" name="Column12928"/>
    <tableColumn id="12943" xr3:uid="{1CBA4650-E178-4F6E-B7CC-7832C8EDC229}" name="Column12929"/>
    <tableColumn id="12944" xr3:uid="{357184A0-9628-4997-899C-30FC6A7A8789}" name="Column12930"/>
    <tableColumn id="12945" xr3:uid="{F455DA5C-5AA4-4A05-92C4-90904BAAD234}" name="Column12931"/>
    <tableColumn id="12946" xr3:uid="{16695C5C-6FEC-457A-9323-27DB9FB29332}" name="Column12932"/>
    <tableColumn id="12947" xr3:uid="{4726F9F7-FA6D-4786-AAB7-814D6CE1068D}" name="Column12933"/>
    <tableColumn id="12948" xr3:uid="{1DDED6FC-AA50-4CC4-857F-C7EBE8FB0F02}" name="Column12934"/>
    <tableColumn id="12949" xr3:uid="{54AC3A20-8A2E-4190-8442-8228557B405E}" name="Column12935"/>
    <tableColumn id="12950" xr3:uid="{F49CFE58-F0B3-4113-AF64-6D1FFBF02AFD}" name="Column12936"/>
    <tableColumn id="12951" xr3:uid="{27F72C79-68B8-4FC9-A21B-A6F172A70A04}" name="Column12937"/>
    <tableColumn id="12952" xr3:uid="{5A703A04-69A5-4931-AB55-B1EDE6912A3B}" name="Column12938"/>
    <tableColumn id="12953" xr3:uid="{2266B8F4-368B-46AC-A28E-854066E01E27}" name="Column12939"/>
    <tableColumn id="12954" xr3:uid="{E3380C54-7C6D-4A7A-BE93-B623FD7458A7}" name="Column12940"/>
    <tableColumn id="12955" xr3:uid="{F4B9E8CA-57D3-430A-8897-4867341FF1FC}" name="Column12941"/>
    <tableColumn id="12956" xr3:uid="{9ECBD5B8-F633-4F24-AF46-8F4BFEB045C2}" name="Column12942"/>
    <tableColumn id="12957" xr3:uid="{F55D1CF3-65BF-4B82-9754-538620F4D69A}" name="Column12943"/>
    <tableColumn id="12958" xr3:uid="{0E93349C-BA36-4C62-8452-75D83CA18768}" name="Column12944"/>
    <tableColumn id="12959" xr3:uid="{C25E80B6-A940-4A6E-981B-478C37A02AC1}" name="Column12945"/>
    <tableColumn id="12960" xr3:uid="{C383495D-643D-407F-8C3B-9720F0595D40}" name="Column12946"/>
    <tableColumn id="12961" xr3:uid="{C566CCC2-67F7-4A30-8A24-3125A264EED2}" name="Column12947"/>
    <tableColumn id="12962" xr3:uid="{45E26AD9-0B4B-47BA-ABCE-56E81DD39408}" name="Column12948"/>
    <tableColumn id="12963" xr3:uid="{7D9DB3FA-3BE0-40D0-AC07-EE453BDE08D3}" name="Column12949"/>
    <tableColumn id="12964" xr3:uid="{0151E809-B098-4612-B72A-669FFDBDFDDE}" name="Column12950"/>
    <tableColumn id="12965" xr3:uid="{D55080F3-E4F1-43C7-8305-31A4DD1FEBB1}" name="Column12951"/>
    <tableColumn id="12966" xr3:uid="{361A12AA-1117-4DD1-8332-C795568D1137}" name="Column12952"/>
    <tableColumn id="12967" xr3:uid="{6810F4AB-68E1-4CEE-A43B-35A5C61478E8}" name="Column12953"/>
    <tableColumn id="12968" xr3:uid="{DB545A9B-9998-4263-B348-89277A4AAD1A}" name="Column12954"/>
    <tableColumn id="12969" xr3:uid="{6862888A-5BF4-4001-A8F3-BF153CC80E70}" name="Column12955"/>
    <tableColumn id="12970" xr3:uid="{950D5C18-4228-4F20-BCE3-04AD263D6519}" name="Column12956"/>
    <tableColumn id="12971" xr3:uid="{A8268238-AEB4-4206-9A32-D7BC82D8BA8D}" name="Column12957"/>
    <tableColumn id="12972" xr3:uid="{6CB1BAAE-29C4-46E1-9596-2F925843769F}" name="Column12958"/>
    <tableColumn id="12973" xr3:uid="{548B77AF-7695-46BB-A72B-4A4C40EAC5B1}" name="Column12959"/>
    <tableColumn id="12974" xr3:uid="{FD5648E1-2564-48E8-8CA3-D85365259CA6}" name="Column12960"/>
    <tableColumn id="12975" xr3:uid="{91629DD0-9D10-4D1B-B401-119971143FF4}" name="Column12961"/>
    <tableColumn id="12976" xr3:uid="{3E427629-241F-4798-B5BF-BA507358D1CB}" name="Column12962"/>
    <tableColumn id="12977" xr3:uid="{96C48F17-2810-4EF8-B299-0CF3834B5FB2}" name="Column12963"/>
    <tableColumn id="12978" xr3:uid="{4AB0DA96-6967-4788-9A59-C17A27BE3ACE}" name="Column12964"/>
    <tableColumn id="12979" xr3:uid="{E22DEBB9-6F6B-45C9-85BB-E0CB5ED1EE25}" name="Column12965"/>
    <tableColumn id="12980" xr3:uid="{505CF202-1B66-401C-ACB6-F6FD7C61AC70}" name="Column12966"/>
    <tableColumn id="12981" xr3:uid="{2ABD4227-CDE3-4024-89ED-1BCDA1CC8CB7}" name="Column12967"/>
    <tableColumn id="12982" xr3:uid="{C16BB591-0F5E-4891-AE6E-6203CADCAA6A}" name="Column12968"/>
    <tableColumn id="12983" xr3:uid="{44057922-87D2-48EE-8CC5-41B3A8A68A27}" name="Column12969"/>
    <tableColumn id="12984" xr3:uid="{915C0E27-4623-43C0-80B0-C02E8998A144}" name="Column12970"/>
    <tableColumn id="12985" xr3:uid="{E02002A5-8A7C-4EBA-B987-F476BD67DB74}" name="Column12971"/>
    <tableColumn id="12986" xr3:uid="{13DE8C76-6E5B-4250-B333-B2D568CD1444}" name="Column12972"/>
    <tableColumn id="12987" xr3:uid="{939B1214-2001-4F08-8824-564D3C596234}" name="Column12973"/>
    <tableColumn id="12988" xr3:uid="{23AFDEA5-0675-4AAB-957F-C1DB3E16807A}" name="Column12974"/>
    <tableColumn id="12989" xr3:uid="{9495ABD0-27C8-4976-B00F-00EBE938D6F7}" name="Column12975"/>
    <tableColumn id="12990" xr3:uid="{06A6BC67-5BBA-4D88-892F-0111CC0A8CAA}" name="Column12976"/>
    <tableColumn id="12991" xr3:uid="{702F4E61-39C2-4FAE-B4BE-54B3B2893775}" name="Column12977"/>
    <tableColumn id="12992" xr3:uid="{9929928A-6C7C-4AD2-B21A-F2BFAE846077}" name="Column12978"/>
    <tableColumn id="12993" xr3:uid="{17CB74E7-F85E-4027-A6C9-711AF12BA7BF}" name="Column12979"/>
    <tableColumn id="12994" xr3:uid="{D8E6AEE3-894F-4D78-88C4-419804F5369E}" name="Column12980"/>
    <tableColumn id="12995" xr3:uid="{90ABA734-91AA-4915-BF3C-300B6574E2F0}" name="Column12981"/>
    <tableColumn id="12996" xr3:uid="{8C8256DA-4DB8-4CFE-B4DF-97D31D74DDBA}" name="Column12982"/>
    <tableColumn id="12997" xr3:uid="{BD983D15-36F2-4C2F-8C54-3606BC411041}" name="Column12983"/>
    <tableColumn id="12998" xr3:uid="{A601183E-C4A2-4812-AD56-3092E0113CCF}" name="Column12984"/>
    <tableColumn id="12999" xr3:uid="{44862E45-284A-4D57-8E0E-F8927A568941}" name="Column12985"/>
    <tableColumn id="13000" xr3:uid="{B23C7C1D-E1BE-4841-A5CD-BDF1B8E599D3}" name="Column12986"/>
    <tableColumn id="13001" xr3:uid="{4FA26D4C-B308-4380-852A-5692FF54659D}" name="Column12987"/>
    <tableColumn id="13002" xr3:uid="{BCC98772-65F0-49D6-9E39-BF7EAA965B08}" name="Column12988"/>
    <tableColumn id="13003" xr3:uid="{633BFC00-70BA-41DC-8D46-57B988E7991D}" name="Column12989"/>
    <tableColumn id="13004" xr3:uid="{B096D5AB-EDF0-4BE4-ADA6-7BFADBDDD7C9}" name="Column12990"/>
    <tableColumn id="13005" xr3:uid="{D4616B80-C8F0-4F4B-973A-E6E9CBB9B79F}" name="Column12991"/>
    <tableColumn id="13006" xr3:uid="{C8266C70-27B9-4116-B08A-FA62E9E60A96}" name="Column12992"/>
    <tableColumn id="13007" xr3:uid="{AAA949E9-A514-463D-86CB-14E4A6D58AC7}" name="Column12993"/>
    <tableColumn id="13008" xr3:uid="{B1EADA19-DE2A-4EBD-9B79-9012D5033690}" name="Column12994"/>
    <tableColumn id="13009" xr3:uid="{D9636446-AE13-4626-AE5E-5267EF19AB09}" name="Column12995"/>
    <tableColumn id="13010" xr3:uid="{217F80F2-DA5E-47FD-83E3-EA5734A99CB1}" name="Column12996"/>
    <tableColumn id="13011" xr3:uid="{F7508A22-A04D-4092-9FDE-0D6697E7FC0B}" name="Column12997"/>
    <tableColumn id="13012" xr3:uid="{1FE55EC9-0BFD-4AAD-9FF2-EB15EE1C6C89}" name="Column12998"/>
    <tableColumn id="13013" xr3:uid="{1B9A7FA5-082E-4BE8-9B4D-8A619919FDF1}" name="Column12999"/>
    <tableColumn id="13014" xr3:uid="{BDDBC62B-2499-40BF-AC4E-F5E4FBC507C0}" name="Column13000"/>
    <tableColumn id="13015" xr3:uid="{2A040B1D-99D9-4927-8214-4670070AA5C7}" name="Column13001"/>
    <tableColumn id="13016" xr3:uid="{5E8F5C9F-36D1-4C7A-85D1-7E48D32E2469}" name="Column13002"/>
    <tableColumn id="13017" xr3:uid="{1BF21F23-3368-4F37-B0DB-4EC60B3F8363}" name="Column13003"/>
    <tableColumn id="13018" xr3:uid="{8B2FEFCE-5211-4CB9-A560-09A9FBD426FD}" name="Column13004"/>
    <tableColumn id="13019" xr3:uid="{FADE7445-4C85-4708-8CB8-64E60244484D}" name="Column13005"/>
    <tableColumn id="13020" xr3:uid="{671B4647-68A1-46B8-AAA0-324B1050CFF3}" name="Column13006"/>
    <tableColumn id="13021" xr3:uid="{8B74B2DB-E2A8-4F7C-A037-F455A1FDF810}" name="Column13007"/>
    <tableColumn id="13022" xr3:uid="{8405BE33-2B8D-4AA6-BE74-180A518CD681}" name="Column13008"/>
    <tableColumn id="13023" xr3:uid="{BE9A794F-4318-402E-8F02-3EB3375645B4}" name="Column13009"/>
    <tableColumn id="13024" xr3:uid="{563F7E23-27A0-4DCF-81A3-C567CF387236}" name="Column13010"/>
    <tableColumn id="13025" xr3:uid="{77597BA3-849E-467E-A5B1-156F53405D16}" name="Column13011"/>
    <tableColumn id="13026" xr3:uid="{AB0B6405-7634-4D5A-8468-E24B16826293}" name="Column13012"/>
    <tableColumn id="13027" xr3:uid="{C7AB45AD-5558-4038-8B24-79F8F6F3E91F}" name="Column13013"/>
    <tableColumn id="13028" xr3:uid="{900C0E0D-55F1-498A-B996-B16998822F1F}" name="Column13014"/>
    <tableColumn id="13029" xr3:uid="{6F7B9DEB-F78F-4B9F-B9FC-95B31F34D448}" name="Column13015"/>
    <tableColumn id="13030" xr3:uid="{C27E2146-0308-4CAA-89CF-75FE5568F88E}" name="Column13016"/>
    <tableColumn id="13031" xr3:uid="{1C56CDA9-5B5E-41D5-BA54-A590B3887C82}" name="Column13017"/>
    <tableColumn id="13032" xr3:uid="{83048C46-BDE8-4F53-B2E2-8042C44306F0}" name="Column13018"/>
    <tableColumn id="13033" xr3:uid="{19364A6B-6DF0-44ED-AB93-01EF67155811}" name="Column13019"/>
    <tableColumn id="13034" xr3:uid="{2BB0FC2A-7874-46B6-B0B8-6611AE2A4C55}" name="Column13020"/>
    <tableColumn id="13035" xr3:uid="{F64106C6-0F81-47F1-B099-B0D55C4ADE63}" name="Column13021"/>
    <tableColumn id="13036" xr3:uid="{50F317FD-C1BF-41DE-BBB1-24182DD6ECC6}" name="Column13022"/>
    <tableColumn id="13037" xr3:uid="{8061B743-5273-4AE7-BDF8-0522CE806C1F}" name="Column13023"/>
    <tableColumn id="13038" xr3:uid="{6AEF98DD-19EC-4F04-85DC-2F97588E8812}" name="Column13024"/>
    <tableColumn id="13039" xr3:uid="{6475A00C-540B-482F-9ADD-35C2DB85C4F7}" name="Column13025"/>
    <tableColumn id="13040" xr3:uid="{09969A43-BBD0-42BF-BA55-47942F27AD39}" name="Column13026"/>
    <tableColumn id="13041" xr3:uid="{D920EBFB-3914-4462-B5B9-4120A2E5C5FD}" name="Column13027"/>
    <tableColumn id="13042" xr3:uid="{49B4A5ED-3331-4145-8B2E-549190DAA8C9}" name="Column13028"/>
    <tableColumn id="13043" xr3:uid="{4B45C860-ABBF-4CB2-A1CF-0CA408E3734B}" name="Column13029"/>
    <tableColumn id="13044" xr3:uid="{AA908432-7C7E-447D-B087-705CBA00F41B}" name="Column13030"/>
    <tableColumn id="13045" xr3:uid="{3A3E5C89-ED79-45E4-8325-A135DFF7F559}" name="Column13031"/>
    <tableColumn id="13046" xr3:uid="{73A612C2-9B4F-44E7-B4C0-3631DE6A9A68}" name="Column13032"/>
    <tableColumn id="13047" xr3:uid="{B878299A-5E01-4932-8D29-A409C58F3A74}" name="Column13033"/>
    <tableColumn id="13048" xr3:uid="{C3BBF7FF-9BF9-4C4C-812B-F15DC3FC56E9}" name="Column13034"/>
    <tableColumn id="13049" xr3:uid="{042D4248-12AA-4632-A6EB-57B3C8A99E7C}" name="Column13035"/>
    <tableColumn id="13050" xr3:uid="{630FF1B6-3898-4066-938E-4DC66900E460}" name="Column13036"/>
    <tableColumn id="13051" xr3:uid="{0567CB41-7C81-4807-BDBC-8BBC87A0CE2C}" name="Column13037"/>
    <tableColumn id="13052" xr3:uid="{4BEA933D-FDD3-4372-AEE7-050EC2AF1AB7}" name="Column13038"/>
    <tableColumn id="13053" xr3:uid="{158927C3-BCFD-479B-AA9B-B68C820D6F96}" name="Column13039"/>
    <tableColumn id="13054" xr3:uid="{55C32C94-E510-467A-AF66-DF7B4CAAC0E8}" name="Column13040"/>
    <tableColumn id="13055" xr3:uid="{66840E84-0523-416C-8599-0C6D77E43A3D}" name="Column13041"/>
    <tableColumn id="13056" xr3:uid="{413F96EE-09B6-4EBB-9015-158851821CBB}" name="Column13042"/>
    <tableColumn id="13057" xr3:uid="{BF60FFEF-4B91-48FA-9B22-9709A74E0DCE}" name="Column13043"/>
    <tableColumn id="13058" xr3:uid="{2CADF3B0-B4CE-42D7-A6C7-B9A959830B7F}" name="Column13044"/>
    <tableColumn id="13059" xr3:uid="{485EB55F-B152-43E4-9817-917B5789A12D}" name="Column13045"/>
    <tableColumn id="13060" xr3:uid="{C32B0FB0-122C-4207-8D0F-E00BEA52FA36}" name="Column13046"/>
    <tableColumn id="13061" xr3:uid="{4660A46C-E06E-4444-917D-686FC2579B89}" name="Column13047"/>
    <tableColumn id="13062" xr3:uid="{2E24A8C0-C141-492F-BE71-07BF21919F30}" name="Column13048"/>
    <tableColumn id="13063" xr3:uid="{C09BAAD3-5F33-4940-95E5-CFBFF1A87FEF}" name="Column13049"/>
    <tableColumn id="13064" xr3:uid="{C448FC51-1A8A-4C08-8316-FE5DE8C44511}" name="Column13050"/>
    <tableColumn id="13065" xr3:uid="{52BCED01-DAF8-44B2-A199-03FDC4BCD343}" name="Column13051"/>
    <tableColumn id="13066" xr3:uid="{A1462F41-5A4D-4E49-993B-2121FC800FE3}" name="Column13052"/>
    <tableColumn id="13067" xr3:uid="{DFF58FBA-69CC-4875-A018-79F24AC5541C}" name="Column13053"/>
    <tableColumn id="13068" xr3:uid="{2E4FB8BE-4313-4BA7-A375-1C4E90FFC781}" name="Column13054"/>
    <tableColumn id="13069" xr3:uid="{87EA7984-5A94-4042-92E3-B42A403FBAB2}" name="Column13055"/>
    <tableColumn id="13070" xr3:uid="{F56963DE-6F29-4293-9ACA-A8AD99DE26FC}" name="Column13056"/>
    <tableColumn id="13071" xr3:uid="{D8802C64-FF4E-4DA7-AAD1-73017F754CE0}" name="Column13057"/>
    <tableColumn id="13072" xr3:uid="{E7B84FED-2AC3-41C9-83CD-5C075A92880D}" name="Column13058"/>
    <tableColumn id="13073" xr3:uid="{CEDE7444-4057-4BAD-81E2-A4536622D79E}" name="Column13059"/>
    <tableColumn id="13074" xr3:uid="{E6B131B3-FB2C-45FD-927F-666610A155D6}" name="Column13060"/>
    <tableColumn id="13075" xr3:uid="{4A72B698-C187-442D-9373-81B3034A4B6D}" name="Column13061"/>
    <tableColumn id="13076" xr3:uid="{13DF4A68-1B5D-4E66-B5E5-7D2295109D8A}" name="Column13062"/>
    <tableColumn id="13077" xr3:uid="{AC69E9F4-4D7A-4668-9D1A-F5C0809D3419}" name="Column13063"/>
    <tableColumn id="13078" xr3:uid="{1DD98D9A-D006-49C3-89E1-80C30C6AB5B2}" name="Column13064"/>
    <tableColumn id="13079" xr3:uid="{CE9BC20E-55D3-475C-AE52-67BCBEC15B1D}" name="Column13065"/>
    <tableColumn id="13080" xr3:uid="{EAAC1792-2634-4FE6-A32F-68B0C465C6D1}" name="Column13066"/>
    <tableColumn id="13081" xr3:uid="{1A4C51C7-907D-4801-BD75-126A6F361BDA}" name="Column13067"/>
    <tableColumn id="13082" xr3:uid="{58FCAF72-9146-467F-9B67-EC56DF00EA3A}" name="Column13068"/>
    <tableColumn id="13083" xr3:uid="{3013CB5F-FBDA-4FB4-9D1C-E3D397068EF2}" name="Column13069"/>
    <tableColumn id="13084" xr3:uid="{88956E82-C03D-4BF0-8E19-E49EF1D8F576}" name="Column13070"/>
    <tableColumn id="13085" xr3:uid="{9CBB1EE2-C18A-42DE-B014-8BC71E6575B8}" name="Column13071"/>
    <tableColumn id="13086" xr3:uid="{A303665F-6093-443E-B2D5-1756A618D738}" name="Column13072"/>
    <tableColumn id="13087" xr3:uid="{C83DDF84-255E-406C-AB5A-F84FD750494D}" name="Column13073"/>
    <tableColumn id="13088" xr3:uid="{43BC4D04-757D-4A21-BE21-7B265D68EDED}" name="Column13074"/>
    <tableColumn id="13089" xr3:uid="{7672590D-455E-469E-975F-6CDB6FEB8175}" name="Column13075"/>
    <tableColumn id="13090" xr3:uid="{D28BF467-AE27-4EE0-A2AB-115422BEBCDF}" name="Column13076"/>
    <tableColumn id="13091" xr3:uid="{3065A400-2AB6-414B-94BE-5BDB32C5E0A0}" name="Column13077"/>
    <tableColumn id="13092" xr3:uid="{9503D503-2DE1-4FC9-A015-5B793084807E}" name="Column13078"/>
    <tableColumn id="13093" xr3:uid="{32607316-D0D3-4C3A-BFE5-BA9A666F8751}" name="Column13079"/>
    <tableColumn id="13094" xr3:uid="{5BE1D12A-6AA0-4F4A-8BE6-33790EE2820D}" name="Column13080"/>
    <tableColumn id="13095" xr3:uid="{00CA39C6-A119-4404-9096-5E90B5EB4308}" name="Column13081"/>
    <tableColumn id="13096" xr3:uid="{D4317D80-BEDF-4FBF-B298-021F2F9D7FC6}" name="Column13082"/>
    <tableColumn id="13097" xr3:uid="{4FE1EBED-9D24-4AEC-8263-CCEF9DD38E1D}" name="Column13083"/>
    <tableColumn id="13098" xr3:uid="{EE0D8CE7-FFD3-4A49-9AFD-D7968851BAFC}" name="Column13084"/>
    <tableColumn id="13099" xr3:uid="{96B65B18-A8EA-4856-9033-5F8EF0EA4634}" name="Column13085"/>
    <tableColumn id="13100" xr3:uid="{956B01FA-14F0-4B06-9550-393F1BF6D5B7}" name="Column13086"/>
    <tableColumn id="13101" xr3:uid="{1EC703BD-8C9E-4904-BEF3-E53FE702799B}" name="Column13087"/>
    <tableColumn id="13102" xr3:uid="{E35B8BF1-97E3-4295-B6BC-0D09F626140E}" name="Column13088"/>
    <tableColumn id="13103" xr3:uid="{BF9D9611-3504-44E9-AEEA-D8B658EB1F3F}" name="Column13089"/>
    <tableColumn id="13104" xr3:uid="{DB9A0291-7D37-48D0-AA26-7506BF439191}" name="Column13090"/>
    <tableColumn id="13105" xr3:uid="{BADDA6A6-0621-4923-827C-88D36D89AA23}" name="Column13091"/>
    <tableColumn id="13106" xr3:uid="{3EA046A8-3651-4089-BC83-BDD9EB43E1D8}" name="Column13092"/>
    <tableColumn id="13107" xr3:uid="{CE139CB9-9266-4552-B343-FF162B86BA6B}" name="Column13093"/>
    <tableColumn id="13108" xr3:uid="{F95328CF-815A-4AEE-88BE-9B957C5B1D8F}" name="Column13094"/>
    <tableColumn id="13109" xr3:uid="{0CDDC9BB-F4AD-4D1F-A952-A44C4A6DB58F}" name="Column13095"/>
    <tableColumn id="13110" xr3:uid="{2753DDDF-6184-4944-BA80-BBF812C9C52D}" name="Column13096"/>
    <tableColumn id="13111" xr3:uid="{AFD9B3BA-965D-4317-8F8B-054757942D8A}" name="Column13097"/>
    <tableColumn id="13112" xr3:uid="{52A0C751-E365-4FFF-AF28-BB31E24DE2EC}" name="Column13098"/>
    <tableColumn id="13113" xr3:uid="{35735863-B3AE-4F3A-88B3-DB7CE6F28F24}" name="Column13099"/>
    <tableColumn id="13114" xr3:uid="{D6604E2A-8945-44ED-AA86-2E129BC11347}" name="Column13100"/>
    <tableColumn id="13115" xr3:uid="{7AC2B895-3E32-448C-9356-4FC6F29E3B4A}" name="Column13101"/>
    <tableColumn id="13116" xr3:uid="{A13B73C9-A9DD-4BA9-861D-34F60041F937}" name="Column13102"/>
    <tableColumn id="13117" xr3:uid="{A5B6012F-6635-40A7-8429-E0F28DE95CFB}" name="Column13103"/>
    <tableColumn id="13118" xr3:uid="{1482F2EA-ED7B-4A79-A492-7ADE4E95DDD6}" name="Column13104"/>
    <tableColumn id="13119" xr3:uid="{2FA478FE-E578-4866-8005-603045AA5DAF}" name="Column13105"/>
    <tableColumn id="13120" xr3:uid="{7EDE2501-5CF9-4A22-A968-EA94F97CA47F}" name="Column13106"/>
    <tableColumn id="13121" xr3:uid="{082E6E27-8EC4-4D10-81B2-5A59BDBE3BE1}" name="Column13107"/>
    <tableColumn id="13122" xr3:uid="{05AD00E3-979D-4D2E-9AB9-C06474F6F8DB}" name="Column13108"/>
    <tableColumn id="13123" xr3:uid="{A4FC618B-877A-4EC7-B489-E1E03D21B24B}" name="Column13109"/>
    <tableColumn id="13124" xr3:uid="{A954214E-155F-466B-9AF9-336B3E978830}" name="Column13110"/>
    <tableColumn id="13125" xr3:uid="{4AEDFC7C-7E30-4B02-90ED-3B572824AB0E}" name="Column13111"/>
    <tableColumn id="13126" xr3:uid="{FD5C55C7-E6B2-42BA-9771-20E20FD962DF}" name="Column13112"/>
    <tableColumn id="13127" xr3:uid="{C5CB511A-091F-46A9-AECB-D99878261AAA}" name="Column13113"/>
    <tableColumn id="13128" xr3:uid="{34344FE2-9DD1-41B7-A5B0-64844DFC0A19}" name="Column13114"/>
    <tableColumn id="13129" xr3:uid="{3A36F510-B156-4602-BB4E-B7F2182754DA}" name="Column13115"/>
    <tableColumn id="13130" xr3:uid="{3394E596-5D1B-47C1-9334-B2B33EAD1991}" name="Column13116"/>
    <tableColumn id="13131" xr3:uid="{49CB2F91-ECAB-45F7-81BE-AEF72D6503C5}" name="Column13117"/>
    <tableColumn id="13132" xr3:uid="{30A7696D-8ACD-4D38-954C-BE596E1F436B}" name="Column13118"/>
    <tableColumn id="13133" xr3:uid="{565E6118-7858-4755-A359-90D9F8EE9BEA}" name="Column13119"/>
    <tableColumn id="13134" xr3:uid="{1B119F7E-2A23-4B40-9A72-42AEB7B6FCC6}" name="Column13120"/>
    <tableColumn id="13135" xr3:uid="{80148A51-ECE6-406C-BE79-0974EC49CFD7}" name="Column13121"/>
    <tableColumn id="13136" xr3:uid="{A211F9A8-31A0-4180-BBF8-C7ED2C927BD3}" name="Column13122"/>
    <tableColumn id="13137" xr3:uid="{04E23E56-FD01-474C-8E50-D130B75A810D}" name="Column13123"/>
    <tableColumn id="13138" xr3:uid="{D1F76232-077D-4AA7-9133-4535B473FE47}" name="Column13124"/>
    <tableColumn id="13139" xr3:uid="{F9A8AFA0-C649-4B8A-BCDA-0E5947EAF9B3}" name="Column13125"/>
    <tableColumn id="13140" xr3:uid="{2C073960-6402-4B14-ABD4-58777805A94D}" name="Column13126"/>
    <tableColumn id="13141" xr3:uid="{C783FDDA-9B24-45EB-8917-DE00015FAE92}" name="Column13127"/>
    <tableColumn id="13142" xr3:uid="{3255317E-EA15-4DB3-8E5B-67A02307B24C}" name="Column13128"/>
    <tableColumn id="13143" xr3:uid="{E34095EE-85D7-45A8-9166-F4E01579E281}" name="Column13129"/>
    <tableColumn id="13144" xr3:uid="{6F6203EA-D43B-44CD-A17F-6170FEC8CD55}" name="Column13130"/>
    <tableColumn id="13145" xr3:uid="{179D810F-D6CD-4811-9C76-24396172A45A}" name="Column13131"/>
    <tableColumn id="13146" xr3:uid="{C51EBD3A-F854-462C-B663-EBC0525A1513}" name="Column13132"/>
    <tableColumn id="13147" xr3:uid="{363068DC-39D8-481F-97FE-A69EDDA69411}" name="Column13133"/>
    <tableColumn id="13148" xr3:uid="{2C28C970-9E5C-4339-9207-5F27C669B2E0}" name="Column13134"/>
    <tableColumn id="13149" xr3:uid="{5EA1C669-E6CB-4988-BFA6-2B8F6D09124E}" name="Column13135"/>
    <tableColumn id="13150" xr3:uid="{0C33B037-7F6B-48E1-8009-F237A7D90D17}" name="Column13136"/>
    <tableColumn id="13151" xr3:uid="{0AC47C0D-2B90-40B9-8A42-DAC4FABC231B}" name="Column13137"/>
    <tableColumn id="13152" xr3:uid="{436F9AFD-D111-420A-B847-C45DF006AFE0}" name="Column13138"/>
    <tableColumn id="13153" xr3:uid="{D1E27856-5F8E-46BE-BF20-8E3406794D14}" name="Column13139"/>
    <tableColumn id="13154" xr3:uid="{80F04504-61C7-443B-ABD9-7E4438A70545}" name="Column13140"/>
    <tableColumn id="13155" xr3:uid="{03B174E7-0E14-48EA-AA21-F8010F87F632}" name="Column13141"/>
    <tableColumn id="13156" xr3:uid="{7E8AEBBB-9B2C-4E55-8D19-51021BD99343}" name="Column13142"/>
    <tableColumn id="13157" xr3:uid="{949A603D-07C6-4B49-BD2A-7C11A6D27A58}" name="Column13143"/>
    <tableColumn id="13158" xr3:uid="{916980F7-5F2E-44FE-B4DC-41E2FCF736E8}" name="Column13144"/>
    <tableColumn id="13159" xr3:uid="{E46DC2B6-0A83-43E5-9050-5C45A3C29AA7}" name="Column13145"/>
    <tableColumn id="13160" xr3:uid="{E0C4F359-078C-4A2D-873E-19A4A5873CC9}" name="Column13146"/>
    <tableColumn id="13161" xr3:uid="{2259FF15-487E-497C-8E52-B130CF907150}" name="Column13147"/>
    <tableColumn id="13162" xr3:uid="{C6596DF6-EE4B-4A5A-88BC-D10F98E1DDAA}" name="Column13148"/>
    <tableColumn id="13163" xr3:uid="{5D09A481-337A-44F0-80A0-F0834587B7BF}" name="Column13149"/>
    <tableColumn id="13164" xr3:uid="{58E1346C-4791-43D9-AD08-78D8C47CF02E}" name="Column13150"/>
    <tableColumn id="13165" xr3:uid="{E9E2AA3E-0F92-4C63-A572-67335AF00A9A}" name="Column13151"/>
    <tableColumn id="13166" xr3:uid="{2AE96BFF-2216-4B7E-969E-2DC6EA330E1B}" name="Column13152"/>
    <tableColumn id="13167" xr3:uid="{A323AAAD-199C-4EA9-917A-AA1D9269C5E6}" name="Column13153"/>
    <tableColumn id="13168" xr3:uid="{814BF565-13B2-4BE7-88AE-BD1E3BBA1C80}" name="Column13154"/>
    <tableColumn id="13169" xr3:uid="{AE0B7D41-3848-42E0-830B-4D560BFD773E}" name="Column13155"/>
    <tableColumn id="13170" xr3:uid="{3E27F50B-C128-4699-965D-7C1CD95D1BCF}" name="Column13156"/>
    <tableColumn id="13171" xr3:uid="{0DEA80E2-35C4-4F73-843B-8B1AE9FF5C20}" name="Column13157"/>
    <tableColumn id="13172" xr3:uid="{04FFB6AA-B4BA-48CA-A1B4-07E7A0E4DEFD}" name="Column13158"/>
    <tableColumn id="13173" xr3:uid="{D904F0B3-8CF1-41A2-AE12-3B6F761E94A9}" name="Column13159"/>
    <tableColumn id="13174" xr3:uid="{0747C60B-54C1-4F44-8F5D-29D13F731661}" name="Column13160"/>
    <tableColumn id="13175" xr3:uid="{3724EF67-001F-4AE3-8506-F49233052A9D}" name="Column13161"/>
    <tableColumn id="13176" xr3:uid="{3F3ED3BE-E8F9-4602-A507-3F4057E58A8C}" name="Column13162"/>
    <tableColumn id="13177" xr3:uid="{C83FC3EA-9388-416D-B7B4-ABDF3523F558}" name="Column13163"/>
    <tableColumn id="13178" xr3:uid="{03A4EBB7-342B-4860-9376-77F2DEAEA3CC}" name="Column13164"/>
    <tableColumn id="13179" xr3:uid="{CE7920BE-5B8B-4CB6-A340-11CFB7257219}" name="Column13165"/>
    <tableColumn id="13180" xr3:uid="{DA2EC42B-6DE8-4995-8480-6CB4AF9DFFCB}" name="Column13166"/>
    <tableColumn id="13181" xr3:uid="{EC099297-0482-4338-915C-A69A281DB3B7}" name="Column13167"/>
    <tableColumn id="13182" xr3:uid="{9C3A9D9E-F9B0-4A7B-9F66-882E68BA0D36}" name="Column13168"/>
    <tableColumn id="13183" xr3:uid="{B75A1592-6953-4D3A-8386-3AF636012612}" name="Column13169"/>
    <tableColumn id="13184" xr3:uid="{925F4FCA-9CDF-4F7F-A74D-1900047FFB45}" name="Column13170"/>
    <tableColumn id="13185" xr3:uid="{2853BA40-79F1-4D49-8765-C3E8816435A5}" name="Column13171"/>
    <tableColumn id="13186" xr3:uid="{3C6A5C56-273A-429A-BA09-785A6E8A88CD}" name="Column13172"/>
    <tableColumn id="13187" xr3:uid="{D2A68D65-387D-4B56-81D8-4D555E6811A2}" name="Column13173"/>
    <tableColumn id="13188" xr3:uid="{511FFE65-FF50-4CBA-BB3F-65878C26A833}" name="Column13174"/>
    <tableColumn id="13189" xr3:uid="{8326E189-1A50-49F8-A4C1-0765C10EEFDD}" name="Column13175"/>
    <tableColumn id="13190" xr3:uid="{8E35AB3C-6005-47EB-8BB0-398EC2552A6A}" name="Column13176"/>
    <tableColumn id="13191" xr3:uid="{625AF6E0-5CCD-4A72-82B5-5DB50F5BC9F3}" name="Column13177"/>
    <tableColumn id="13192" xr3:uid="{5CAACFD1-2DF4-47A9-A86B-BF67B05F28CB}" name="Column13178"/>
    <tableColumn id="13193" xr3:uid="{FE0BD7DF-9777-4ECC-8D9A-DC80C6252D46}" name="Column13179"/>
    <tableColumn id="13194" xr3:uid="{8DF6C723-7E91-40B3-A9C5-A5419521A2A7}" name="Column13180"/>
    <tableColumn id="13195" xr3:uid="{B3864D03-6341-4815-B573-D05627EE856A}" name="Column13181"/>
    <tableColumn id="13196" xr3:uid="{0417A2A4-2B90-4B1F-A690-FA60AFFCBB37}" name="Column13182"/>
    <tableColumn id="13197" xr3:uid="{C702DDF0-F9C0-4031-8E9B-7EBF1FD3C1F4}" name="Column13183"/>
    <tableColumn id="13198" xr3:uid="{7F9D070F-A724-4701-955B-1C2C14FCFF8D}" name="Column13184"/>
    <tableColumn id="13199" xr3:uid="{73B6F3A4-89D5-4340-B267-FF6DCBA070DF}" name="Column13185"/>
    <tableColumn id="13200" xr3:uid="{C027021A-E04D-4A11-8FF5-4A170643BD43}" name="Column13186"/>
    <tableColumn id="13201" xr3:uid="{8A88001C-A4F9-4F08-B5EE-BB83EF139472}" name="Column13187"/>
    <tableColumn id="13202" xr3:uid="{A1132242-D411-4600-A5D6-254B14E0A5F4}" name="Column13188"/>
    <tableColumn id="13203" xr3:uid="{274FD8AB-D740-4051-A050-4EE828BFB756}" name="Column13189"/>
    <tableColumn id="13204" xr3:uid="{BB7B02C7-90A9-44D0-8FA4-20C874F6FCE7}" name="Column13190"/>
    <tableColumn id="13205" xr3:uid="{76A81367-6A43-49A0-88B6-42009E9C2A34}" name="Column13191"/>
    <tableColumn id="13206" xr3:uid="{0F9022D3-2B55-4D28-B3FB-DA7BD6B6AE6C}" name="Column13192"/>
    <tableColumn id="13207" xr3:uid="{36E75C2D-16AE-4DC0-9CBC-969211CB2CA6}" name="Column13193"/>
    <tableColumn id="13208" xr3:uid="{7705A8CD-8764-4B54-BE0E-8F72E4D89A40}" name="Column13194"/>
    <tableColumn id="13209" xr3:uid="{EDB8E42A-060C-4018-8398-C1D1E1164ECE}" name="Column13195"/>
    <tableColumn id="13210" xr3:uid="{C8E5A125-74A3-416F-B132-D775008FF83A}" name="Column13196"/>
    <tableColumn id="13211" xr3:uid="{38769B1A-1A99-4CD9-8B29-C3B259D5EF4E}" name="Column13197"/>
    <tableColumn id="13212" xr3:uid="{F9445E46-8D36-4CAB-AA21-1330EC38FCEB}" name="Column13198"/>
    <tableColumn id="13213" xr3:uid="{762E8598-A2E7-42C2-84B2-91EB1C08C4DF}" name="Column13199"/>
    <tableColumn id="13214" xr3:uid="{C1465DE7-25BF-418E-A9DD-F956F95DC339}" name="Column13200"/>
    <tableColumn id="13215" xr3:uid="{E7C7CC51-F65F-4934-823F-F692E1E56148}" name="Column13201"/>
    <tableColumn id="13216" xr3:uid="{595E66C5-22A2-43B4-BD23-0EA09410038D}" name="Column13202"/>
    <tableColumn id="13217" xr3:uid="{0DA13506-6CDF-4D05-B60E-5F58006E873C}" name="Column13203"/>
    <tableColumn id="13218" xr3:uid="{86C29675-4F0F-4031-843E-6F34B797E013}" name="Column13204"/>
    <tableColumn id="13219" xr3:uid="{45C8A9A1-0762-4793-B916-2D4F0842F7CE}" name="Column13205"/>
    <tableColumn id="13220" xr3:uid="{6BE1F9D9-29C8-4D8E-A8AE-E2C33C6E6FA0}" name="Column13206"/>
    <tableColumn id="13221" xr3:uid="{F2C2C2BC-6E5A-4DB4-9517-97DE1DD2E5A2}" name="Column13207"/>
    <tableColumn id="13222" xr3:uid="{34488FA5-DD0C-48A4-83F9-F5FFAA7D4453}" name="Column13208"/>
    <tableColumn id="13223" xr3:uid="{6ACA56CD-68EE-41DB-8655-F664EF4CC90C}" name="Column13209"/>
    <tableColumn id="13224" xr3:uid="{8D579D60-9619-47AF-91D4-B2A2608DF7E9}" name="Column13210"/>
    <tableColumn id="13225" xr3:uid="{CAD06B58-42DF-4CD6-A1C6-D30AB2B3FBA5}" name="Column13211"/>
    <tableColumn id="13226" xr3:uid="{6159718E-8825-453A-A0B4-042424973F04}" name="Column13212"/>
    <tableColumn id="13227" xr3:uid="{C15E3C8E-2844-4263-A965-FBDB481BEB8C}" name="Column13213"/>
    <tableColumn id="13228" xr3:uid="{6B2985FD-9CD0-411F-A6E6-E80ED0510F1C}" name="Column13214"/>
    <tableColumn id="13229" xr3:uid="{D62464BA-1DB1-4536-951A-D3CBF7914497}" name="Column13215"/>
    <tableColumn id="13230" xr3:uid="{A11CE38E-5D6A-4EFB-A67D-238632F1649D}" name="Column13216"/>
    <tableColumn id="13231" xr3:uid="{4ACB0640-B4B4-470F-8C65-2CD9EAC35CEB}" name="Column13217"/>
    <tableColumn id="13232" xr3:uid="{A6B9EF83-ED25-465F-BEF3-3419FB36395B}" name="Column13218"/>
    <tableColumn id="13233" xr3:uid="{A25B5B62-F393-48D9-9AC7-B38391394A4F}" name="Column13219"/>
    <tableColumn id="13234" xr3:uid="{27BDCE4B-4EEE-437C-882C-20E22CF4F436}" name="Column13220"/>
    <tableColumn id="13235" xr3:uid="{AF77D633-3873-40AF-837D-A5E34C8E6580}" name="Column13221"/>
    <tableColumn id="13236" xr3:uid="{8AF57BD3-7667-4C64-BD60-6210F9B594B8}" name="Column13222"/>
    <tableColumn id="13237" xr3:uid="{7A39FB15-1879-4D79-8187-CAC1A373F797}" name="Column13223"/>
    <tableColumn id="13238" xr3:uid="{1DAD1107-64E2-4742-A7AF-1A9B682E2F75}" name="Column13224"/>
    <tableColumn id="13239" xr3:uid="{CB4C6484-4C93-4026-A2C8-3A0DCCAFF531}" name="Column13225"/>
    <tableColumn id="13240" xr3:uid="{6262030C-2F66-4790-8A4B-3FB406757C88}" name="Column13226"/>
    <tableColumn id="13241" xr3:uid="{7DCA2E0D-3AC2-447F-AB6B-C3B2850D33F5}" name="Column13227"/>
    <tableColumn id="13242" xr3:uid="{DD29F2EB-B319-40BE-BE01-772EC3A0A81E}" name="Column13228"/>
    <tableColumn id="13243" xr3:uid="{60E543A9-4160-44B9-8217-6A59AF07D27F}" name="Column13229"/>
    <tableColumn id="13244" xr3:uid="{594B1F51-2E5B-4911-87A6-C7A74DBC7C47}" name="Column13230"/>
    <tableColumn id="13245" xr3:uid="{8E87C47B-C0B1-4E25-821E-BE9B2E0C9AEA}" name="Column13231"/>
    <tableColumn id="13246" xr3:uid="{C81237A8-38B4-4FBC-97A7-4CCA8C07B325}" name="Column13232"/>
    <tableColumn id="13247" xr3:uid="{85C99BAA-2E26-478A-BAB2-70B436CEDF9F}" name="Column13233"/>
    <tableColumn id="13248" xr3:uid="{1A70D433-FA69-4EDA-B89D-DAA5B86648A5}" name="Column13234"/>
    <tableColumn id="13249" xr3:uid="{B21F2441-4079-4FBB-8E0F-DF6695E2FFE0}" name="Column13235"/>
    <tableColumn id="13250" xr3:uid="{2E4D3DD2-1C58-48C8-ACC5-05EABE505FFA}" name="Column13236"/>
    <tableColumn id="13251" xr3:uid="{4803048A-AFA2-4356-930B-92BB18B02F9E}" name="Column13237"/>
    <tableColumn id="13252" xr3:uid="{63F9CD46-4D08-4401-99B2-5C94F79F9F1D}" name="Column13238"/>
    <tableColumn id="13253" xr3:uid="{A0A18069-5B59-4107-B8E9-A8ED2D64D4CC}" name="Column13239"/>
    <tableColumn id="13254" xr3:uid="{382F0C1A-8A8F-4E5B-ADFE-AB89371860F7}" name="Column13240"/>
    <tableColumn id="13255" xr3:uid="{8D7EB111-3FF1-42C7-985A-47C4FD2521D0}" name="Column13241"/>
    <tableColumn id="13256" xr3:uid="{7D93BA96-70C4-4B05-9DC2-908974A5891B}" name="Column13242"/>
    <tableColumn id="13257" xr3:uid="{89C2DC25-707F-4E26-B920-2DC52C00809A}" name="Column13243"/>
    <tableColumn id="13258" xr3:uid="{329F92DD-FEBD-4961-A3AD-67ACEEF378E8}" name="Column13244"/>
    <tableColumn id="13259" xr3:uid="{8617B136-8469-4FD2-8BF0-37E0262BE260}" name="Column13245"/>
    <tableColumn id="13260" xr3:uid="{C1AC3AF5-A0FB-40FE-9FD7-1D827EF9A96A}" name="Column13246"/>
    <tableColumn id="13261" xr3:uid="{D4B3865B-1976-4CD7-9609-3A5CEE21F5A0}" name="Column13247"/>
    <tableColumn id="13262" xr3:uid="{E7FB9B0C-94D1-4AB2-A575-DC48AF7647EA}" name="Column13248"/>
    <tableColumn id="13263" xr3:uid="{031BBDE8-6EC1-437D-80A2-B0BA34460D34}" name="Column13249"/>
    <tableColumn id="13264" xr3:uid="{19FF5EF5-3A09-43F4-ABB2-9EF7F408224C}" name="Column13250"/>
    <tableColumn id="13265" xr3:uid="{5A54BFDA-D294-4D4E-951A-223E676B903E}" name="Column13251"/>
    <tableColumn id="13266" xr3:uid="{915F9C7E-5FFE-47FA-8741-1169490E7347}" name="Column13252"/>
    <tableColumn id="13267" xr3:uid="{8397C7BF-C7BE-46B0-844E-CDEBD9F9596B}" name="Column13253"/>
    <tableColumn id="13268" xr3:uid="{34062A7E-800D-412E-9ADD-6494A8E8F213}" name="Column13254"/>
    <tableColumn id="13269" xr3:uid="{41999ED6-4C95-42DB-AB32-F0F2646CC19C}" name="Column13255"/>
    <tableColumn id="13270" xr3:uid="{13F3986A-E82A-43BF-A912-81BB4E142959}" name="Column13256"/>
    <tableColumn id="13271" xr3:uid="{F0CA8375-A299-409D-8A50-484D8535ADCA}" name="Column13257"/>
    <tableColumn id="13272" xr3:uid="{A013BD9F-32D2-40B1-969E-ADEAA00BED1A}" name="Column13258"/>
    <tableColumn id="13273" xr3:uid="{F013DC02-0AC0-42D4-AE59-214D93DC91EE}" name="Column13259"/>
    <tableColumn id="13274" xr3:uid="{9B363D76-6FBE-41C4-B8CA-C483A92D54C6}" name="Column13260"/>
    <tableColumn id="13275" xr3:uid="{13F5A898-F4BD-4AB4-8D87-1DD80235023D}" name="Column13261"/>
    <tableColumn id="13276" xr3:uid="{94FE259D-700F-4DFB-86CF-BEBC4861F294}" name="Column13262"/>
    <tableColumn id="13277" xr3:uid="{49F49E00-64C6-4BCA-BBC1-659B8FFE6AC8}" name="Column13263"/>
    <tableColumn id="13278" xr3:uid="{938915DA-A4D2-47C0-AFAE-87E8A74F70DC}" name="Column13264"/>
    <tableColumn id="13279" xr3:uid="{6CCCDD19-1C83-41DD-8EAB-E96139192B49}" name="Column13265"/>
    <tableColumn id="13280" xr3:uid="{3CC6257D-3AEA-4E21-9EF4-212267A44383}" name="Column13266"/>
    <tableColumn id="13281" xr3:uid="{7A0F3DC7-2EE7-466C-99D9-3B14AEFB9B53}" name="Column13267"/>
    <tableColumn id="13282" xr3:uid="{E76C7F0A-6383-43F8-A08F-07403D8309D4}" name="Column13268"/>
    <tableColumn id="13283" xr3:uid="{609CBF32-071E-4BC3-918B-274F044ACFF6}" name="Column13269"/>
    <tableColumn id="13284" xr3:uid="{814821C6-8316-40A1-89A9-FA1369531E05}" name="Column13270"/>
    <tableColumn id="13285" xr3:uid="{515C7CEB-AB33-4364-BFE2-F2A8E9681215}" name="Column13271"/>
    <tableColumn id="13286" xr3:uid="{25112671-2DAC-4EE0-9145-5F76CA588DF1}" name="Column13272"/>
    <tableColumn id="13287" xr3:uid="{4B88E8D7-67EA-4083-BC9E-37F994BBF0C2}" name="Column13273"/>
    <tableColumn id="13288" xr3:uid="{3D3699C7-8556-4DBC-9224-EA7AE62FA40A}" name="Column13274"/>
    <tableColumn id="13289" xr3:uid="{A1473E0D-C3A5-476B-A3E6-3BC51399C06D}" name="Column13275"/>
    <tableColumn id="13290" xr3:uid="{C2611A0E-9326-4209-93C8-0888659A48D3}" name="Column13276"/>
    <tableColumn id="13291" xr3:uid="{264A5831-C98D-4745-8AAC-04B724C8E44D}" name="Column13277"/>
    <tableColumn id="13292" xr3:uid="{78C1FB5B-34CF-4087-BEEA-8251EB6B3F7A}" name="Column13278"/>
    <tableColumn id="13293" xr3:uid="{E346312F-7687-4383-95F1-8838D06CEFA4}" name="Column13279"/>
    <tableColumn id="13294" xr3:uid="{59F877E8-117B-452C-B2D4-D62E1F0432D8}" name="Column13280"/>
    <tableColumn id="13295" xr3:uid="{F6D73FFF-10E1-42DE-93BE-F21A657F24C3}" name="Column13281"/>
    <tableColumn id="13296" xr3:uid="{0BAC963C-A231-403A-98C2-E222C84EEA2F}" name="Column13282"/>
    <tableColumn id="13297" xr3:uid="{EA34FC4B-7B8F-48B7-A5D4-8A089C242CCE}" name="Column13283"/>
    <tableColumn id="13298" xr3:uid="{880623D5-CF6E-484F-8AA5-D21AAE40A75E}" name="Column13284"/>
    <tableColumn id="13299" xr3:uid="{B465E37C-920C-4C8C-A6BC-1E12FB3A9DE1}" name="Column13285"/>
    <tableColumn id="13300" xr3:uid="{7D145971-2FFC-4AB2-8367-8EFB2FB2F729}" name="Column13286"/>
    <tableColumn id="13301" xr3:uid="{E4AC04BC-1642-4D30-AA6E-23E06F8ACFA8}" name="Column13287"/>
    <tableColumn id="13302" xr3:uid="{CAA86B7A-34CE-4028-959F-6120255A1139}" name="Column13288"/>
    <tableColumn id="13303" xr3:uid="{A2719912-4139-4B1B-88AE-61D5DEC289DC}" name="Column13289"/>
    <tableColumn id="13304" xr3:uid="{8EFF815E-D70D-4668-8CBB-7F27C5EEA54E}" name="Column13290"/>
    <tableColumn id="13305" xr3:uid="{E66622E9-A946-4740-8858-C8FE0C19459E}" name="Column13291"/>
    <tableColumn id="13306" xr3:uid="{5850A94F-B1D5-4A70-9748-1CFE822AD888}" name="Column13292"/>
    <tableColumn id="13307" xr3:uid="{23DA76F9-2D91-4E9F-88D7-863200669617}" name="Column13293"/>
    <tableColumn id="13308" xr3:uid="{5864617B-10BD-4A70-90C1-CEBA2D8A5DE5}" name="Column13294"/>
    <tableColumn id="13309" xr3:uid="{51AF0E27-BAB3-49C2-ACD5-70D1FA1C6F74}" name="Column13295"/>
    <tableColumn id="13310" xr3:uid="{00490C8A-757E-48FB-AF42-947BC46F6D01}" name="Column13296"/>
    <tableColumn id="13311" xr3:uid="{E82F04D6-8ADB-4954-A4AE-56BF65364AD6}" name="Column13297"/>
    <tableColumn id="13312" xr3:uid="{FE5E6B7F-3063-4308-8BE6-6C3F4A0B5AF8}" name="Column13298"/>
    <tableColumn id="13313" xr3:uid="{05C5B75D-2DBA-4B6B-9739-91924D1A4095}" name="Column13299"/>
    <tableColumn id="13314" xr3:uid="{1307D2E4-4B91-4E03-B5E1-E872F546BB4D}" name="Column13300"/>
    <tableColumn id="13315" xr3:uid="{7483798E-49B3-4F25-BE00-85D0F1DB66FA}" name="Column13301"/>
    <tableColumn id="13316" xr3:uid="{56E2F000-1326-43F8-BBA6-03D8DCB08194}" name="Column13302"/>
    <tableColumn id="13317" xr3:uid="{0DAC332D-0712-4962-9C4F-E3C0AF05A4A9}" name="Column13303"/>
    <tableColumn id="13318" xr3:uid="{CA11E0C0-9D47-446E-929E-B23769A0F481}" name="Column13304"/>
    <tableColumn id="13319" xr3:uid="{C8274023-9155-4D61-9B6D-A480B5E98D02}" name="Column13305"/>
    <tableColumn id="13320" xr3:uid="{04FB9DA4-50B6-46DE-9E92-E7D887A60789}" name="Column13306"/>
    <tableColumn id="13321" xr3:uid="{498D5D5F-8759-4E87-8875-F47FA992DA34}" name="Column13307"/>
    <tableColumn id="13322" xr3:uid="{151D19A5-1C18-4246-BC14-091545C4D407}" name="Column13308"/>
    <tableColumn id="13323" xr3:uid="{ABC26D81-BCCE-4910-AC1D-30E7B8C9F558}" name="Column13309"/>
    <tableColumn id="13324" xr3:uid="{2B4A6082-71A2-41F7-B648-0992E48C7557}" name="Column13310"/>
    <tableColumn id="13325" xr3:uid="{FA54C6A8-81B1-4853-9589-36244D3AE892}" name="Column13311"/>
    <tableColumn id="13326" xr3:uid="{C7CEF1B1-93D6-4930-B418-8C3D8F08FD71}" name="Column13312"/>
    <tableColumn id="13327" xr3:uid="{6847C155-4D42-4BA3-9F2D-577E97C5346F}" name="Column13313"/>
    <tableColumn id="13328" xr3:uid="{9A0144CA-BA0F-4198-AE7D-298B57A7B32D}" name="Column13314"/>
    <tableColumn id="13329" xr3:uid="{27370999-13A1-40D9-A227-3C94CC28E750}" name="Column13315"/>
    <tableColumn id="13330" xr3:uid="{9B48390C-1176-4E56-A3B6-1335BDFBBA34}" name="Column13316"/>
    <tableColumn id="13331" xr3:uid="{79DF4B1C-9824-40EB-864B-F900B689B42A}" name="Column13317"/>
    <tableColumn id="13332" xr3:uid="{FD4970EA-8423-430C-903E-B669950D6533}" name="Column13318"/>
    <tableColumn id="13333" xr3:uid="{D69C3012-FF6B-4ED9-9CEF-93AC86FB013D}" name="Column13319"/>
    <tableColumn id="13334" xr3:uid="{25C527E2-07E3-4D88-BD3E-D0678D21E483}" name="Column13320"/>
    <tableColumn id="13335" xr3:uid="{615AF803-54DD-46B7-93E5-9E22EC742678}" name="Column13321"/>
    <tableColumn id="13336" xr3:uid="{4DB99B51-DC34-44CE-8CCA-6DE71DD7398F}" name="Column13322"/>
    <tableColumn id="13337" xr3:uid="{450BF6A4-3F06-44B9-81FE-ECA188E9FF6C}" name="Column13323"/>
    <tableColumn id="13338" xr3:uid="{F7E24316-73BC-4B12-BF65-156C4A129B08}" name="Column13324"/>
    <tableColumn id="13339" xr3:uid="{64A260BD-A645-4A04-ACC7-51AAFE0EDF7D}" name="Column13325"/>
    <tableColumn id="13340" xr3:uid="{9FE78329-CAE9-474B-A1C2-905B35F6366B}" name="Column13326"/>
    <tableColumn id="13341" xr3:uid="{72092EDD-3B8A-434A-8C85-92B38702EBDC}" name="Column13327"/>
    <tableColumn id="13342" xr3:uid="{3F0073D3-D04E-4C08-9850-F04B4A4CC7D5}" name="Column13328"/>
    <tableColumn id="13343" xr3:uid="{FB5FECEF-A67B-4706-9775-42859F0755AA}" name="Column13329"/>
    <tableColumn id="13344" xr3:uid="{0BEC2F31-24C1-4123-AF18-5B1206EA8343}" name="Column13330"/>
    <tableColumn id="13345" xr3:uid="{9870BA33-7D4A-4C79-A34E-5A88BD1F43F5}" name="Column13331"/>
    <tableColumn id="13346" xr3:uid="{CBCC2D99-2411-407C-9380-AF73BE19540F}" name="Column13332"/>
    <tableColumn id="13347" xr3:uid="{378C4D5F-FBC8-422C-B434-B155D668C509}" name="Column13333"/>
    <tableColumn id="13348" xr3:uid="{6B58720A-D4DD-4D58-9BE7-F60571257545}" name="Column13334"/>
    <tableColumn id="13349" xr3:uid="{C6A05BFB-1A34-48F6-92B7-586F3DD4117D}" name="Column13335"/>
    <tableColumn id="13350" xr3:uid="{15A60E5A-15A2-43DC-9711-5DA1E418A8FE}" name="Column13336"/>
    <tableColumn id="13351" xr3:uid="{2ED3BACB-74EA-4CBA-B5A0-9F01F0E2124A}" name="Column13337"/>
    <tableColumn id="13352" xr3:uid="{6D635CE2-8FE7-4265-8C1A-6A0DA86B8956}" name="Column13338"/>
    <tableColumn id="13353" xr3:uid="{6B96D80E-552B-4739-8C84-91D6938663D3}" name="Column13339"/>
    <tableColumn id="13354" xr3:uid="{2D0A6F80-0DCB-479D-AAEC-63ECA8A5B5BE}" name="Column13340"/>
    <tableColumn id="13355" xr3:uid="{821F9E7F-799D-4858-B38C-64B35D589EE9}" name="Column13341"/>
    <tableColumn id="13356" xr3:uid="{4699E9AD-FD00-4CBB-B92B-60CF3D4B380F}" name="Column13342"/>
    <tableColumn id="13357" xr3:uid="{293172CB-C888-4EDC-AF87-4FACBAFDA3F2}" name="Column13343"/>
    <tableColumn id="13358" xr3:uid="{0B43D943-8BF8-49F0-8392-8D1E2FBB7152}" name="Column13344"/>
    <tableColumn id="13359" xr3:uid="{02491794-3A27-4DE3-A8BC-7FA06F308EAC}" name="Column13345"/>
    <tableColumn id="13360" xr3:uid="{24306232-E85E-4EB7-830F-D6CF9BBF12F5}" name="Column13346"/>
    <tableColumn id="13361" xr3:uid="{3FFC75CD-CE5D-4C2B-A484-9B26C6DE6552}" name="Column13347"/>
    <tableColumn id="13362" xr3:uid="{83469822-ADAC-49D0-9658-AC8843E3A9EA}" name="Column13348"/>
    <tableColumn id="13363" xr3:uid="{64A1E258-A628-480B-BA4F-DA7D6827F7CB}" name="Column13349"/>
    <tableColumn id="13364" xr3:uid="{6244CA5E-484F-4BF2-89E8-53D44DC7CC96}" name="Column13350"/>
    <tableColumn id="13365" xr3:uid="{E0A4E801-3E0E-4D76-9133-300E00F49F90}" name="Column13351"/>
    <tableColumn id="13366" xr3:uid="{DC00C218-EE78-4390-8D0C-3E86A013E6C1}" name="Column13352"/>
    <tableColumn id="13367" xr3:uid="{E92ADA34-2F82-482C-889D-4274F1372130}" name="Column13353"/>
    <tableColumn id="13368" xr3:uid="{1036BAE5-27B5-4C7B-B419-FB26E28B57F8}" name="Column13354"/>
    <tableColumn id="13369" xr3:uid="{1F918035-AF20-4F5A-86E8-82A3149C2266}" name="Column13355"/>
    <tableColumn id="13370" xr3:uid="{27832652-07D7-4E9C-8F5A-730CAE912D5D}" name="Column13356"/>
    <tableColumn id="13371" xr3:uid="{7737FAAC-77F8-4E74-B243-EE7CFA3B5587}" name="Column13357"/>
    <tableColumn id="13372" xr3:uid="{BB89530A-3CFF-48F4-87B8-D499DABF4AD2}" name="Column13358"/>
    <tableColumn id="13373" xr3:uid="{2C991D37-06C3-4FA8-85C8-4F609B9DE15B}" name="Column13359"/>
    <tableColumn id="13374" xr3:uid="{59A1F049-BBA9-4A4C-9D94-CD75220C64DB}" name="Column13360"/>
    <tableColumn id="13375" xr3:uid="{99FBF58E-8280-4C39-A525-4DE9137357F5}" name="Column13361"/>
    <tableColumn id="13376" xr3:uid="{F7B0329C-5B59-4954-A5BD-206AF003540D}" name="Column13362"/>
    <tableColumn id="13377" xr3:uid="{2AD01DB1-9A19-4281-84C7-9E51C705C46C}" name="Column13363"/>
    <tableColumn id="13378" xr3:uid="{E1962BE6-377B-4FD8-9B87-906831AD9C5D}" name="Column13364"/>
    <tableColumn id="13379" xr3:uid="{EE8FE7D1-5978-49CB-A530-E893D36E78B4}" name="Column13365"/>
    <tableColumn id="13380" xr3:uid="{B4312AE9-D1BD-4650-BC8E-A2A79DEAEE0C}" name="Column13366"/>
    <tableColumn id="13381" xr3:uid="{9F70EAE9-1E9C-4264-809A-27941365E3D5}" name="Column13367"/>
    <tableColumn id="13382" xr3:uid="{DBD09270-5859-4893-8B3E-AFF22FBC5A5D}" name="Column13368"/>
    <tableColumn id="13383" xr3:uid="{3876A05A-873C-4799-A75B-075BBEA4A148}" name="Column13369"/>
    <tableColumn id="13384" xr3:uid="{4AEC7B4C-4398-4609-96FD-58A4B0EDCE35}" name="Column13370"/>
    <tableColumn id="13385" xr3:uid="{0ED8A724-AE79-4C10-B8A7-333BCBC852B0}" name="Column13371"/>
    <tableColumn id="13386" xr3:uid="{3F4920DD-66FD-46E1-9E65-A582161AF3C1}" name="Column13372"/>
    <tableColumn id="13387" xr3:uid="{370F39B3-3C22-427A-8813-7FC7AB39ED31}" name="Column13373"/>
    <tableColumn id="13388" xr3:uid="{67988ECD-551B-4CB8-A002-E0FAE954990C}" name="Column13374"/>
    <tableColumn id="13389" xr3:uid="{53FFAA1D-A632-4BB1-AC28-B24AA68CB6F2}" name="Column13375"/>
    <tableColumn id="13390" xr3:uid="{37565974-E31E-442E-B76B-CB5937EF8558}" name="Column13376"/>
    <tableColumn id="13391" xr3:uid="{064E373B-6EA4-4F2B-BECB-C88AC3E99532}" name="Column13377"/>
    <tableColumn id="13392" xr3:uid="{65DD62ED-D41B-4F80-AA51-1D84F1FCC95E}" name="Column13378"/>
    <tableColumn id="13393" xr3:uid="{25C48452-4D56-434E-9432-0C9405E50B1A}" name="Column13379"/>
    <tableColumn id="13394" xr3:uid="{6C8E1C2A-7180-4A18-9EF0-80866770B211}" name="Column13380"/>
    <tableColumn id="13395" xr3:uid="{57817264-9C6F-4F24-862D-CB4B3808BC8E}" name="Column13381"/>
    <tableColumn id="13396" xr3:uid="{5BF7C6F2-A464-4985-9316-F306418A3549}" name="Column13382"/>
    <tableColumn id="13397" xr3:uid="{651841C2-3A1B-4707-BDDC-43A1DFE5187F}" name="Column13383"/>
    <tableColumn id="13398" xr3:uid="{448A635A-2524-4F9A-8CB6-95A0591E09B4}" name="Column13384"/>
    <tableColumn id="13399" xr3:uid="{5D459041-DDB2-4AD9-B1CD-A67926A9F104}" name="Column13385"/>
    <tableColumn id="13400" xr3:uid="{9DE1DDBB-69E8-4179-858A-222CE7DC58C3}" name="Column13386"/>
    <tableColumn id="13401" xr3:uid="{92D664B7-48A3-4CD3-8B1D-32A48AA60846}" name="Column13387"/>
    <tableColumn id="13402" xr3:uid="{D3C5A0D5-5DDA-430A-828E-F79D43758424}" name="Column13388"/>
    <tableColumn id="13403" xr3:uid="{DB2363F4-83B6-470B-AF23-78FB54E8BBED}" name="Column13389"/>
    <tableColumn id="13404" xr3:uid="{0010EBD4-F4DF-4D05-8B8B-0D0BB5277D83}" name="Column13390"/>
    <tableColumn id="13405" xr3:uid="{A6C2425D-2164-4298-878D-DD0FA51061BD}" name="Column13391"/>
    <tableColumn id="13406" xr3:uid="{1FD53C5C-AF76-4EB4-AD17-24143970397E}" name="Column13392"/>
    <tableColumn id="13407" xr3:uid="{61E575E5-20C5-4BD1-B562-A9C99E82FB60}" name="Column13393"/>
    <tableColumn id="13408" xr3:uid="{5B2EAB1D-15F3-419D-9B2B-1336C1B2208B}" name="Column13394"/>
    <tableColumn id="13409" xr3:uid="{BE293CCB-F5D3-4394-93D8-D008B6495D39}" name="Column13395"/>
    <tableColumn id="13410" xr3:uid="{BB7CE047-4F3A-40E0-9BB2-1702C9717852}" name="Column13396"/>
    <tableColumn id="13411" xr3:uid="{CB02DCBD-D055-4F09-A279-8A9078BCBB9D}" name="Column13397"/>
    <tableColumn id="13412" xr3:uid="{9984580C-FA45-4E26-81FE-1E8EBCA22D8E}" name="Column13398"/>
    <tableColumn id="13413" xr3:uid="{D902A733-6484-4ADB-AEA2-6DFC3BCB72B3}" name="Column13399"/>
    <tableColumn id="13414" xr3:uid="{63037342-8A8C-4DF7-B988-17175C54C713}" name="Column13400"/>
    <tableColumn id="13415" xr3:uid="{10C66A30-081E-482D-8971-EA8E503EBE11}" name="Column13401"/>
    <tableColumn id="13416" xr3:uid="{CF662F5D-D609-4488-8384-E5505219A89D}" name="Column13402"/>
    <tableColumn id="13417" xr3:uid="{1AA9D7DE-5178-4F79-9874-002FCE3F3760}" name="Column13403"/>
    <tableColumn id="13418" xr3:uid="{8B85977E-D2B4-4720-B6E4-24097ADB21FB}" name="Column13404"/>
    <tableColumn id="13419" xr3:uid="{6B3FB2FD-2EF9-440C-AA56-9F5A5D2847F4}" name="Column13405"/>
    <tableColumn id="13420" xr3:uid="{F74A132B-5591-4F7E-9DC6-84C98026E58A}" name="Column13406"/>
    <tableColumn id="13421" xr3:uid="{59389C3F-78D6-4B8D-BF00-4F01C3AB99A8}" name="Column13407"/>
    <tableColumn id="13422" xr3:uid="{EB17F8BD-1E0D-4FA3-AFF1-F864E523458B}" name="Column13408"/>
    <tableColumn id="13423" xr3:uid="{0306BBD8-3962-4007-B7C4-3C963A493B06}" name="Column13409"/>
    <tableColumn id="13424" xr3:uid="{CD622548-D33C-4E69-B25F-DE59714EE25A}" name="Column13410"/>
    <tableColumn id="13425" xr3:uid="{28A24631-0EC6-4A13-9623-B6FF9BB8E5FB}" name="Column13411"/>
    <tableColumn id="13426" xr3:uid="{67B296EF-5C4A-411C-B0D9-63268A71D752}" name="Column13412"/>
    <tableColumn id="13427" xr3:uid="{A890F0D2-3389-4DBD-80AF-392816B0C81F}" name="Column13413"/>
    <tableColumn id="13428" xr3:uid="{EA0819B9-3AA2-4707-B1FE-21D5350DCE5D}" name="Column13414"/>
    <tableColumn id="13429" xr3:uid="{BFABB8E7-3FC9-48B6-85B4-F89B7AA63B3F}" name="Column13415"/>
    <tableColumn id="13430" xr3:uid="{72BC7297-4CA0-41EB-ABE5-C5BEEDCDCDB0}" name="Column13416"/>
    <tableColumn id="13431" xr3:uid="{18966366-6D94-462C-B6C9-0D783557F202}" name="Column13417"/>
    <tableColumn id="13432" xr3:uid="{9BB54107-B797-41BF-8915-57B9818B63F7}" name="Column13418"/>
    <tableColumn id="13433" xr3:uid="{26CD40A5-6B97-4FEB-A438-C60B1C7BF19B}" name="Column13419"/>
    <tableColumn id="13434" xr3:uid="{267CC2A5-4BBA-4E10-9DC4-86DF71615D1C}" name="Column13420"/>
    <tableColumn id="13435" xr3:uid="{13E2B566-9F95-4739-A47B-C53C69567D5D}" name="Column13421"/>
    <tableColumn id="13436" xr3:uid="{66706E50-868B-4921-8261-24457AB9B5E8}" name="Column13422"/>
    <tableColumn id="13437" xr3:uid="{4E95756E-B145-4B63-814E-DBAA0A33852C}" name="Column13423"/>
    <tableColumn id="13438" xr3:uid="{0F797F07-98B5-44C0-8A57-5530B3169B1A}" name="Column13424"/>
    <tableColumn id="13439" xr3:uid="{489C4660-FF1B-44F8-9126-60DBCACE23D6}" name="Column13425"/>
    <tableColumn id="13440" xr3:uid="{475C5900-23A8-4F2D-AF33-F73BE41F27B3}" name="Column13426"/>
    <tableColumn id="13441" xr3:uid="{CE486F52-0039-4AA8-9E67-D54CE6498893}" name="Column13427"/>
    <tableColumn id="13442" xr3:uid="{DBBC167E-5D95-45EE-9586-661635349CDF}" name="Column13428"/>
    <tableColumn id="13443" xr3:uid="{AE6B72F9-817F-4049-AE89-9CFAD8D9E7B4}" name="Column13429"/>
    <tableColumn id="13444" xr3:uid="{CD3D2AFC-8351-4A90-B7CA-3A8D1AB795EC}" name="Column13430"/>
    <tableColumn id="13445" xr3:uid="{892FC729-E096-43E5-8962-29B4E59BC6FB}" name="Column13431"/>
    <tableColumn id="13446" xr3:uid="{D53344F9-BED8-46BE-93C0-547121A22B9D}" name="Column13432"/>
    <tableColumn id="13447" xr3:uid="{CD178390-7D93-45E0-9B07-96734E24E280}" name="Column13433"/>
    <tableColumn id="13448" xr3:uid="{0AD8A9C3-AB0D-4566-B13F-7434582CCF73}" name="Column13434"/>
    <tableColumn id="13449" xr3:uid="{E37C38E3-C353-4A20-9C16-6F77096100A0}" name="Column13435"/>
    <tableColumn id="13450" xr3:uid="{16A14199-8FBC-4A49-A9B9-3272F8B5D003}" name="Column13436"/>
    <tableColumn id="13451" xr3:uid="{6B691944-175E-4652-BD63-3C515857D38E}" name="Column13437"/>
    <tableColumn id="13452" xr3:uid="{5AA85985-23F3-4954-8489-93CC72DC1FEC}" name="Column13438"/>
    <tableColumn id="13453" xr3:uid="{B650BF76-BA9B-40A2-BE99-935B866AD913}" name="Column13439"/>
    <tableColumn id="13454" xr3:uid="{FAA4CE6C-0A14-43A6-8C89-C2EFBBAD6DB2}" name="Column13440"/>
    <tableColumn id="13455" xr3:uid="{1BC738AB-4230-46A2-8826-66C62ECB4161}" name="Column13441"/>
    <tableColumn id="13456" xr3:uid="{0BBDBD84-21EE-4C9A-87FB-0A5D23C56930}" name="Column13442"/>
    <tableColumn id="13457" xr3:uid="{D05D4A26-2C4C-446E-AFB3-5DFF21910689}" name="Column13443"/>
    <tableColumn id="13458" xr3:uid="{CB56749B-D490-43D0-8F20-3ABCDE3874C6}" name="Column13444"/>
    <tableColumn id="13459" xr3:uid="{A55B0889-C578-48BF-8695-8396950C8841}" name="Column13445"/>
    <tableColumn id="13460" xr3:uid="{21BCD4D3-2D93-459A-A93D-966D237D86AC}" name="Column13446"/>
    <tableColumn id="13461" xr3:uid="{6B8CAEB5-2C0A-4E1E-BEBB-8F4610A7702C}" name="Column13447"/>
    <tableColumn id="13462" xr3:uid="{C7E6A688-5470-4D00-9348-6FC5E1CBF9EF}" name="Column13448"/>
    <tableColumn id="13463" xr3:uid="{B9713FDC-8ACA-4B71-9862-098DF97368CE}" name="Column13449"/>
    <tableColumn id="13464" xr3:uid="{0B9F972B-640C-4828-BA4C-EDBF07A14E6C}" name="Column13450"/>
    <tableColumn id="13465" xr3:uid="{B474AE60-2A72-4B94-820A-82361BCD997E}" name="Column13451"/>
    <tableColumn id="13466" xr3:uid="{8446A4AD-40D0-43E0-A7E3-72CA9564CE1D}" name="Column13452"/>
    <tableColumn id="13467" xr3:uid="{0F09BE7D-F037-4A45-85FD-4B5ABA94DF0A}" name="Column13453"/>
    <tableColumn id="13468" xr3:uid="{6900E4FF-EFBF-4D72-B6BA-F9CD979A87D6}" name="Column13454"/>
    <tableColumn id="13469" xr3:uid="{0C6FD1A1-043F-4301-8355-9C68E55B7392}" name="Column13455"/>
    <tableColumn id="13470" xr3:uid="{CFBD88D4-5B62-43AB-ABE4-DEE85132EA09}" name="Column13456"/>
    <tableColumn id="13471" xr3:uid="{D035F81E-D395-43CC-8E9B-F690E6EAA5E3}" name="Column13457"/>
    <tableColumn id="13472" xr3:uid="{750EBDB6-1E87-4AF6-8D12-AAF7D83B6F3F}" name="Column13458"/>
    <tableColumn id="13473" xr3:uid="{7C792A71-91B5-4E57-BBFE-B488EE6ACDD2}" name="Column13459"/>
    <tableColumn id="13474" xr3:uid="{D8C6EE7D-F05E-4BDE-AEBF-E1D8EA76D58E}" name="Column13460"/>
    <tableColumn id="13475" xr3:uid="{4EDA44F6-3B31-4D7D-BC6B-DD7B46143AA2}" name="Column13461"/>
    <tableColumn id="13476" xr3:uid="{58D65D8A-DF9F-428F-8F34-0DA2ECC9D645}" name="Column13462"/>
    <tableColumn id="13477" xr3:uid="{53CEE13C-C9B4-47B9-A7B6-D44C4AC3166F}" name="Column13463"/>
    <tableColumn id="13478" xr3:uid="{DFA54408-C524-4B1F-97D7-8D754EDE7737}" name="Column13464"/>
    <tableColumn id="13479" xr3:uid="{B07BF1EF-EF5B-4AD8-983D-92149E1A125A}" name="Column13465"/>
    <tableColumn id="13480" xr3:uid="{4D2F3E44-7E07-44AC-AA71-01125C5907C1}" name="Column13466"/>
    <tableColumn id="13481" xr3:uid="{1913EC8E-1836-44F3-914F-2E7CFD7DAE4B}" name="Column13467"/>
    <tableColumn id="13482" xr3:uid="{EEB3656C-6713-405E-9D29-4103E0E45E35}" name="Column13468"/>
    <tableColumn id="13483" xr3:uid="{54C0BC7F-F3EA-44B5-AEB5-DF8F1DF415EE}" name="Column13469"/>
    <tableColumn id="13484" xr3:uid="{4B25D912-CB3D-4EEB-9C32-F4DB59E3B3BC}" name="Column13470"/>
    <tableColumn id="13485" xr3:uid="{73C6114E-3196-4EFE-B193-038A81D11677}" name="Column13471"/>
    <tableColumn id="13486" xr3:uid="{BD8AA626-D6A3-4F24-8FD0-0EDAC1DF272D}" name="Column13472"/>
    <tableColumn id="13487" xr3:uid="{385312D9-B877-474A-A197-9C6CD8855AA0}" name="Column13473"/>
    <tableColumn id="13488" xr3:uid="{A5E85638-2768-45FA-836C-7727ACD652E6}" name="Column13474"/>
    <tableColumn id="13489" xr3:uid="{340F9922-4142-4CF4-A0E1-C0CAB2B917E0}" name="Column13475"/>
    <tableColumn id="13490" xr3:uid="{4E3A5A40-0832-46CD-BEB1-69ED380AB355}" name="Column13476"/>
    <tableColumn id="13491" xr3:uid="{75C429EE-E75B-4057-9348-753F415B47B2}" name="Column13477"/>
    <tableColumn id="13492" xr3:uid="{89F1B7E7-AA86-4E9C-9FAC-D5A8B79A3C3A}" name="Column13478"/>
    <tableColumn id="13493" xr3:uid="{F155C987-AD21-4E6D-AF17-EAD9BE880A2F}" name="Column13479"/>
    <tableColumn id="13494" xr3:uid="{F82F23C6-0FCA-4DD6-B428-0C054106A1D0}" name="Column13480"/>
    <tableColumn id="13495" xr3:uid="{B9E8226C-7334-48B5-8F9F-A74984C1268D}" name="Column13481"/>
    <tableColumn id="13496" xr3:uid="{E0F8DE26-02D7-43D0-AB09-53BF49F384C1}" name="Column13482"/>
    <tableColumn id="13497" xr3:uid="{D68DAEBA-4815-4144-A8E3-333258C525D5}" name="Column13483"/>
    <tableColumn id="13498" xr3:uid="{A9200DE2-A9F2-4853-AE5C-9BD3C1C6CD66}" name="Column13484"/>
    <tableColumn id="13499" xr3:uid="{4EBE9FD8-D324-4621-8965-AB8D3790EB1E}" name="Column13485"/>
    <tableColumn id="13500" xr3:uid="{CE7A38DA-2281-46B8-8D04-118C89313F47}" name="Column13486"/>
    <tableColumn id="13501" xr3:uid="{108005A3-E7F9-449F-A8F5-77396E7CF8EE}" name="Column13487"/>
    <tableColumn id="13502" xr3:uid="{7E64DFD9-1CAB-45C6-85E7-203E36EADB3E}" name="Column13488"/>
    <tableColumn id="13503" xr3:uid="{79D71392-21F1-4E8D-88C0-EC1596E2471E}" name="Column13489"/>
    <tableColumn id="13504" xr3:uid="{453EFE17-F172-425D-8095-62C3C649C962}" name="Column13490"/>
    <tableColumn id="13505" xr3:uid="{CF95AE62-C8C4-4963-A9AA-CB273C4C4305}" name="Column13491"/>
    <tableColumn id="13506" xr3:uid="{FD120BCC-6F62-49CD-8488-F2FEECAED128}" name="Column13492"/>
    <tableColumn id="13507" xr3:uid="{E22B41C8-B0C6-4DEA-BA04-731EFA23324B}" name="Column13493"/>
    <tableColumn id="13508" xr3:uid="{C7964C6E-3E17-4B19-BF5D-DBA8C676C192}" name="Column13494"/>
    <tableColumn id="13509" xr3:uid="{F6FC9779-A306-4BA4-831D-4EBCC9861C43}" name="Column13495"/>
    <tableColumn id="13510" xr3:uid="{5315ACCB-C543-4E6C-A3F8-BA40E7935677}" name="Column13496"/>
    <tableColumn id="13511" xr3:uid="{0A0CCFC0-C388-460E-BF6E-5CE1F6F9C558}" name="Column13497"/>
    <tableColumn id="13512" xr3:uid="{5F097DF6-F9E8-42A0-9E23-1EA82DA53B7A}" name="Column13498"/>
    <tableColumn id="13513" xr3:uid="{13AEDCBE-322A-44AD-A6E6-8BDED8849922}" name="Column13499"/>
    <tableColumn id="13514" xr3:uid="{3148DFCA-AFB3-490C-AFB2-4D630A025FD8}" name="Column13500"/>
    <tableColumn id="13515" xr3:uid="{F259347F-F490-429A-A944-38A318EA27DC}" name="Column13501"/>
    <tableColumn id="13516" xr3:uid="{E551EBBE-7806-4E6A-B185-D7F30551D05C}" name="Column13502"/>
    <tableColumn id="13517" xr3:uid="{FAAAC0CD-8E69-42E1-AF0A-EA032F0136B3}" name="Column13503"/>
    <tableColumn id="13518" xr3:uid="{E0F7E927-1D40-44DC-8778-3A0782CBFD05}" name="Column13504"/>
    <tableColumn id="13519" xr3:uid="{26CC6726-9DF6-4993-B070-D07F42EB9126}" name="Column13505"/>
    <tableColumn id="13520" xr3:uid="{091911D0-2FA6-4A5C-898E-669A2752DB9B}" name="Column13506"/>
    <tableColumn id="13521" xr3:uid="{92E39F5C-F4D4-4A7A-9902-DE079D42B212}" name="Column13507"/>
    <tableColumn id="13522" xr3:uid="{D50FCE54-A2C3-4946-9264-A53FF74EBCC3}" name="Column13508"/>
    <tableColumn id="13523" xr3:uid="{DBC08380-C270-4E50-BD15-411D1CE78DD2}" name="Column13509"/>
    <tableColumn id="13524" xr3:uid="{ABA899F9-3E22-4A59-A6EF-0155AF935696}" name="Column13510"/>
    <tableColumn id="13525" xr3:uid="{B0037A87-FF44-423E-B56A-674BC0B72200}" name="Column13511"/>
    <tableColumn id="13526" xr3:uid="{A7DDB4F8-3ED8-4F58-AB86-81F643F5B2B3}" name="Column13512"/>
    <tableColumn id="13527" xr3:uid="{7820CC7F-C103-461B-93CD-543D8A42F536}" name="Column13513"/>
    <tableColumn id="13528" xr3:uid="{C4F65837-78DE-4C56-B333-D6DBEF3452A6}" name="Column13514"/>
    <tableColumn id="13529" xr3:uid="{4DB849D8-25A6-437D-B1EA-C37F6CCD09D0}" name="Column13515"/>
    <tableColumn id="13530" xr3:uid="{E13F8B3F-648F-4C9B-81B2-745C29C89188}" name="Column13516"/>
    <tableColumn id="13531" xr3:uid="{3115C361-4D47-41E2-A525-0A8835673A26}" name="Column13517"/>
    <tableColumn id="13532" xr3:uid="{100BE74B-870E-4430-B5FE-57F1881610E5}" name="Column13518"/>
    <tableColumn id="13533" xr3:uid="{F3EEC740-A2F4-4D6D-AFCA-02F02CA9C5CD}" name="Column13519"/>
    <tableColumn id="13534" xr3:uid="{FAA543E1-D7E6-48DA-AEE6-7F82BA54A885}" name="Column13520"/>
    <tableColumn id="13535" xr3:uid="{D8123E29-8507-41AD-AD97-8FB3F144B514}" name="Column13521"/>
    <tableColumn id="13536" xr3:uid="{28B577E1-614A-4018-B2CB-9422E44AF0F0}" name="Column13522"/>
    <tableColumn id="13537" xr3:uid="{29C9E8A2-2FE4-44A6-88FA-092801324FAE}" name="Column13523"/>
    <tableColumn id="13538" xr3:uid="{964C2BDD-761A-4175-B4D3-B2CFFDBA2946}" name="Column13524"/>
    <tableColumn id="13539" xr3:uid="{F6EE747A-45DC-475C-90B0-ABCEA801AFE4}" name="Column13525"/>
    <tableColumn id="13540" xr3:uid="{E9C37341-283E-4F92-A729-D557ABBE2120}" name="Column13526"/>
    <tableColumn id="13541" xr3:uid="{A8787747-894D-4F9B-8079-34791F5A573B}" name="Column13527"/>
    <tableColumn id="13542" xr3:uid="{4014545D-3038-4A99-8E5B-CF015F6090F6}" name="Column13528"/>
    <tableColumn id="13543" xr3:uid="{13D9B2BC-DDB6-4C21-A911-22BE1EF96877}" name="Column13529"/>
    <tableColumn id="13544" xr3:uid="{E4EB2A75-79BA-4EFB-87F8-B31889519BDC}" name="Column13530"/>
    <tableColumn id="13545" xr3:uid="{99BC7E9F-7DA6-4E46-982E-AB3DA5FD4F6F}" name="Column13531"/>
    <tableColumn id="13546" xr3:uid="{FB2E6D1A-8E07-459C-82C9-5E68A494196B}" name="Column13532"/>
    <tableColumn id="13547" xr3:uid="{CFC68F18-F86F-4C61-B7C7-9B600F8B939F}" name="Column13533"/>
    <tableColumn id="13548" xr3:uid="{212FA5EF-2FE1-4B6E-9F43-8258F3EFE2F0}" name="Column13534"/>
    <tableColumn id="13549" xr3:uid="{6D2454A0-56F1-4249-9339-F1A2EA50AF3C}" name="Column13535"/>
    <tableColumn id="13550" xr3:uid="{7835F8EE-6845-4E49-998C-114604210210}" name="Column13536"/>
    <tableColumn id="13551" xr3:uid="{F79F3624-2CF7-428E-A000-2B00C10BD0DA}" name="Column13537"/>
    <tableColumn id="13552" xr3:uid="{FFBD2460-2A9E-4C54-8644-47BCF329FD6F}" name="Column13538"/>
    <tableColumn id="13553" xr3:uid="{C472B8EF-4596-4D94-AC99-228F5267C70A}" name="Column13539"/>
    <tableColumn id="13554" xr3:uid="{50DB5CB5-C3A4-4C89-B409-FC84D582FC39}" name="Column13540"/>
    <tableColumn id="13555" xr3:uid="{08D7C255-E3A3-4A84-8479-FC982F34025D}" name="Column13541"/>
    <tableColumn id="13556" xr3:uid="{CA98F913-FA76-46C8-B1A6-5175476C4100}" name="Column13542"/>
    <tableColumn id="13557" xr3:uid="{D9D3D962-48B5-4605-9037-882262C77A10}" name="Column13543"/>
    <tableColumn id="13558" xr3:uid="{7FFACADC-EEAA-48FA-B3D8-2F7B5E527B7E}" name="Column13544"/>
    <tableColumn id="13559" xr3:uid="{F2E8C959-8C44-4614-A2A9-6F6A46A204DB}" name="Column13545"/>
    <tableColumn id="13560" xr3:uid="{88097F9D-AED7-43DE-BDFC-B4322F9B3788}" name="Column13546"/>
    <tableColumn id="13561" xr3:uid="{0FF0F735-3004-4129-8A59-4B40F2F333E9}" name="Column13547"/>
    <tableColumn id="13562" xr3:uid="{18FBEB6F-EAEE-456E-B100-E04CBBFB9BD3}" name="Column13548"/>
    <tableColumn id="13563" xr3:uid="{215F9759-3C77-4B39-8943-BA807930BB59}" name="Column13549"/>
    <tableColumn id="13564" xr3:uid="{F9560B40-A759-4AB9-B1BC-1A7D3E9CF2F3}" name="Column13550"/>
    <tableColumn id="13565" xr3:uid="{4F084E3F-E241-4F65-BE0C-72B13AB478F2}" name="Column13551"/>
    <tableColumn id="13566" xr3:uid="{703212E7-BE4D-48CE-A4CB-009524DF506E}" name="Column13552"/>
    <tableColumn id="13567" xr3:uid="{FC8F2A75-16DF-465C-8BAB-E3EDAC5ADEA4}" name="Column13553"/>
    <tableColumn id="13568" xr3:uid="{9EDDE650-E9F6-476C-85D6-CBD1B633D21D}" name="Column13554"/>
    <tableColumn id="13569" xr3:uid="{B1389775-34EA-47B0-8E03-348DFB75924E}" name="Column13555"/>
    <tableColumn id="13570" xr3:uid="{E5A1BDCD-FD9C-4DAC-B36F-7A9EBFCA97E7}" name="Column13556"/>
    <tableColumn id="13571" xr3:uid="{93FCC987-09AA-4A7D-8A79-67E6B989C6B1}" name="Column13557"/>
    <tableColumn id="13572" xr3:uid="{9ACD24C2-6C17-4F53-A435-328C23DF013E}" name="Column13558"/>
    <tableColumn id="13573" xr3:uid="{F2A68AF7-E9F3-4BDD-9491-234B06000B3E}" name="Column13559"/>
    <tableColumn id="13574" xr3:uid="{61D36958-9C31-4DC0-ADBF-3DC878319CC8}" name="Column13560"/>
    <tableColumn id="13575" xr3:uid="{E204D943-2F24-4B55-B441-7BBE8FB1DA30}" name="Column13561"/>
    <tableColumn id="13576" xr3:uid="{BC9DBA95-AC1C-4F73-81AB-FB8E83EDDC4B}" name="Column13562"/>
    <tableColumn id="13577" xr3:uid="{A5F3C8F2-2FE0-4569-B66F-F68CD000A83D}" name="Column13563"/>
    <tableColumn id="13578" xr3:uid="{55CDB4C8-B28B-4644-BAF4-781866F67B57}" name="Column13564"/>
    <tableColumn id="13579" xr3:uid="{79465DCD-CB6B-4C3D-BEFB-0ADCF880D59E}" name="Column13565"/>
    <tableColumn id="13580" xr3:uid="{AA4D869A-AC3C-49FE-97C0-03253D443088}" name="Column13566"/>
    <tableColumn id="13581" xr3:uid="{5F23162C-18D3-4364-B1E6-194C2D3427AF}" name="Column13567"/>
    <tableColumn id="13582" xr3:uid="{FCE22657-093B-48D1-9293-1958D35A1305}" name="Column13568"/>
    <tableColumn id="13583" xr3:uid="{27B7B877-0A9D-48ED-9288-C9814C0A58A0}" name="Column13569"/>
    <tableColumn id="13584" xr3:uid="{6BAB47C4-ACFE-448A-B9FD-68478065C749}" name="Column13570"/>
    <tableColumn id="13585" xr3:uid="{C6B697D7-0DC7-4B7F-99CD-5109E2BF8B71}" name="Column13571"/>
    <tableColumn id="13586" xr3:uid="{4D5B8B17-56F8-497C-A3D4-60AC007FB979}" name="Column13572"/>
    <tableColumn id="13587" xr3:uid="{53CC04F4-834F-4A5F-B14F-0138B8F03682}" name="Column13573"/>
    <tableColumn id="13588" xr3:uid="{948F7C1A-2478-4E9E-89B3-CE82DA7B1E05}" name="Column13574"/>
    <tableColumn id="13589" xr3:uid="{5012C510-F020-4D8F-8D4C-F5F365CB224D}" name="Column13575"/>
    <tableColumn id="13590" xr3:uid="{0CEC51C0-C7DC-4E8A-B713-EF3189C13B39}" name="Column13576"/>
    <tableColumn id="13591" xr3:uid="{CEC069A5-172B-4161-B43E-30FEE255B410}" name="Column13577"/>
    <tableColumn id="13592" xr3:uid="{28BCB2C0-F53C-46B8-B5E3-E73B7445270C}" name="Column13578"/>
    <tableColumn id="13593" xr3:uid="{9D168BD4-A904-48E1-8053-6C37F4323964}" name="Column13579"/>
    <tableColumn id="13594" xr3:uid="{01AD8CE8-AEED-42DC-AE74-D02909BB0246}" name="Column13580"/>
    <tableColumn id="13595" xr3:uid="{3DDE7EBB-D1AB-4674-A533-C387CA40B163}" name="Column13581"/>
    <tableColumn id="13596" xr3:uid="{38199327-F7B3-4C85-8129-3B8A3733E287}" name="Column13582"/>
    <tableColumn id="13597" xr3:uid="{EA48F1A3-CA13-4248-A4A4-4A95139DBED5}" name="Column13583"/>
    <tableColumn id="13598" xr3:uid="{6FBCD198-825F-4594-AA1D-B8E57B224B20}" name="Column13584"/>
    <tableColumn id="13599" xr3:uid="{3CA23690-2262-4A52-869E-6A5DAD6D324E}" name="Column13585"/>
    <tableColumn id="13600" xr3:uid="{6AF136FD-6CCC-4D7C-9B87-FBF8AB6B45D5}" name="Column13586"/>
    <tableColumn id="13601" xr3:uid="{9DC45EFC-30A9-463E-A87E-BDE41036A733}" name="Column13587"/>
    <tableColumn id="13602" xr3:uid="{543D708A-C24B-490F-A622-39D75D44CEE6}" name="Column13588"/>
    <tableColumn id="13603" xr3:uid="{BE98483A-D1B0-42AB-9083-B0AB269DDCD6}" name="Column13589"/>
    <tableColumn id="13604" xr3:uid="{0CB6B9D7-619E-4E73-9115-B2924DB6C8D8}" name="Column13590"/>
    <tableColumn id="13605" xr3:uid="{AD9BA109-7F11-436D-A85C-B1634275A441}" name="Column13591"/>
    <tableColumn id="13606" xr3:uid="{869A342A-7625-468D-9842-342E5ABA2380}" name="Column13592"/>
    <tableColumn id="13607" xr3:uid="{322D9853-37C3-4215-935C-466F67EF3116}" name="Column13593"/>
    <tableColumn id="13608" xr3:uid="{819DDFEB-DC13-4A27-A7B3-64AB5C818C37}" name="Column13594"/>
    <tableColumn id="13609" xr3:uid="{EDDFDE41-38F7-4F8C-8D08-980C8FC8ADBE}" name="Column13595"/>
    <tableColumn id="13610" xr3:uid="{BF332908-8526-4811-ACD2-27AC669EA210}" name="Column13596"/>
    <tableColumn id="13611" xr3:uid="{1F4D75E0-B147-47EB-A4E7-36325A0A0A49}" name="Column13597"/>
    <tableColumn id="13612" xr3:uid="{A90CEE2F-5E57-4B85-9804-C59F9C315190}" name="Column13598"/>
    <tableColumn id="13613" xr3:uid="{8ADA6DC0-E696-468F-9FB7-4DB0D91625FC}" name="Column13599"/>
    <tableColumn id="13614" xr3:uid="{F5D83EC2-9D4B-449F-BD00-84C9D41916DE}" name="Column13600"/>
    <tableColumn id="13615" xr3:uid="{DF10D122-2023-44AB-A97F-B03A9646B41D}" name="Column13601"/>
    <tableColumn id="13616" xr3:uid="{4951D1FB-A288-44E2-9A14-9C8F6D30FED5}" name="Column13602"/>
    <tableColumn id="13617" xr3:uid="{641FD2DF-A3A4-4CE9-A5EC-6662BECDFBFA}" name="Column13603"/>
    <tableColumn id="13618" xr3:uid="{72C579BB-F36B-47F2-8447-1B1CA02E2EC9}" name="Column13604"/>
    <tableColumn id="13619" xr3:uid="{04C74480-19FE-4A6A-AEEA-58F11E458BBE}" name="Column13605"/>
    <tableColumn id="13620" xr3:uid="{2C36FA54-DA6B-4F06-8E1F-411BA5A330F1}" name="Column13606"/>
    <tableColumn id="13621" xr3:uid="{2C2A7005-EBD1-414C-A50D-11EC2369B533}" name="Column13607"/>
    <tableColumn id="13622" xr3:uid="{02B60604-954D-4A5B-9ECC-E46B861AF6EF}" name="Column13608"/>
    <tableColumn id="13623" xr3:uid="{E2A18494-58E8-4A88-80C1-049EA989268C}" name="Column13609"/>
    <tableColumn id="13624" xr3:uid="{A5ECF20A-6949-47F8-93DC-9E60AF342FEC}" name="Column13610"/>
    <tableColumn id="13625" xr3:uid="{020AA715-BE69-4DFD-ABA5-E9EFF8175E9A}" name="Column13611"/>
    <tableColumn id="13626" xr3:uid="{185C4466-A385-455F-AD9F-C1AF36C6AD91}" name="Column13612"/>
    <tableColumn id="13627" xr3:uid="{92CD97EE-D04B-4549-973A-4E19A7C36F30}" name="Column13613"/>
    <tableColumn id="13628" xr3:uid="{4BCEA54A-07BB-4D47-9628-479D74846C1F}" name="Column13614"/>
    <tableColumn id="13629" xr3:uid="{B086266B-49A0-458E-A253-93F290FAD120}" name="Column13615"/>
    <tableColumn id="13630" xr3:uid="{C637964E-BD5D-4F4E-BAAC-A80583CCE6F6}" name="Column13616"/>
    <tableColumn id="13631" xr3:uid="{A0CAEB23-5F9F-4AD7-9959-06DFA7EC938A}" name="Column13617"/>
    <tableColumn id="13632" xr3:uid="{C6B6F9AD-A72C-4477-9456-9BF671CE0822}" name="Column13618"/>
    <tableColumn id="13633" xr3:uid="{90B37B5E-8B1F-42F0-A2CF-D01421B65F3B}" name="Column13619"/>
    <tableColumn id="13634" xr3:uid="{7E7F6E95-053B-4572-B14B-0D4C24F625D3}" name="Column13620"/>
    <tableColumn id="13635" xr3:uid="{B8514909-BEA3-4D28-8A54-C76713FBA306}" name="Column13621"/>
    <tableColumn id="13636" xr3:uid="{F1D7E313-C486-4511-AA76-B21F17CEB343}" name="Column13622"/>
    <tableColumn id="13637" xr3:uid="{897C35DB-4E45-43CB-98D1-2171D6447B56}" name="Column13623"/>
    <tableColumn id="13638" xr3:uid="{488062FB-2541-42D4-9335-46D150BEC3AE}" name="Column13624"/>
    <tableColumn id="13639" xr3:uid="{946F1283-8F77-49C7-A4BA-19E85F94089F}" name="Column13625"/>
    <tableColumn id="13640" xr3:uid="{E8DE29C9-0399-4037-89BB-6A41DFEF19A8}" name="Column13626"/>
    <tableColumn id="13641" xr3:uid="{5F040556-4B03-40C8-A3C6-CB786CCD1E35}" name="Column13627"/>
    <tableColumn id="13642" xr3:uid="{7EEE5C12-D34D-45A7-9351-E8DBD5EA848C}" name="Column13628"/>
    <tableColumn id="13643" xr3:uid="{119600A1-9E7F-4A5F-BB6F-B531C8ACFBE3}" name="Column13629"/>
    <tableColumn id="13644" xr3:uid="{40A7EA4A-83B1-4137-BEA3-66A04DCF2EDC}" name="Column13630"/>
    <tableColumn id="13645" xr3:uid="{301A10B0-C171-4651-A01E-5B09F26AB42F}" name="Column13631"/>
    <tableColumn id="13646" xr3:uid="{8F60862D-CB1B-4644-93D1-EFD7538B678B}" name="Column13632"/>
    <tableColumn id="13647" xr3:uid="{7868784B-5803-4F88-BA0E-49ED1BA0B40D}" name="Column13633"/>
    <tableColumn id="13648" xr3:uid="{B937EF54-5484-401C-BD37-78D4CEAADAA9}" name="Column13634"/>
    <tableColumn id="13649" xr3:uid="{5C02AB87-16FC-494C-8F43-0F2D076ABDFB}" name="Column13635"/>
    <tableColumn id="13650" xr3:uid="{F810E559-BE2C-403A-8EE9-0B2DE6623815}" name="Column13636"/>
    <tableColumn id="13651" xr3:uid="{8DD30759-FD76-418A-BEB7-820D6CB3E3D9}" name="Column13637"/>
    <tableColumn id="13652" xr3:uid="{B7DF402D-9AC2-410B-A197-1B9772D2713E}" name="Column13638"/>
    <tableColumn id="13653" xr3:uid="{A42F61BC-6BE0-4FDF-A523-A226E80C67BE}" name="Column13639"/>
    <tableColumn id="13654" xr3:uid="{83530629-4971-48DA-BFCE-B76C588FB553}" name="Column13640"/>
    <tableColumn id="13655" xr3:uid="{AE847371-A02B-4872-BA70-73C7A25826DF}" name="Column13641"/>
    <tableColumn id="13656" xr3:uid="{1AC3AD21-7BA1-419D-AADB-22E860D6EBF8}" name="Column13642"/>
    <tableColumn id="13657" xr3:uid="{94C2BD70-0400-45C5-905A-F686FF57BFBC}" name="Column13643"/>
    <tableColumn id="13658" xr3:uid="{400C91E3-7008-4F22-A2E8-6F457A3885F4}" name="Column13644"/>
    <tableColumn id="13659" xr3:uid="{2B58B57D-2894-415F-93F3-D3D31BE88514}" name="Column13645"/>
    <tableColumn id="13660" xr3:uid="{0FECC663-E87A-4865-A443-CD1D65F7A4DE}" name="Column13646"/>
    <tableColumn id="13661" xr3:uid="{44C91008-0E48-42E1-9757-79B1D0E4A75C}" name="Column13647"/>
    <tableColumn id="13662" xr3:uid="{28A18449-5577-42EC-B23D-C3697F4FB5EA}" name="Column13648"/>
    <tableColumn id="13663" xr3:uid="{B3C4C5E5-0770-4C66-9701-FC39F9DD18C8}" name="Column13649"/>
    <tableColumn id="13664" xr3:uid="{2BD45B4B-BD0F-441C-BF2B-61555DA217C7}" name="Column13650"/>
    <tableColumn id="13665" xr3:uid="{89FF1C7F-4AC0-4063-8AC2-3C7BA42F2610}" name="Column13651"/>
    <tableColumn id="13666" xr3:uid="{0A058650-E8F4-48F2-AB65-A59D6B98F584}" name="Column13652"/>
    <tableColumn id="13667" xr3:uid="{B6916874-1A9F-4974-8EF6-9F358BF8C5DD}" name="Column13653"/>
    <tableColumn id="13668" xr3:uid="{E569E443-0EE8-41CB-B692-C3C71943A549}" name="Column13654"/>
    <tableColumn id="13669" xr3:uid="{8AD7666B-1534-40C0-A74B-325BF0BDA238}" name="Column13655"/>
    <tableColumn id="13670" xr3:uid="{31CD1366-63F0-4D8B-B3DD-79128FF2FF21}" name="Column13656"/>
    <tableColumn id="13671" xr3:uid="{42418BAF-D868-40EF-8C6A-40D356466A83}" name="Column13657"/>
    <tableColumn id="13672" xr3:uid="{D5084F75-34D1-4560-A514-E896ED0E0EEC}" name="Column13658"/>
    <tableColumn id="13673" xr3:uid="{6D172F75-EAB1-4ED6-9AFC-6CC0783C1AB7}" name="Column13659"/>
    <tableColumn id="13674" xr3:uid="{3FA58B12-D01F-4BDF-B5DC-89BA4D032C22}" name="Column13660"/>
    <tableColumn id="13675" xr3:uid="{C2BD79C3-69A5-4322-9AFE-35077E1666C8}" name="Column13661"/>
    <tableColumn id="13676" xr3:uid="{A38A0BAF-A5E4-4653-BF72-EDC57087D9F7}" name="Column13662"/>
    <tableColumn id="13677" xr3:uid="{76422B49-787A-4022-84A5-BACD7A1A136C}" name="Column13663"/>
    <tableColumn id="13678" xr3:uid="{505814CC-E0BB-43E3-A0C0-BFB56253BD13}" name="Column13664"/>
    <tableColumn id="13679" xr3:uid="{33D2B329-F190-403D-B1CA-88994B3BBD10}" name="Column13665"/>
    <tableColumn id="13680" xr3:uid="{99EDFFF6-C974-4E03-B120-6BC3C0B50127}" name="Column13666"/>
    <tableColumn id="13681" xr3:uid="{05E2A88D-CB29-4596-84B6-43228939F98A}" name="Column13667"/>
    <tableColumn id="13682" xr3:uid="{36EB01D9-5050-4E58-A0C7-F92A212BA948}" name="Column13668"/>
    <tableColumn id="13683" xr3:uid="{DCD3EA70-4B55-4282-A07B-B08420137879}" name="Column13669"/>
    <tableColumn id="13684" xr3:uid="{1BA40738-2911-4B2A-B03E-ECB3CE4EDEB8}" name="Column13670"/>
    <tableColumn id="13685" xr3:uid="{5398BDE0-3F70-4454-A16A-24FB556F034E}" name="Column13671"/>
    <tableColumn id="13686" xr3:uid="{6A3CC7B9-5FB4-4B6D-B2BD-22E88C113E4F}" name="Column13672"/>
    <tableColumn id="13687" xr3:uid="{8F86B5D4-568E-4478-88FD-1FB172993623}" name="Column13673"/>
    <tableColumn id="13688" xr3:uid="{D01B33F5-A54F-4C79-972D-FEDE364F7154}" name="Column13674"/>
    <tableColumn id="13689" xr3:uid="{88F2C26E-E580-4EE5-AD5E-63E1F0340431}" name="Column13675"/>
    <tableColumn id="13690" xr3:uid="{F560A87A-7B0B-4482-945F-04C974D867A6}" name="Column13676"/>
    <tableColumn id="13691" xr3:uid="{A824F255-AB29-4C70-82B9-3EACD12F4F36}" name="Column13677"/>
    <tableColumn id="13692" xr3:uid="{3148B2F6-3D52-4DA5-BDD3-111C1430CFF3}" name="Column13678"/>
    <tableColumn id="13693" xr3:uid="{47EC4806-4D64-464A-87A1-B889350A99D2}" name="Column13679"/>
    <tableColumn id="13694" xr3:uid="{A6477B00-72E0-4CDF-AC61-C5339C895068}" name="Column13680"/>
    <tableColumn id="13695" xr3:uid="{D382C009-36F1-4591-B07D-DEE94484E90B}" name="Column13681"/>
    <tableColumn id="13696" xr3:uid="{7BC4DE0D-8421-4714-87BB-1E9A648213D2}" name="Column13682"/>
    <tableColumn id="13697" xr3:uid="{98DCA754-37FB-418E-96AA-2A28008289AA}" name="Column13683"/>
    <tableColumn id="13698" xr3:uid="{DB0DD2A8-B132-471B-A3E5-BDA13C6675FB}" name="Column13684"/>
    <tableColumn id="13699" xr3:uid="{81ACC86A-E9E7-46AB-A231-C11E2152DD37}" name="Column13685"/>
    <tableColumn id="13700" xr3:uid="{7E602EE4-5D0C-444F-835C-45DFF6D07ABE}" name="Column13686"/>
    <tableColumn id="13701" xr3:uid="{807187C6-0618-490B-B8AB-56D8F1B5049D}" name="Column13687"/>
    <tableColumn id="13702" xr3:uid="{E858BCFE-7AD8-46DB-A95C-A7981772F000}" name="Column13688"/>
    <tableColumn id="13703" xr3:uid="{5FD5911D-FDE7-40CA-B4C7-DB46E906CF2C}" name="Column13689"/>
    <tableColumn id="13704" xr3:uid="{A0DD989C-240C-4287-8A91-F826DF088490}" name="Column13690"/>
    <tableColumn id="13705" xr3:uid="{8FC6D128-FE67-45C0-B98E-F6E23BBFDF6B}" name="Column13691"/>
    <tableColumn id="13706" xr3:uid="{F862D97D-F66B-4691-A337-81D26267CBE8}" name="Column13692"/>
    <tableColumn id="13707" xr3:uid="{20873B0D-C375-429E-8496-EBDC5B49CD45}" name="Column13693"/>
    <tableColumn id="13708" xr3:uid="{484935E9-BB7A-4DD0-B23E-FD933965BA0F}" name="Column13694"/>
    <tableColumn id="13709" xr3:uid="{036FC803-B038-4B2B-9F2F-4F32D6FD3D39}" name="Column13695"/>
    <tableColumn id="13710" xr3:uid="{1DDB3954-B26F-44C1-8932-860861DD0338}" name="Column13696"/>
    <tableColumn id="13711" xr3:uid="{2FB560CA-6098-4651-9689-465A3B3E3B9E}" name="Column13697"/>
    <tableColumn id="13712" xr3:uid="{9B0DE3F1-6072-4F70-8297-847D9CC784FC}" name="Column13698"/>
    <tableColumn id="13713" xr3:uid="{D0483F79-4225-4F62-82D2-C6C02A186CDB}" name="Column13699"/>
    <tableColumn id="13714" xr3:uid="{94807B88-4DF7-48BA-B986-6A94D7D3D365}" name="Column13700"/>
    <tableColumn id="13715" xr3:uid="{0F0DEB0F-D8CB-4A1E-8D47-767D4BF4FF15}" name="Column13701"/>
    <tableColumn id="13716" xr3:uid="{83B8F8E6-1189-482E-9FC9-EF1048B2692E}" name="Column13702"/>
    <tableColumn id="13717" xr3:uid="{0E8AE466-6972-42E8-9E04-E938F03D7C52}" name="Column13703"/>
    <tableColumn id="13718" xr3:uid="{8100A9EB-1970-45F5-8CA6-80E1384933B6}" name="Column13704"/>
    <tableColumn id="13719" xr3:uid="{B0F6D7F3-BD2B-42CE-A8D0-94570008BFC5}" name="Column13705"/>
    <tableColumn id="13720" xr3:uid="{B3D371A0-80A1-4316-9750-BDDB7CE20243}" name="Column13706"/>
    <tableColumn id="13721" xr3:uid="{88748E57-4790-4AE1-A8CD-CAF82BEA2990}" name="Column13707"/>
    <tableColumn id="13722" xr3:uid="{D69197D2-DA0F-457A-9D49-9D30B2F24052}" name="Column13708"/>
    <tableColumn id="13723" xr3:uid="{7B5B44E2-B725-4F55-98D6-CE537486EEAD}" name="Column13709"/>
    <tableColumn id="13724" xr3:uid="{1285540C-62BC-48ED-B54D-9F4BA55EE3E8}" name="Column13710"/>
    <tableColumn id="13725" xr3:uid="{901D2FF5-DB74-4EAF-9196-ED97514F85FC}" name="Column13711"/>
    <tableColumn id="13726" xr3:uid="{272CA365-1F03-4203-81DA-ED33BFBE1433}" name="Column13712"/>
    <tableColumn id="13727" xr3:uid="{B6902617-C6ED-45D2-9BFF-104B975E6B7F}" name="Column13713"/>
    <tableColumn id="13728" xr3:uid="{F7F146E4-E078-46B3-B8F2-8013B84128ED}" name="Column13714"/>
    <tableColumn id="13729" xr3:uid="{18A0432B-D77D-4612-8282-564898753EB1}" name="Column13715"/>
    <tableColumn id="13730" xr3:uid="{BFF5FEF7-FCE6-4B12-9986-E7863892ECC5}" name="Column13716"/>
    <tableColumn id="13731" xr3:uid="{DE601711-1709-4C4A-9E97-ECBBA4330540}" name="Column13717"/>
    <tableColumn id="13732" xr3:uid="{D2AC9CC5-7D70-48D0-89C5-8058623A14C6}" name="Column13718"/>
    <tableColumn id="13733" xr3:uid="{807DCC36-A870-4637-867D-B0AAC59974DC}" name="Column13719"/>
    <tableColumn id="13734" xr3:uid="{DCDDF110-88FE-4922-889D-87A1716C9973}" name="Column13720"/>
    <tableColumn id="13735" xr3:uid="{8BDE2EF8-42FC-4F27-A6B6-43E127E09B99}" name="Column13721"/>
    <tableColumn id="13736" xr3:uid="{19D93A29-42DD-4434-9068-D0050C06831E}" name="Column13722"/>
    <tableColumn id="13737" xr3:uid="{A6786564-9698-4050-9A31-CFDEBFAF571B}" name="Column13723"/>
    <tableColumn id="13738" xr3:uid="{BDAEF194-CEF8-4EC7-B17E-C648580523B1}" name="Column13724"/>
    <tableColumn id="13739" xr3:uid="{D17CA243-C426-40EB-AFF7-1C345E5942B1}" name="Column13725"/>
    <tableColumn id="13740" xr3:uid="{C1AF2108-68B1-4272-9953-76D796B69FCE}" name="Column13726"/>
    <tableColumn id="13741" xr3:uid="{2D5C12B5-A53B-4538-B50A-9BAF64E96BFB}" name="Column13727"/>
    <tableColumn id="13742" xr3:uid="{68F264B8-9695-40A6-9D94-4EBF63A4CCA9}" name="Column13728"/>
    <tableColumn id="13743" xr3:uid="{347D2E36-AD96-446F-A3D2-3671EC07BD46}" name="Column13729"/>
    <tableColumn id="13744" xr3:uid="{0A164963-FDF9-48EE-A8D8-855A4673CED9}" name="Column13730"/>
    <tableColumn id="13745" xr3:uid="{B0EC9BB5-DD05-4DE7-869B-14E3A66C1EBC}" name="Column13731"/>
    <tableColumn id="13746" xr3:uid="{7B5918B0-0295-4A55-B55E-26EC12AE0FF6}" name="Column13732"/>
    <tableColumn id="13747" xr3:uid="{0F64EB04-503B-48EE-AAE0-9587C135DC69}" name="Column13733"/>
    <tableColumn id="13748" xr3:uid="{7CBE05E3-4BEE-400E-BC1B-0CC2CCC7C1F4}" name="Column13734"/>
    <tableColumn id="13749" xr3:uid="{04A7A523-E7DD-4C70-A4BB-83FA3C368D87}" name="Column13735"/>
    <tableColumn id="13750" xr3:uid="{5726FCE3-3D92-419E-981B-8820B4C9885D}" name="Column13736"/>
    <tableColumn id="13751" xr3:uid="{A54411CA-E53D-4662-B98D-0EBD3BBB726B}" name="Column13737"/>
    <tableColumn id="13752" xr3:uid="{2639ECC9-13F5-463C-A15C-32408611EB86}" name="Column13738"/>
    <tableColumn id="13753" xr3:uid="{7C7D2CAD-2F00-490F-9719-5EE475116B86}" name="Column13739"/>
    <tableColumn id="13754" xr3:uid="{BE742ABA-21E4-4D3E-8BB4-3316E1631B24}" name="Column13740"/>
    <tableColumn id="13755" xr3:uid="{70CEFED6-1931-43CC-A8F0-1CF32E500C3A}" name="Column13741"/>
    <tableColumn id="13756" xr3:uid="{68AAC61D-0EC9-46E0-BEFA-CF356CA56E49}" name="Column13742"/>
    <tableColumn id="13757" xr3:uid="{8A6BF3AA-B370-4EDC-B3A3-FE300C6AD43B}" name="Column13743"/>
    <tableColumn id="13758" xr3:uid="{E25ADFB8-13C1-4D10-A05C-A4F292903057}" name="Column13744"/>
    <tableColumn id="13759" xr3:uid="{F677CAF3-B678-4313-972B-A6BFD1283870}" name="Column13745"/>
    <tableColumn id="13760" xr3:uid="{8836341F-744F-42F9-8E1D-B887D0CE4262}" name="Column13746"/>
    <tableColumn id="13761" xr3:uid="{BA7581A2-131A-469A-9153-8FA138779E7D}" name="Column13747"/>
    <tableColumn id="13762" xr3:uid="{4FC2FD80-5BF8-4FD8-A2F4-85C54AE3B022}" name="Column13748"/>
    <tableColumn id="13763" xr3:uid="{77060D25-8BD9-46AF-80C1-41611141B943}" name="Column13749"/>
    <tableColumn id="13764" xr3:uid="{EF9136CC-F7AB-4B09-9065-EC55ECEFCEFD}" name="Column13750"/>
    <tableColumn id="13765" xr3:uid="{8BE3DEB1-A020-4328-80EF-FBD2D10D9C67}" name="Column13751"/>
    <tableColumn id="13766" xr3:uid="{64915451-BB47-4E51-92B8-1FE903774959}" name="Column13752"/>
    <tableColumn id="13767" xr3:uid="{EBA64E35-CD4C-4409-91E5-47888A1D994D}" name="Column13753"/>
    <tableColumn id="13768" xr3:uid="{D80B5801-F78C-4C25-94EA-BF8F84E866A2}" name="Column13754"/>
    <tableColumn id="13769" xr3:uid="{357390A2-E96C-4EC7-9B98-9E33AB293BE3}" name="Column13755"/>
    <tableColumn id="13770" xr3:uid="{B5F20246-8087-42DA-A8CD-B0C5B2D62A48}" name="Column13756"/>
    <tableColumn id="13771" xr3:uid="{C88C25A0-08CC-4B0B-91FF-D3CDA9C3EF42}" name="Column13757"/>
    <tableColumn id="13772" xr3:uid="{840BFD90-BE5E-4C5F-8A2B-96F150F9FF1B}" name="Column13758"/>
    <tableColumn id="13773" xr3:uid="{3C0ABD2F-2F38-432F-932B-149C1AA03A77}" name="Column13759"/>
    <tableColumn id="13774" xr3:uid="{4CF0CBF6-6FA5-4910-8EEA-A873C24D1459}" name="Column13760"/>
    <tableColumn id="13775" xr3:uid="{11BAD127-4329-4CD4-ADFF-77583D474A2E}" name="Column13761"/>
    <tableColumn id="13776" xr3:uid="{612D8401-C024-4AA4-A503-133ECD940CA8}" name="Column13762"/>
    <tableColumn id="13777" xr3:uid="{F872C5D8-38A7-4E63-B3CB-16449382478F}" name="Column13763"/>
    <tableColumn id="13778" xr3:uid="{61B85AD2-EDA8-4510-BB5B-855C26955AEA}" name="Column13764"/>
    <tableColumn id="13779" xr3:uid="{8A7242A7-B78D-4605-B5D4-84989A15D5EF}" name="Column13765"/>
    <tableColumn id="13780" xr3:uid="{5A793924-1F8C-48CC-9537-4F1E6C548118}" name="Column13766"/>
    <tableColumn id="13781" xr3:uid="{69545FC5-DCBD-4724-AFBF-1F1E25445955}" name="Column13767"/>
    <tableColumn id="13782" xr3:uid="{6D91634A-3994-4661-9889-3D85CDF693DC}" name="Column13768"/>
    <tableColumn id="13783" xr3:uid="{53E2EC7E-81BE-4B78-BF82-AE73F455E816}" name="Column13769"/>
    <tableColumn id="13784" xr3:uid="{24F73E8A-34D9-4353-B5C3-F527CFAB1F1C}" name="Column13770"/>
    <tableColumn id="13785" xr3:uid="{0AD31F49-50C0-4427-9CA1-CCD10B252908}" name="Column13771"/>
    <tableColumn id="13786" xr3:uid="{E3010509-7761-4FAB-AF12-26119288FF52}" name="Column13772"/>
    <tableColumn id="13787" xr3:uid="{53EBD707-FAB5-47FD-AD37-F0A51054749C}" name="Column13773"/>
    <tableColumn id="13788" xr3:uid="{4717AF98-692E-4AED-88A0-C548EE815EA1}" name="Column13774"/>
    <tableColumn id="13789" xr3:uid="{1436C093-364D-4BE1-BFA8-A4A98A89C2BC}" name="Column13775"/>
    <tableColumn id="13790" xr3:uid="{2CA61AA4-B06C-46B5-9C46-EEBE17FD9BE7}" name="Column13776"/>
    <tableColumn id="13791" xr3:uid="{F1DA5AEA-E94E-4E83-8B96-60107764C0D2}" name="Column13777"/>
    <tableColumn id="13792" xr3:uid="{11CB48DC-9831-4E10-A85D-630AB5428596}" name="Column13778"/>
    <tableColumn id="13793" xr3:uid="{8336EE4D-F5E0-4109-B4E1-43757672E37F}" name="Column13779"/>
    <tableColumn id="13794" xr3:uid="{B0EEA7CF-1A14-4DCA-A5C4-28CFFDE25654}" name="Column13780"/>
    <tableColumn id="13795" xr3:uid="{9D42A4AC-B343-4350-9E48-24E09F80E0CE}" name="Column13781"/>
    <tableColumn id="13796" xr3:uid="{94701604-0367-4BD9-9378-84411EFEE4BC}" name="Column13782"/>
    <tableColumn id="13797" xr3:uid="{0AB85375-0AF0-40D8-8434-75D29EEE3A77}" name="Column13783"/>
    <tableColumn id="13798" xr3:uid="{D28DC3DF-21B8-4A17-ABB4-022520AC30A3}" name="Column13784"/>
    <tableColumn id="13799" xr3:uid="{D81521AC-675D-40AF-889F-CE2241C473A8}" name="Column13785"/>
    <tableColumn id="13800" xr3:uid="{6224C4A1-C447-404B-8916-5C8DFA6D7C75}" name="Column13786"/>
    <tableColumn id="13801" xr3:uid="{276328C6-C2D8-4BBA-97D8-4F5AF167B160}" name="Column13787"/>
    <tableColumn id="13802" xr3:uid="{E72B4F35-BE74-4986-A06D-F849C0027562}" name="Column13788"/>
    <tableColumn id="13803" xr3:uid="{965D9721-EA2A-45B9-AF55-705050A83864}" name="Column13789"/>
    <tableColumn id="13804" xr3:uid="{6B50C14B-4AE5-48CC-ACB2-47BDCCD6B8A3}" name="Column13790"/>
    <tableColumn id="13805" xr3:uid="{2CBE81AD-96FC-48AC-9992-95BFFAF6D6C8}" name="Column13791"/>
    <tableColumn id="13806" xr3:uid="{6FD94405-CC02-495B-A85C-CD974F3757E1}" name="Column13792"/>
    <tableColumn id="13807" xr3:uid="{50E7561B-5927-4B6D-88EB-F537A085777C}" name="Column13793"/>
    <tableColumn id="13808" xr3:uid="{C652ACBE-0BE6-42BC-AFA4-5D92BFB6BB5A}" name="Column13794"/>
    <tableColumn id="13809" xr3:uid="{CE2C3A9D-E3FC-4AFD-BE62-C6760805DB2B}" name="Column13795"/>
    <tableColumn id="13810" xr3:uid="{0B4D7F79-6E52-447E-BDF4-E10F08316CF6}" name="Column13796"/>
    <tableColumn id="13811" xr3:uid="{53B38564-2092-4E71-8A83-86281FB822B8}" name="Column13797"/>
    <tableColumn id="13812" xr3:uid="{6F389FAD-7263-4E37-A0E0-088CBE2DB487}" name="Column13798"/>
    <tableColumn id="13813" xr3:uid="{A29EB564-7F1C-47F8-BF34-11EFBAE7A6F9}" name="Column13799"/>
    <tableColumn id="13814" xr3:uid="{C62C38BB-1E12-4050-B564-13EDCA2CE822}" name="Column13800"/>
    <tableColumn id="13815" xr3:uid="{6F0F9438-3DF3-4051-B0F6-DFD740C2F35D}" name="Column13801"/>
    <tableColumn id="13816" xr3:uid="{C189597A-279B-44F1-8882-AB54988EE635}" name="Column13802"/>
    <tableColumn id="13817" xr3:uid="{B58FACAA-5D98-4411-9AD5-1D15215228F0}" name="Column13803"/>
    <tableColumn id="13818" xr3:uid="{E030E996-2F5B-419D-833E-3F3A9375AD7B}" name="Column13804"/>
    <tableColumn id="13819" xr3:uid="{19BA6657-8066-42BB-BD68-398F3207B391}" name="Column13805"/>
    <tableColumn id="13820" xr3:uid="{995B11E9-166F-4AB6-BF7A-44B2C180CB62}" name="Column13806"/>
    <tableColumn id="13821" xr3:uid="{642B2259-F5B7-43E7-B71E-4550AD237209}" name="Column13807"/>
    <tableColumn id="13822" xr3:uid="{1D6B3FC4-4C5C-4718-BAE9-727B453C8CF8}" name="Column13808"/>
    <tableColumn id="13823" xr3:uid="{1F08355A-3141-4ABA-ADC9-740F516D8BF2}" name="Column13809"/>
    <tableColumn id="13824" xr3:uid="{00D8CD16-C0FB-49D6-A089-5ADEAE5A2221}" name="Column13810"/>
    <tableColumn id="13825" xr3:uid="{BD52F3D1-58C9-4A08-9D5A-EABEE0513939}" name="Column13811"/>
    <tableColumn id="13826" xr3:uid="{2A8ACE48-D6AA-4D6B-A35D-DC999907AE3B}" name="Column13812"/>
    <tableColumn id="13827" xr3:uid="{723A005E-147D-4B95-B0B3-4D19317A9D0E}" name="Column13813"/>
    <tableColumn id="13828" xr3:uid="{DC675DED-5AED-41F9-9D45-FCFB497FDF24}" name="Column13814"/>
    <tableColumn id="13829" xr3:uid="{CE807129-7875-4F07-84D4-F0FC17802D1C}" name="Column13815"/>
    <tableColumn id="13830" xr3:uid="{17F9BD3B-E1E9-42B7-AAD5-B63708CAB667}" name="Column13816"/>
    <tableColumn id="13831" xr3:uid="{BCE8D9A5-D028-4C30-BE3E-91A4B4A83E18}" name="Column13817"/>
    <tableColumn id="13832" xr3:uid="{7EF45B1C-36E4-436B-8316-1700F16B81EF}" name="Column13818"/>
    <tableColumn id="13833" xr3:uid="{343234AF-C3E0-463E-BE22-D50D1AAA503D}" name="Column13819"/>
    <tableColumn id="13834" xr3:uid="{E2A25BEA-0BA1-4EF3-B543-F00BD6E98BB1}" name="Column13820"/>
    <tableColumn id="13835" xr3:uid="{E7B9EA04-DDB9-4C3A-89AA-F9BFF0CCC7B3}" name="Column13821"/>
    <tableColumn id="13836" xr3:uid="{27948BDE-E934-418B-852B-AE5FEF204D5E}" name="Column13822"/>
    <tableColumn id="13837" xr3:uid="{B176145C-D49F-4FA3-B37E-5298FBF9A8DB}" name="Column13823"/>
    <tableColumn id="13838" xr3:uid="{5F27CF34-938D-4793-A988-A25C81F25642}" name="Column13824"/>
    <tableColumn id="13839" xr3:uid="{348B2814-F4F1-4632-B260-A1A50CE8B616}" name="Column13825"/>
    <tableColumn id="13840" xr3:uid="{E2F4A458-1D03-4FAE-AE16-74B0B16D1D4D}" name="Column13826"/>
    <tableColumn id="13841" xr3:uid="{C63CDD08-FE24-41D8-8D40-C2457B7D4ED8}" name="Column13827"/>
    <tableColumn id="13842" xr3:uid="{05612E53-F225-4FAD-ACDF-E775DCA7B757}" name="Column13828"/>
    <tableColumn id="13843" xr3:uid="{456A28C0-9526-4292-92E5-1B58340FE2F5}" name="Column13829"/>
    <tableColumn id="13844" xr3:uid="{D49E389C-CFEE-49DC-BC41-54A0AC6724D6}" name="Column13830"/>
    <tableColumn id="13845" xr3:uid="{EB4168F1-D9F8-404C-BB31-E1B6AF1DA59C}" name="Column13831"/>
    <tableColumn id="13846" xr3:uid="{BD7FC4EE-E41C-4D61-B0CE-44587E318D63}" name="Column13832"/>
    <tableColumn id="13847" xr3:uid="{76351E18-8292-4EF4-BC74-D2C81BDD1A53}" name="Column13833"/>
    <tableColumn id="13848" xr3:uid="{5D3AD807-3B79-457B-A936-DF8D08176056}" name="Column13834"/>
    <tableColumn id="13849" xr3:uid="{9E557F3D-7292-40CC-B0A5-4F9C25861C3F}" name="Column13835"/>
    <tableColumn id="13850" xr3:uid="{0F8B0FBC-AE43-4FDE-AE4F-64C541832E32}" name="Column13836"/>
    <tableColumn id="13851" xr3:uid="{AFC4E935-56FE-4707-B0CC-1AB7E5C295BD}" name="Column13837"/>
    <tableColumn id="13852" xr3:uid="{6427972A-C3FD-4297-978D-D32EE67E276A}" name="Column13838"/>
    <tableColumn id="13853" xr3:uid="{5176738B-B53C-4BAF-AA27-593F096C5998}" name="Column13839"/>
    <tableColumn id="13854" xr3:uid="{19E62549-D81E-4D2A-8B66-F49166330C36}" name="Column13840"/>
    <tableColumn id="13855" xr3:uid="{54CAEB5C-4244-4AD5-880F-89D9E47681E4}" name="Column13841"/>
    <tableColumn id="13856" xr3:uid="{FBD27548-BE3B-474A-910F-C99B2A11CEA0}" name="Column13842"/>
    <tableColumn id="13857" xr3:uid="{DB0344C8-8E6F-4769-99E1-9CD7347F333A}" name="Column13843"/>
    <tableColumn id="13858" xr3:uid="{5000B32E-D742-4C64-8B8F-7A0AC3B6AEF0}" name="Column13844"/>
    <tableColumn id="13859" xr3:uid="{0830DA68-2D95-4E33-A4EF-A57801719CC5}" name="Column13845"/>
    <tableColumn id="13860" xr3:uid="{9D2A3E60-0C30-43D7-882C-6883C4D9C21D}" name="Column13846"/>
    <tableColumn id="13861" xr3:uid="{4E632890-A20F-45D6-8A9D-C3094C1C6E94}" name="Column13847"/>
    <tableColumn id="13862" xr3:uid="{D26ACBD8-E1E9-4AE8-B12F-2D2121EAC332}" name="Column13848"/>
    <tableColumn id="13863" xr3:uid="{3C40C92D-BAE5-45B1-8B46-FE0EDA1CFD9E}" name="Column13849"/>
    <tableColumn id="13864" xr3:uid="{8E54277C-2892-46C9-AD97-0FD0B16F382E}" name="Column13850"/>
    <tableColumn id="13865" xr3:uid="{6CB86EF2-F9AA-46F9-BB57-6F5F6C3ADE64}" name="Column13851"/>
    <tableColumn id="13866" xr3:uid="{15B22870-CC8F-44CD-A216-1F669B0A4C3D}" name="Column13852"/>
    <tableColumn id="13867" xr3:uid="{B32083CB-23A0-4CD0-ACE2-5A4B84FBA85A}" name="Column13853"/>
    <tableColumn id="13868" xr3:uid="{E4CD3B35-5138-41C7-BB3E-4A6613618FA7}" name="Column13854"/>
    <tableColumn id="13869" xr3:uid="{BCC44905-4BCB-4EF4-A9D2-00399677182A}" name="Column13855"/>
    <tableColumn id="13870" xr3:uid="{C8B5310B-E297-4581-A0FD-BC164714CAAA}" name="Column13856"/>
    <tableColumn id="13871" xr3:uid="{A2307E8C-AF5E-4BA1-BB07-7A39D40FF35B}" name="Column13857"/>
    <tableColumn id="13872" xr3:uid="{DD3170D7-F1C2-413B-9541-98995D345348}" name="Column13858"/>
    <tableColumn id="13873" xr3:uid="{0B379AB6-B69B-4DE9-B084-B98825445657}" name="Column13859"/>
    <tableColumn id="13874" xr3:uid="{2CED7E44-27B2-4764-B7B6-CB9B87F28BCF}" name="Column13860"/>
    <tableColumn id="13875" xr3:uid="{FB5F927F-E3EC-49E8-B115-62B49E0824CB}" name="Column13861"/>
    <tableColumn id="13876" xr3:uid="{32738820-66EB-4CCA-9167-342005536132}" name="Column13862"/>
    <tableColumn id="13877" xr3:uid="{4CFE8F42-7BF0-484C-894D-114CECF4CB4E}" name="Column13863"/>
    <tableColumn id="13878" xr3:uid="{BB72F829-38EF-4484-B8B4-93F1327D6BB1}" name="Column13864"/>
    <tableColumn id="13879" xr3:uid="{AD73177F-4917-4A14-B0C3-241C9AC270C2}" name="Column13865"/>
    <tableColumn id="13880" xr3:uid="{47979B71-6CA0-4069-990F-6FD12C6C6E05}" name="Column13866"/>
    <tableColumn id="13881" xr3:uid="{3D8B0928-DA59-4336-8CA1-41F1C518E0CD}" name="Column13867"/>
    <tableColumn id="13882" xr3:uid="{A2E86393-0081-4217-B2CC-73B06D0B8DEC}" name="Column13868"/>
    <tableColumn id="13883" xr3:uid="{EE1A807B-8172-4C42-B7B5-7A5A5DBBB0C7}" name="Column13869"/>
    <tableColumn id="13884" xr3:uid="{47EBAD3E-0903-4C61-BB47-64D33A072BF4}" name="Column13870"/>
    <tableColumn id="13885" xr3:uid="{4EF01B1F-4374-413E-999C-05B93B82EC3F}" name="Column13871"/>
    <tableColumn id="13886" xr3:uid="{E7A54059-87CC-48EE-B508-C3FCD6D61E92}" name="Column13872"/>
    <tableColumn id="13887" xr3:uid="{8EA25535-62DD-4CD3-AB2F-59BC097E9885}" name="Column13873"/>
    <tableColumn id="13888" xr3:uid="{B55E7B3F-8755-4500-80A7-43EDE32B5B6E}" name="Column13874"/>
    <tableColumn id="13889" xr3:uid="{88B1A95D-4BAC-4062-9E31-C8382F4FC088}" name="Column13875"/>
    <tableColumn id="13890" xr3:uid="{687CDCA6-BA28-4B04-9868-B3635A1F352F}" name="Column13876"/>
    <tableColumn id="13891" xr3:uid="{761ADA42-7223-4CA7-9C6D-C2F42E65C2A4}" name="Column13877"/>
    <tableColumn id="13892" xr3:uid="{48DFCD18-5F3B-40C3-AC53-C81CD44FDA55}" name="Column13878"/>
    <tableColumn id="13893" xr3:uid="{650E3001-8EA7-4E6A-8BA2-CDA96B08EC8F}" name="Column13879"/>
    <tableColumn id="13894" xr3:uid="{4F0537DE-975A-47EF-BB9C-19989AB078A3}" name="Column13880"/>
    <tableColumn id="13895" xr3:uid="{0A6D406F-FA01-4B92-B828-D0F61BCE4C7C}" name="Column13881"/>
    <tableColumn id="13896" xr3:uid="{0163A00B-1460-4D13-80D4-C534824BB84F}" name="Column13882"/>
    <tableColumn id="13897" xr3:uid="{3DA5BF90-247B-4A91-B2BB-86F44DB9E11D}" name="Column13883"/>
    <tableColumn id="13898" xr3:uid="{BEDA1619-3F0C-4674-B967-5ECDD15D2998}" name="Column13884"/>
    <tableColumn id="13899" xr3:uid="{12DEB06D-2465-4CA6-AF5E-858CAD088E80}" name="Column13885"/>
    <tableColumn id="13900" xr3:uid="{CCEAE4C7-69F8-4383-AC2C-4073FFA60595}" name="Column13886"/>
    <tableColumn id="13901" xr3:uid="{F0505A1E-6DBD-4D9A-8163-8BFF70EB304D}" name="Column13887"/>
    <tableColumn id="13902" xr3:uid="{20461FAB-9F29-4F86-AD2F-AD7F50F8962F}" name="Column13888"/>
    <tableColumn id="13903" xr3:uid="{1313EA12-C9EB-4F36-801B-BDE6BD43A3F1}" name="Column13889"/>
    <tableColumn id="13904" xr3:uid="{6CB73FFB-6AEE-4694-BE1C-9F24378A5F50}" name="Column13890"/>
    <tableColumn id="13905" xr3:uid="{ABE11EF9-5FB3-45B7-AC0E-CF04B81C7D21}" name="Column13891"/>
    <tableColumn id="13906" xr3:uid="{33C970E2-6EA2-47BD-8A08-1C21D929A5F7}" name="Column13892"/>
    <tableColumn id="13907" xr3:uid="{6C0B0CDE-8281-4AE3-882C-46AB1C30BB7E}" name="Column13893"/>
    <tableColumn id="13908" xr3:uid="{9431BBC4-6816-4535-B939-E87305D226C8}" name="Column13894"/>
    <tableColumn id="13909" xr3:uid="{14D3A05C-EF5A-4537-9734-BEED762352B2}" name="Column13895"/>
    <tableColumn id="13910" xr3:uid="{D8779634-CF9C-4B05-9E3A-D233B8DC3C08}" name="Column13896"/>
    <tableColumn id="13911" xr3:uid="{5C69C09F-02F9-49B5-B255-761F1E037D46}" name="Column13897"/>
    <tableColumn id="13912" xr3:uid="{195B17B4-EB74-4435-9913-CE057D6F2391}" name="Column13898"/>
    <tableColumn id="13913" xr3:uid="{3AC97A4F-2CDC-4415-9937-5A1E7B99EA3E}" name="Column13899"/>
    <tableColumn id="13914" xr3:uid="{BD194B05-1987-4A53-90BE-B39BAD01D4B9}" name="Column13900"/>
    <tableColumn id="13915" xr3:uid="{906B7E48-3574-4991-BCB8-FCA649D41D92}" name="Column13901"/>
    <tableColumn id="13916" xr3:uid="{E6E8CE51-714B-4144-989B-2A7FE7BB2420}" name="Column13902"/>
    <tableColumn id="13917" xr3:uid="{41A6E402-70C4-487E-A5CB-7E02C3473CB4}" name="Column13903"/>
    <tableColumn id="13918" xr3:uid="{68601AFF-41C5-4FF4-A290-6AF5C6F4132F}" name="Column13904"/>
    <tableColumn id="13919" xr3:uid="{60ECAFCD-BD90-481D-BFA6-552269E7364A}" name="Column13905"/>
    <tableColumn id="13920" xr3:uid="{B3DDF4DB-5FDC-491A-A5B0-C6C7B3A50858}" name="Column13906"/>
    <tableColumn id="13921" xr3:uid="{F9E46ABD-1C7A-40BA-A422-2691B500A8F9}" name="Column13907"/>
    <tableColumn id="13922" xr3:uid="{CD90F4EB-9615-478A-A5A4-540B93882014}" name="Column13908"/>
    <tableColumn id="13923" xr3:uid="{E4E478EC-5DB4-40EA-BAA8-44A9AAD040FB}" name="Column13909"/>
    <tableColumn id="13924" xr3:uid="{C85CC4E7-8FC8-4627-9BF2-605D61F48F4C}" name="Column13910"/>
    <tableColumn id="13925" xr3:uid="{F744E019-E02A-49F6-BC59-4570E28282BB}" name="Column13911"/>
    <tableColumn id="13926" xr3:uid="{CC21E2E1-61F9-4643-8474-100AF121B3B1}" name="Column13912"/>
    <tableColumn id="13927" xr3:uid="{3C362467-6A89-4E31-8AC5-18784D4156BC}" name="Column13913"/>
    <tableColumn id="13928" xr3:uid="{E5AA9A67-A540-41DC-83EB-4BDFB63F6705}" name="Column13914"/>
    <tableColumn id="13929" xr3:uid="{2471F648-54DF-44FA-9FC5-4C658A7570FA}" name="Column13915"/>
    <tableColumn id="13930" xr3:uid="{2C2A7EC5-1C02-4B12-9713-519F02E4E3A5}" name="Column13916"/>
    <tableColumn id="13931" xr3:uid="{6350174F-6AD1-4FE3-8F11-DC1E8EE88B47}" name="Column13917"/>
    <tableColumn id="13932" xr3:uid="{3D32A32B-4537-4B77-9CA3-3D23992591E1}" name="Column13918"/>
    <tableColumn id="13933" xr3:uid="{A3869735-7AD7-4E0C-A9F1-572FF3790267}" name="Column13919"/>
    <tableColumn id="13934" xr3:uid="{EAAC8CB7-D386-4A8E-BA1D-03B69DAF09DC}" name="Column13920"/>
    <tableColumn id="13935" xr3:uid="{C323B03D-DCB3-4656-8BE5-1273A677F66C}" name="Column13921"/>
    <tableColumn id="13936" xr3:uid="{A3E14DA3-AA24-4A95-A988-E00CB0826D98}" name="Column13922"/>
    <tableColumn id="13937" xr3:uid="{E9FA61EE-EA51-4C48-B2B5-FE83F0E604FF}" name="Column13923"/>
    <tableColumn id="13938" xr3:uid="{F4A1472F-4C84-4256-8F95-ADC71455B95B}" name="Column13924"/>
    <tableColumn id="13939" xr3:uid="{9348C190-27E8-4010-B305-04068011EECB}" name="Column13925"/>
    <tableColumn id="13940" xr3:uid="{CD21CA47-2868-4042-82C9-38AB41CD1DA9}" name="Column13926"/>
    <tableColumn id="13941" xr3:uid="{E0BD2A6B-8AEF-4F3C-A80C-E66016C062F0}" name="Column13927"/>
    <tableColumn id="13942" xr3:uid="{BF1101CB-DDF1-45CC-B52F-EAD8150CCDB6}" name="Column13928"/>
    <tableColumn id="13943" xr3:uid="{E8539D93-132D-452A-84D0-DE682FA70474}" name="Column13929"/>
    <tableColumn id="13944" xr3:uid="{2BB9979F-727B-40D5-AD93-C1DDA292E696}" name="Column13930"/>
    <tableColumn id="13945" xr3:uid="{A5CEBDA9-8328-4968-BBB7-DF202A5C61FC}" name="Column13931"/>
    <tableColumn id="13946" xr3:uid="{31262371-84A8-4D20-BB14-393C5D99169D}" name="Column13932"/>
    <tableColumn id="13947" xr3:uid="{8E7671C3-87F8-4197-91D1-ECB0BE6BF0B1}" name="Column13933"/>
    <tableColumn id="13948" xr3:uid="{CE421A2A-1CB9-46A2-95E3-25632A666208}" name="Column13934"/>
    <tableColumn id="13949" xr3:uid="{7FBE6C98-FE70-483B-8C42-1F6AD038B163}" name="Column13935"/>
    <tableColumn id="13950" xr3:uid="{89F03230-C3AC-4F90-920C-7B40A3450B24}" name="Column13936"/>
    <tableColumn id="13951" xr3:uid="{56C8CC81-879E-476B-AE64-EC3E7AF8CBDD}" name="Column13937"/>
    <tableColumn id="13952" xr3:uid="{3D7D87DD-41B6-44F6-8249-42A65D761F40}" name="Column13938"/>
    <tableColumn id="13953" xr3:uid="{56252F9B-D41F-4073-9F15-E0570AFB5072}" name="Column13939"/>
    <tableColumn id="13954" xr3:uid="{97250FE8-C146-4FB8-957E-EEA428005881}" name="Column13940"/>
    <tableColumn id="13955" xr3:uid="{3E8E3B3E-384E-4056-9D3C-323404A30DE0}" name="Column13941"/>
    <tableColumn id="13956" xr3:uid="{442CC15A-AFDA-4DFC-964E-E88639239B35}" name="Column13942"/>
    <tableColumn id="13957" xr3:uid="{175B990F-01D7-4655-B994-5F5A00D9B598}" name="Column13943"/>
    <tableColumn id="13958" xr3:uid="{DB58C1EB-41F5-4856-83E7-82E216AE896F}" name="Column13944"/>
    <tableColumn id="13959" xr3:uid="{2884BA15-491E-40A6-B202-CBF4B1EB80CE}" name="Column13945"/>
    <tableColumn id="13960" xr3:uid="{16ABEA35-237C-436F-B894-823B65A355F6}" name="Column13946"/>
    <tableColumn id="13961" xr3:uid="{E2D58E87-9641-4000-B20C-03B13A7C60FF}" name="Column13947"/>
    <tableColumn id="13962" xr3:uid="{EF8E59C6-2CD1-4210-8C5A-13D7C9EFD256}" name="Column13948"/>
    <tableColumn id="13963" xr3:uid="{6AD2A584-303A-4FF6-A2C8-246F02D43817}" name="Column13949"/>
    <tableColumn id="13964" xr3:uid="{96697A14-B3F5-4414-9EA7-D33BF0BCB789}" name="Column13950"/>
    <tableColumn id="13965" xr3:uid="{936C5064-92F9-4C99-B64F-D0E2E968F2FC}" name="Column13951"/>
    <tableColumn id="13966" xr3:uid="{545F31C4-9CEF-458F-BF36-9F943A90C64B}" name="Column13952"/>
    <tableColumn id="13967" xr3:uid="{AE514151-59D9-4EA8-B179-1E7E9146D57A}" name="Column13953"/>
    <tableColumn id="13968" xr3:uid="{B6058453-0110-4E33-87E9-D5C2C7F64BE9}" name="Column13954"/>
    <tableColumn id="13969" xr3:uid="{E4EB400C-312E-4D16-8324-BB9802A7C6BE}" name="Column13955"/>
    <tableColumn id="13970" xr3:uid="{8F50EA5B-05E6-4CA9-9015-FC59114F7143}" name="Column13956"/>
    <tableColumn id="13971" xr3:uid="{9BFD14D8-8F73-448C-AF18-E50C325BFDB4}" name="Column13957"/>
    <tableColumn id="13972" xr3:uid="{AF2C07D3-8A1D-4825-854F-2077B69A85C8}" name="Column13958"/>
    <tableColumn id="13973" xr3:uid="{8BCC3E30-3E0A-4D11-96AE-71F167A9D75F}" name="Column13959"/>
    <tableColumn id="13974" xr3:uid="{4CCA2D75-57C2-417E-BC83-793FFDD61BFA}" name="Column13960"/>
    <tableColumn id="13975" xr3:uid="{8B857F1A-9E8C-43D1-9BE5-7557597F82BC}" name="Column13961"/>
    <tableColumn id="13976" xr3:uid="{36706064-6E43-44B4-BDE5-FD7278635537}" name="Column13962"/>
    <tableColumn id="13977" xr3:uid="{D9F664E0-15B0-4F69-AF10-664627998E97}" name="Column13963"/>
    <tableColumn id="13978" xr3:uid="{6ECA95A2-5B73-4318-9F1B-BC6D90A266B6}" name="Column13964"/>
    <tableColumn id="13979" xr3:uid="{165470BE-9B36-411D-B99F-0EAE6BF31FCE}" name="Column13965"/>
    <tableColumn id="13980" xr3:uid="{FB694A0E-B74E-4ED3-B1C0-9D41AE7C7FD4}" name="Column13966"/>
    <tableColumn id="13981" xr3:uid="{886C2EFA-E45C-40F4-B8C7-5DE1FE240C99}" name="Column13967"/>
    <tableColumn id="13982" xr3:uid="{25FD5484-91E3-4EE1-8D9A-1A1C268159FE}" name="Column13968"/>
    <tableColumn id="13983" xr3:uid="{C41667D6-649B-4601-9E93-0E1BEDF0A4CD}" name="Column13969"/>
    <tableColumn id="13984" xr3:uid="{36AB00F2-3591-4C3F-9B05-99541317D25B}" name="Column13970"/>
    <tableColumn id="13985" xr3:uid="{7852F605-C326-48A4-8A31-10AB92A56D4C}" name="Column13971"/>
    <tableColumn id="13986" xr3:uid="{337581C0-34CA-4E87-94AA-98F04762EF7B}" name="Column13972"/>
    <tableColumn id="13987" xr3:uid="{ACD0528D-E507-4120-BBFD-88B869C107ED}" name="Column13973"/>
    <tableColumn id="13988" xr3:uid="{F6FB743A-808D-46F5-8383-89A467853B0A}" name="Column13974"/>
    <tableColumn id="13989" xr3:uid="{162C36F5-25FC-48E5-8A91-91381AF8AE2E}" name="Column13975"/>
    <tableColumn id="13990" xr3:uid="{CD9735F0-297C-49CA-BE1B-6A43C9637335}" name="Column13976"/>
    <tableColumn id="13991" xr3:uid="{D0819097-8C55-45AD-ACB8-CC9E28B5056A}" name="Column13977"/>
    <tableColumn id="13992" xr3:uid="{08DE94C8-AD82-47B7-9328-524FC4C6E761}" name="Column13978"/>
    <tableColumn id="13993" xr3:uid="{8D6449A8-4AEF-47FF-8FA5-37D0FB2FBD9A}" name="Column13979"/>
    <tableColumn id="13994" xr3:uid="{630B7645-18A7-4AD6-B5CA-06D067821D44}" name="Column13980"/>
    <tableColumn id="13995" xr3:uid="{20C462C4-8AE0-4B12-9C89-160988784752}" name="Column13981"/>
    <tableColumn id="13996" xr3:uid="{C34C85E5-B145-4167-BC02-749CC750E0A1}" name="Column13982"/>
    <tableColumn id="13997" xr3:uid="{467D9CE8-633A-4785-A41E-9F7C883BD3B0}" name="Column13983"/>
    <tableColumn id="13998" xr3:uid="{018335F5-958F-4D54-990F-903D3A22A810}" name="Column13984"/>
    <tableColumn id="13999" xr3:uid="{22AAE1AB-5786-48D4-ACBE-4F07E0A21D80}" name="Column13985"/>
    <tableColumn id="14000" xr3:uid="{D99CAEE6-745B-4AD6-8908-7FE9B15F7781}" name="Column13986"/>
    <tableColumn id="14001" xr3:uid="{C886D1E5-25DB-4FCD-9D24-292585FC3405}" name="Column13987"/>
    <tableColumn id="14002" xr3:uid="{4193DAB9-ED30-40F2-9B2B-A4FACBA1DD78}" name="Column13988"/>
    <tableColumn id="14003" xr3:uid="{0E805BD9-CA01-4779-BB65-FB822C138F47}" name="Column13989"/>
    <tableColumn id="14004" xr3:uid="{54F085D6-3DD5-4974-8F8D-09B837E92F91}" name="Column13990"/>
    <tableColumn id="14005" xr3:uid="{64CDCBD8-C055-472E-9E5C-B7BC74F60E30}" name="Column13991"/>
    <tableColumn id="14006" xr3:uid="{E53477D2-9BA5-47D8-94B3-58C8D0E8056F}" name="Column13992"/>
    <tableColumn id="14007" xr3:uid="{1E165C7E-DA82-42AB-91F3-169084C01B30}" name="Column13993"/>
    <tableColumn id="14008" xr3:uid="{D3AB94CE-F32E-457A-A9A5-2D38431DA6C6}" name="Column13994"/>
    <tableColumn id="14009" xr3:uid="{A9D33092-6889-46AB-859A-25D3A4AF5E92}" name="Column13995"/>
    <tableColumn id="14010" xr3:uid="{3830F27C-EC9A-42EF-90DD-178CC986E468}" name="Column13996"/>
    <tableColumn id="14011" xr3:uid="{B6A4A911-1192-4D49-8CA9-474BB496358E}" name="Column13997"/>
    <tableColumn id="14012" xr3:uid="{CF682935-0562-4E22-B7B1-070E536013E8}" name="Column13998"/>
    <tableColumn id="14013" xr3:uid="{64BBA203-8238-4BCC-AF0F-E53ACA9C0F57}" name="Column13999"/>
    <tableColumn id="14014" xr3:uid="{BEB9B517-46E4-4D05-B5FF-D8B1EBD6F3DB}" name="Column14000"/>
    <tableColumn id="14015" xr3:uid="{D8406278-482E-4A8B-B89A-0C5CC22123F4}" name="Column14001"/>
    <tableColumn id="14016" xr3:uid="{C5E8E6C2-9047-4DDF-8CDA-DA1BD8C476F2}" name="Column14002"/>
    <tableColumn id="14017" xr3:uid="{28689E6F-ADBA-40CD-AAF2-025A89C2010A}" name="Column14003"/>
    <tableColumn id="14018" xr3:uid="{785AB5C2-9B87-40FB-B324-E587B098AF4F}" name="Column14004"/>
    <tableColumn id="14019" xr3:uid="{C6942FE7-770F-4BCF-8C6F-AEA704970EF9}" name="Column14005"/>
    <tableColumn id="14020" xr3:uid="{1A5176F0-539B-4045-9214-E4014B5B57EC}" name="Column14006"/>
    <tableColumn id="14021" xr3:uid="{B0D1A7D6-300D-44FE-84F1-8C9004B41F6D}" name="Column14007"/>
    <tableColumn id="14022" xr3:uid="{ABA989E7-1ED9-4CDA-BF6F-B6C704E3CC90}" name="Column14008"/>
    <tableColumn id="14023" xr3:uid="{757DAFEA-0101-4A22-AFBF-21BCD4573F06}" name="Column14009"/>
    <tableColumn id="14024" xr3:uid="{9D90AD89-072B-4566-8590-5D850B671275}" name="Column14010"/>
    <tableColumn id="14025" xr3:uid="{5323836D-9613-48AD-8BF4-297EB2F141E3}" name="Column14011"/>
    <tableColumn id="14026" xr3:uid="{3E55E313-86AD-4BBF-AF99-9A2446B67FFC}" name="Column14012"/>
    <tableColumn id="14027" xr3:uid="{5D29BF72-1DC9-47EE-B110-68B686F7F393}" name="Column14013"/>
    <tableColumn id="14028" xr3:uid="{8C4BE864-8D6E-4F28-9A0E-CB399BCE4C30}" name="Column14014"/>
    <tableColumn id="14029" xr3:uid="{9631B3DA-BC25-4DB5-8157-9F383BCC8822}" name="Column14015"/>
    <tableColumn id="14030" xr3:uid="{E651671D-219F-409F-AE13-FA73FD8C79DD}" name="Column14016"/>
    <tableColumn id="14031" xr3:uid="{1B794BA4-516D-44E8-918D-F564CC36BA81}" name="Column14017"/>
    <tableColumn id="14032" xr3:uid="{E7D6A39A-71B7-417D-BBFA-B124C4C0174E}" name="Column14018"/>
    <tableColumn id="14033" xr3:uid="{5EA0E7CF-E753-40C5-A377-EA8D2AE1A7BE}" name="Column14019"/>
    <tableColumn id="14034" xr3:uid="{DF5FB29B-AA2D-4087-9EA2-28F02E94BBDD}" name="Column14020"/>
    <tableColumn id="14035" xr3:uid="{44FD3592-34CD-4270-BC14-E417089148D9}" name="Column14021"/>
    <tableColumn id="14036" xr3:uid="{B8E0F80D-E927-4760-827C-3B579F8E317A}" name="Column14022"/>
    <tableColumn id="14037" xr3:uid="{DD7F0340-A03F-467B-B411-FC1D6A2EFD30}" name="Column14023"/>
    <tableColumn id="14038" xr3:uid="{60A45034-A17D-41FC-8EB4-FA92526C72AE}" name="Column14024"/>
    <tableColumn id="14039" xr3:uid="{4FD1CB1F-3662-4620-89DD-C318CE4F977B}" name="Column14025"/>
    <tableColumn id="14040" xr3:uid="{416BABC0-D3A7-4316-9BF8-D2617B9BEFFE}" name="Column14026"/>
    <tableColumn id="14041" xr3:uid="{186C6AC5-34A9-4547-B3E4-3C4D24EEA7FE}" name="Column14027"/>
    <tableColumn id="14042" xr3:uid="{54F4B428-04E1-4F78-843D-558CE421461A}" name="Column14028"/>
    <tableColumn id="14043" xr3:uid="{99F323F5-BEEA-4ED3-A663-88B448B2AA4C}" name="Column14029"/>
    <tableColumn id="14044" xr3:uid="{9E8A33E5-83BB-44A0-AA61-BED55178D082}" name="Column14030"/>
    <tableColumn id="14045" xr3:uid="{C4C19DE7-8AA8-4933-86E9-F2A9401EA18A}" name="Column14031"/>
    <tableColumn id="14046" xr3:uid="{141188A7-2AC8-458B-A679-C9663B4AEA1B}" name="Column14032"/>
    <tableColumn id="14047" xr3:uid="{78A100DB-86D1-4C11-9DCA-09B7770A2F54}" name="Column14033"/>
    <tableColumn id="14048" xr3:uid="{F65078A7-D491-4627-8764-F1A172FDAC80}" name="Column14034"/>
    <tableColumn id="14049" xr3:uid="{CA6B66BF-D3A0-4A17-B347-AAF99036F1A2}" name="Column14035"/>
    <tableColumn id="14050" xr3:uid="{28F96118-04AF-4761-BB8C-0A9DACAB28C1}" name="Column14036"/>
    <tableColumn id="14051" xr3:uid="{E9A4A770-BF97-4C45-B565-2B137F770FB9}" name="Column14037"/>
    <tableColumn id="14052" xr3:uid="{1DA38140-5A51-414A-8E04-2B34815C87A3}" name="Column14038"/>
    <tableColumn id="14053" xr3:uid="{641B7A0F-8AB5-44F0-9924-BC7F1A060386}" name="Column14039"/>
    <tableColumn id="14054" xr3:uid="{D4F12777-68F6-4098-8639-C3EAC83EF21A}" name="Column14040"/>
    <tableColumn id="14055" xr3:uid="{4C70B09D-0E22-426D-8617-973192100656}" name="Column14041"/>
    <tableColumn id="14056" xr3:uid="{764FFF93-DE02-49BC-A208-F46FF0A0F6FE}" name="Column14042"/>
    <tableColumn id="14057" xr3:uid="{09ABD621-94F2-41D6-8F1B-9E82CB6BBA2A}" name="Column14043"/>
    <tableColumn id="14058" xr3:uid="{C4078F77-414A-4C50-B00C-3B422367F9D2}" name="Column14044"/>
    <tableColumn id="14059" xr3:uid="{A3902BD7-9354-4F59-808D-CCFF3665FEEC}" name="Column14045"/>
    <tableColumn id="14060" xr3:uid="{611A733D-F54D-4610-B7F8-CFB5B3F78F10}" name="Column14046"/>
    <tableColumn id="14061" xr3:uid="{87E40CA5-5B3A-4E4E-A35E-FAA40317339D}" name="Column14047"/>
    <tableColumn id="14062" xr3:uid="{A594263B-1D37-4FD3-90CF-639C4A06774C}" name="Column14048"/>
    <tableColumn id="14063" xr3:uid="{57E5C243-AE67-42ED-AFA1-E9899073A3E8}" name="Column14049"/>
    <tableColumn id="14064" xr3:uid="{8D544CE5-4D8D-42A2-9CFD-0667762A69AA}" name="Column14050"/>
    <tableColumn id="14065" xr3:uid="{09137528-5E83-4E6B-A46A-4D4D505D13E3}" name="Column14051"/>
    <tableColumn id="14066" xr3:uid="{06A6F157-D346-4669-8D03-D0CE1CDC1FF9}" name="Column14052"/>
    <tableColumn id="14067" xr3:uid="{6C7D0562-1560-4710-9461-3CC30B294ECD}" name="Column14053"/>
    <tableColumn id="14068" xr3:uid="{2BE39A8B-740A-41F5-A6C7-92B6BBEECF5D}" name="Column14054"/>
    <tableColumn id="14069" xr3:uid="{D3A4B207-DACE-434D-8893-D64467D350B0}" name="Column14055"/>
    <tableColumn id="14070" xr3:uid="{525D668B-2854-498E-92AC-1E9580869E03}" name="Column14056"/>
    <tableColumn id="14071" xr3:uid="{00422188-245E-4509-A62C-E33310B48503}" name="Column14057"/>
    <tableColumn id="14072" xr3:uid="{1D148737-8276-492E-AAC4-8CA2618D3631}" name="Column14058"/>
    <tableColumn id="14073" xr3:uid="{49C84385-1CDC-48ED-947D-F6264FF7DD8A}" name="Column14059"/>
    <tableColumn id="14074" xr3:uid="{16BE815B-951C-46C0-BA28-77B0988870C3}" name="Column14060"/>
    <tableColumn id="14075" xr3:uid="{3B764AC0-CA6C-45D2-984C-7FE900EBB519}" name="Column14061"/>
    <tableColumn id="14076" xr3:uid="{D3D4580B-99AB-4737-B5C6-9ECF769E3D35}" name="Column14062"/>
    <tableColumn id="14077" xr3:uid="{35B1B0C3-9C2D-4E1B-90F3-C2F81870A88E}" name="Column14063"/>
    <tableColumn id="14078" xr3:uid="{74A7E1CC-6783-4F06-B1C4-C97B95E77F6A}" name="Column14064"/>
    <tableColumn id="14079" xr3:uid="{8702EE52-54CD-4C4F-9732-E0FB38F69C37}" name="Column14065"/>
    <tableColumn id="14080" xr3:uid="{9E4AE746-6D5F-492E-98F8-8FDF98C8918D}" name="Column14066"/>
    <tableColumn id="14081" xr3:uid="{A9C81208-2E92-47FC-BFC9-93AF574F6D92}" name="Column14067"/>
    <tableColumn id="14082" xr3:uid="{59B328C5-49F8-4134-8A3E-48FC9492F16C}" name="Column14068"/>
    <tableColumn id="14083" xr3:uid="{4C4095BF-8DD3-423B-83E1-23B83123AF48}" name="Column14069"/>
    <tableColumn id="14084" xr3:uid="{29CD71B9-4264-4573-9941-F7A42ABBC88B}" name="Column14070"/>
    <tableColumn id="14085" xr3:uid="{5FE2422F-2262-4AAF-B648-3F90DA35F4ED}" name="Column14071"/>
    <tableColumn id="14086" xr3:uid="{B476C913-85AA-413A-AC6E-5EB7467FB344}" name="Column14072"/>
    <tableColumn id="14087" xr3:uid="{EC1FB6B2-06D0-408E-92BB-5F609A11E752}" name="Column14073"/>
    <tableColumn id="14088" xr3:uid="{AB67523C-6455-47D2-B88A-2067BEF4C3A5}" name="Column14074"/>
    <tableColumn id="14089" xr3:uid="{E966CC7F-7E27-4D6A-B89A-BC1F9BC77971}" name="Column14075"/>
    <tableColumn id="14090" xr3:uid="{208572E4-C769-4A25-9A47-AAD2B9AA28C6}" name="Column14076"/>
    <tableColumn id="14091" xr3:uid="{0DFB4CB3-1720-45BC-AFD6-68C77834709C}" name="Column14077"/>
    <tableColumn id="14092" xr3:uid="{F53E356E-35A0-49CE-9991-3702897DB4A2}" name="Column14078"/>
    <tableColumn id="14093" xr3:uid="{7BA0EEC5-E4A3-4C6B-B911-C7C1F3E4EF20}" name="Column14079"/>
    <tableColumn id="14094" xr3:uid="{A45992DD-6808-4FE1-9687-362B4655FB23}" name="Column14080"/>
    <tableColumn id="14095" xr3:uid="{B35422FF-7685-4596-B0BB-C91E692DC452}" name="Column14081"/>
    <tableColumn id="14096" xr3:uid="{EB1E5025-8FCB-47F8-A83A-97EBC9BD4894}" name="Column14082"/>
    <tableColumn id="14097" xr3:uid="{EB834909-4DCC-4BA6-909A-84ABBA3C9656}" name="Column14083"/>
    <tableColumn id="14098" xr3:uid="{C8462337-CCFC-4BA0-9685-F304315B22CF}" name="Column14084"/>
    <tableColumn id="14099" xr3:uid="{89068F72-FB7A-43A4-9186-C820A8D7F7CE}" name="Column14085"/>
    <tableColumn id="14100" xr3:uid="{084490E3-6C6E-433C-AD56-80C7F43BD890}" name="Column14086"/>
    <tableColumn id="14101" xr3:uid="{DCCE2F17-21F6-43C4-B49A-608599FDA130}" name="Column14087"/>
    <tableColumn id="14102" xr3:uid="{AD820EB9-B932-4CC6-8A0A-CF44C2C812BB}" name="Column14088"/>
    <tableColumn id="14103" xr3:uid="{31325EEB-03F8-4AB2-8EBB-F483327BFD82}" name="Column14089"/>
    <tableColumn id="14104" xr3:uid="{01D505F8-3090-432A-A248-C415ED8DF63A}" name="Column14090"/>
    <tableColumn id="14105" xr3:uid="{2ABA6F87-C98F-444B-B4C5-A94889CD672A}" name="Column14091"/>
    <tableColumn id="14106" xr3:uid="{7196C4B8-CE63-4741-B6B4-1D19C8C27B8A}" name="Column14092"/>
    <tableColumn id="14107" xr3:uid="{91E2D2AF-CF63-4AD8-A824-DBB73D2A6C39}" name="Column14093"/>
    <tableColumn id="14108" xr3:uid="{19083049-F580-47B4-8F10-DCB378C44A5E}" name="Column14094"/>
    <tableColumn id="14109" xr3:uid="{B829D02B-E74E-435B-95E7-E1C63B4AF2D6}" name="Column14095"/>
    <tableColumn id="14110" xr3:uid="{0E535D9A-1CDA-47A0-B867-2BB40DB0BBD4}" name="Column14096"/>
    <tableColumn id="14111" xr3:uid="{9849CEC7-5C31-40D4-A64E-2E738C1A8E3E}" name="Column14097"/>
    <tableColumn id="14112" xr3:uid="{94611E4E-D71B-4246-AEDF-9397F63AACA2}" name="Column14098"/>
    <tableColumn id="14113" xr3:uid="{1B304E80-2FF0-4634-A165-DC3B94C7D1E1}" name="Column14099"/>
    <tableColumn id="14114" xr3:uid="{7648060B-34EE-45F1-A018-570C6D3F6BF8}" name="Column14100"/>
    <tableColumn id="14115" xr3:uid="{261F93EE-23EB-4607-8DA8-80D99A412C03}" name="Column14101"/>
    <tableColumn id="14116" xr3:uid="{317D582D-18BC-4FF5-A394-AF19C1B14942}" name="Column14102"/>
    <tableColumn id="14117" xr3:uid="{EDA4DC85-536A-49ED-A6C3-4B2F30F26CD2}" name="Column14103"/>
    <tableColumn id="14118" xr3:uid="{71E04032-CFE6-4D2C-BAB0-ACAD47719E68}" name="Column14104"/>
    <tableColumn id="14119" xr3:uid="{70DB5A3F-E951-47A7-AA16-9FA55926ADB2}" name="Column14105"/>
    <tableColumn id="14120" xr3:uid="{DD25B487-4CB1-40C2-A594-557F6099D391}" name="Column14106"/>
    <tableColumn id="14121" xr3:uid="{D28AC899-3B99-497A-8670-538B8C6F2A84}" name="Column14107"/>
    <tableColumn id="14122" xr3:uid="{F15AF891-2CAE-46DC-B396-1246DD730A66}" name="Column14108"/>
    <tableColumn id="14123" xr3:uid="{CD8D4749-BAF0-4C09-A351-CF9BA66CFE29}" name="Column14109"/>
    <tableColumn id="14124" xr3:uid="{FE765A0D-F455-452E-B946-75B7549F239B}" name="Column14110"/>
    <tableColumn id="14125" xr3:uid="{AE61B2E2-118B-45BE-AB6C-A4F83DB47F32}" name="Column14111"/>
    <tableColumn id="14126" xr3:uid="{5096CEA6-57BF-4165-B23A-FCB2A43C6163}" name="Column14112"/>
    <tableColumn id="14127" xr3:uid="{954B17FF-D5C7-4471-93CB-2F46869BFA31}" name="Column14113"/>
    <tableColumn id="14128" xr3:uid="{05E43DD7-06FE-4FBB-BB8D-C5682CE120AF}" name="Column14114"/>
    <tableColumn id="14129" xr3:uid="{3E2E1715-8F8D-40FC-9967-ED8678C63E9C}" name="Column14115"/>
    <tableColumn id="14130" xr3:uid="{07951489-8636-4760-B179-7672325E9B42}" name="Column14116"/>
    <tableColumn id="14131" xr3:uid="{B0A340D3-5AEC-4A99-AB21-1F0376767AA9}" name="Column14117"/>
    <tableColumn id="14132" xr3:uid="{E913E18F-2865-47F0-B2E9-A0F70BC506E5}" name="Column14118"/>
    <tableColumn id="14133" xr3:uid="{D142EECD-D03A-4F9D-985B-7C785E20D4FD}" name="Column14119"/>
    <tableColumn id="14134" xr3:uid="{BB1D9ECB-1419-4B78-9A30-2F54803F852F}" name="Column14120"/>
    <tableColumn id="14135" xr3:uid="{E9D5F88A-0B3E-4A84-B062-B45B35459B4B}" name="Column14121"/>
    <tableColumn id="14136" xr3:uid="{6770A990-7794-4560-A882-3A0A2555A539}" name="Column14122"/>
    <tableColumn id="14137" xr3:uid="{95794B07-C7F9-4990-86BB-36233F139B6A}" name="Column14123"/>
    <tableColumn id="14138" xr3:uid="{2DB70100-8375-4731-B121-810A9311F627}" name="Column14124"/>
    <tableColumn id="14139" xr3:uid="{4C165B74-AA27-4BEC-B70F-DA38D0D50090}" name="Column14125"/>
    <tableColumn id="14140" xr3:uid="{405EBE36-BDA9-4B7E-A0FE-5EFC2098B0CA}" name="Column14126"/>
    <tableColumn id="14141" xr3:uid="{22F61E3E-FA56-4F18-9F44-E223F107A881}" name="Column14127"/>
    <tableColumn id="14142" xr3:uid="{37F6F21D-4CD2-4298-9B1D-B4C2DFDAC0A0}" name="Column14128"/>
    <tableColumn id="14143" xr3:uid="{EC6D1D13-DFA2-4927-919F-D979E431CC7C}" name="Column14129"/>
    <tableColumn id="14144" xr3:uid="{0A7B1A93-55C4-410A-B589-AB94A8E457C9}" name="Column14130"/>
    <tableColumn id="14145" xr3:uid="{3F918768-A8F7-4B30-823C-EE1552ED76CC}" name="Column14131"/>
    <tableColumn id="14146" xr3:uid="{12CA4FEE-A484-4289-AB88-F4DA969B8E8F}" name="Column14132"/>
    <tableColumn id="14147" xr3:uid="{D69706BE-44B0-453A-BBF7-3259C8AAF8F7}" name="Column14133"/>
    <tableColumn id="14148" xr3:uid="{76798243-383C-4A73-B149-38DB91F42E12}" name="Column14134"/>
    <tableColumn id="14149" xr3:uid="{F3DF6441-1CBE-4D8C-9E24-0886219328D0}" name="Column14135"/>
    <tableColumn id="14150" xr3:uid="{91171919-F527-4DAF-8921-75B3D4D14F15}" name="Column14136"/>
    <tableColumn id="14151" xr3:uid="{35C732C8-6C79-460E-8F48-EDFE6BD98D4C}" name="Column14137"/>
    <tableColumn id="14152" xr3:uid="{DCA22CCC-8684-4D01-A6E0-9EFD9A91BC3C}" name="Column14138"/>
    <tableColumn id="14153" xr3:uid="{3386BC13-3ECE-4ECE-89D7-254EECE3F163}" name="Column14139"/>
    <tableColumn id="14154" xr3:uid="{B033561D-61F6-4EB2-A2F0-4D0B3135695C}" name="Column14140"/>
    <tableColumn id="14155" xr3:uid="{FBD65753-36ED-48FC-AF4E-804C4A9482F7}" name="Column14141"/>
    <tableColumn id="14156" xr3:uid="{1C4C60F8-1EDE-4683-B447-F65F0BE88D71}" name="Column14142"/>
    <tableColumn id="14157" xr3:uid="{2DD6A7D2-B781-4ADD-9CDD-C23E458A2DE6}" name="Column14143"/>
    <tableColumn id="14158" xr3:uid="{AC5559A0-15DC-493B-93AF-2D26C10A3A37}" name="Column14144"/>
    <tableColumn id="14159" xr3:uid="{398A0456-C318-44B6-82DC-25A9F6FA429D}" name="Column14145"/>
    <tableColumn id="14160" xr3:uid="{7688DF2F-792B-4C41-930B-025A5BB23925}" name="Column14146"/>
    <tableColumn id="14161" xr3:uid="{D0620304-885D-4331-8763-159C5ED8FE93}" name="Column14147"/>
    <tableColumn id="14162" xr3:uid="{D5DBF6B6-46D2-4228-8304-0D12E0DC591E}" name="Column14148"/>
    <tableColumn id="14163" xr3:uid="{A17E18D5-BBB7-4531-9B48-5C41BEEBDED1}" name="Column14149"/>
    <tableColumn id="14164" xr3:uid="{C19AF764-338D-481A-984C-5D7CFEABC585}" name="Column14150"/>
    <tableColumn id="14165" xr3:uid="{F6CAC439-61A8-495A-AC1F-6C7313C9F506}" name="Column14151"/>
    <tableColumn id="14166" xr3:uid="{332129C9-CF02-48EA-BEDC-4879E4BB756B}" name="Column14152"/>
    <tableColumn id="14167" xr3:uid="{9EEAEB49-3051-4443-8AE0-F11FF4DE746F}" name="Column14153"/>
    <tableColumn id="14168" xr3:uid="{619CB27C-F0B1-48D6-A219-CE1BC7A9795B}" name="Column14154"/>
    <tableColumn id="14169" xr3:uid="{05EDC65E-2424-4B03-8E51-9B0CC0B7E069}" name="Column14155"/>
    <tableColumn id="14170" xr3:uid="{31743368-C7E9-478B-9D7A-FD1B3A1F96EE}" name="Column14156"/>
    <tableColumn id="14171" xr3:uid="{915815CC-9575-45BE-86BE-0B224F2C411E}" name="Column14157"/>
    <tableColumn id="14172" xr3:uid="{09543E16-59D2-42CD-82B4-C55BA47F2FF6}" name="Column14158"/>
    <tableColumn id="14173" xr3:uid="{13C80F95-E4FB-40FD-9CB5-470F51DF73C8}" name="Column14159"/>
    <tableColumn id="14174" xr3:uid="{2A135DD1-CE56-4ABC-B896-FDA2C6543D8F}" name="Column14160"/>
    <tableColumn id="14175" xr3:uid="{B937A674-DBAC-4FBE-B611-2842B16D7C08}" name="Column14161"/>
    <tableColumn id="14176" xr3:uid="{815F3F4F-AAC7-4973-BBD8-178413D05DFD}" name="Column14162"/>
    <tableColumn id="14177" xr3:uid="{F715B7D3-3033-486B-8743-90D8FB2F10D2}" name="Column14163"/>
    <tableColumn id="14178" xr3:uid="{B5B67261-EB46-42F0-9B07-76F20B1CDBA9}" name="Column14164"/>
    <tableColumn id="14179" xr3:uid="{62E7252C-531A-41F9-821F-02E20795FB3D}" name="Column14165"/>
    <tableColumn id="14180" xr3:uid="{2DA1FD1D-851B-4A29-B6EC-1BDB9D49E933}" name="Column14166"/>
    <tableColumn id="14181" xr3:uid="{43F05175-F4CE-4DE8-914C-52E6BCA5F27B}" name="Column14167"/>
    <tableColumn id="14182" xr3:uid="{CA943037-7F62-44DC-A44B-4C3CB8130E57}" name="Column14168"/>
    <tableColumn id="14183" xr3:uid="{101A450C-BDCF-4437-89F9-7E64E9FE6747}" name="Column14169"/>
    <tableColumn id="14184" xr3:uid="{C767438B-6941-40BF-A265-5688ED7EE01A}" name="Column14170"/>
    <tableColumn id="14185" xr3:uid="{34553ED5-3400-43B6-A8CC-352F5FCD21C7}" name="Column14171"/>
    <tableColumn id="14186" xr3:uid="{ABD4E439-D249-42C2-8F8E-0DDDD28F7D1C}" name="Column14172"/>
    <tableColumn id="14187" xr3:uid="{0F4F0175-0177-4ACC-AF81-14D416DB39AD}" name="Column14173"/>
    <tableColumn id="14188" xr3:uid="{5256EB61-50F4-409B-8B08-C8BE624D439F}" name="Column14174"/>
    <tableColumn id="14189" xr3:uid="{72A5EBD3-9A5A-4907-A3F2-B68A109EB4D8}" name="Column14175"/>
    <tableColumn id="14190" xr3:uid="{D636F94D-274B-4EA8-900A-7DEBFEC7D1F8}" name="Column14176"/>
    <tableColumn id="14191" xr3:uid="{2CCDB1BA-42FE-4500-8013-89127AFA3059}" name="Column14177"/>
    <tableColumn id="14192" xr3:uid="{769D3E24-11C7-4B37-BC64-D6C4AEF36301}" name="Column14178"/>
    <tableColumn id="14193" xr3:uid="{BB3672B8-F76D-4903-A8B3-489082FF6B18}" name="Column14179"/>
    <tableColumn id="14194" xr3:uid="{CAFBE60B-FFE2-4553-81B8-0D25505C71C5}" name="Column14180"/>
    <tableColumn id="14195" xr3:uid="{6318054B-68B7-476D-B1A1-7D4E9484CBE2}" name="Column14181"/>
    <tableColumn id="14196" xr3:uid="{6DB0BB5D-0C7D-45CE-A077-2525A42BB6BA}" name="Column14182"/>
    <tableColumn id="14197" xr3:uid="{799DF221-08A8-45AB-8B46-AE7207F86831}" name="Column14183"/>
    <tableColumn id="14198" xr3:uid="{96728E7A-1970-49E7-A0EA-BC791530BF0C}" name="Column14184"/>
    <tableColumn id="14199" xr3:uid="{BA217836-7DF2-4CB1-B538-081C87DBF1CF}" name="Column14185"/>
    <tableColumn id="14200" xr3:uid="{E3511E5A-C4E7-4FA8-89C9-84DA21A44B88}" name="Column14186"/>
    <tableColumn id="14201" xr3:uid="{9BFCB81A-8D07-4783-965D-D469D4D48660}" name="Column14187"/>
    <tableColumn id="14202" xr3:uid="{8CDBE021-5EDF-44A3-8FA8-B3DCB45F981B}" name="Column14188"/>
    <tableColumn id="14203" xr3:uid="{5285176A-101D-493E-87BD-CD6C421032A5}" name="Column14189"/>
    <tableColumn id="14204" xr3:uid="{1BF3566A-03ED-4000-83D6-5B11DCC6B95A}" name="Column14190"/>
    <tableColumn id="14205" xr3:uid="{E8CA86B0-7F97-4B15-9452-29DEAB2BF41F}" name="Column14191"/>
    <tableColumn id="14206" xr3:uid="{88AE1AA8-A546-41D0-AD88-4A83626ED969}" name="Column14192"/>
    <tableColumn id="14207" xr3:uid="{3508F37D-28D7-4C69-9BC7-3BC2EC23E4D1}" name="Column14193"/>
    <tableColumn id="14208" xr3:uid="{80C2544F-EB82-4CEF-A754-9A7FA0FC86E1}" name="Column14194"/>
    <tableColumn id="14209" xr3:uid="{32BC821E-A187-49D6-8308-DBD86C41E59D}" name="Column14195"/>
    <tableColumn id="14210" xr3:uid="{9170C963-84A1-4C45-B1E6-1073802E2AF0}" name="Column14196"/>
    <tableColumn id="14211" xr3:uid="{180A2F87-16E4-4546-A1A1-4996B058C6F8}" name="Column14197"/>
    <tableColumn id="14212" xr3:uid="{98416B0E-AEFF-418A-ADBC-F19A6652937C}" name="Column14198"/>
    <tableColumn id="14213" xr3:uid="{7498C28D-30B2-4AB6-B694-AA23FC980853}" name="Column14199"/>
    <tableColumn id="14214" xr3:uid="{01CDFBFC-6EE2-48C6-9706-9D9BE2BAEE49}" name="Column14200"/>
    <tableColumn id="14215" xr3:uid="{FBB23352-7CBA-47E8-B1D0-14E5AA8716CD}" name="Column14201"/>
    <tableColumn id="14216" xr3:uid="{C1EEC2BA-17E8-4946-871F-93F941064526}" name="Column14202"/>
    <tableColumn id="14217" xr3:uid="{ECA0AA9C-6632-4678-8CA1-824D3B69D5E3}" name="Column14203"/>
    <tableColumn id="14218" xr3:uid="{2FBF6B92-752A-4C18-A6BF-7901E5E9B370}" name="Column14204"/>
    <tableColumn id="14219" xr3:uid="{E2BF37B8-C3E7-49A0-8171-2FA4330446BE}" name="Column14205"/>
    <tableColumn id="14220" xr3:uid="{9EB68DFE-69FA-4DC4-A3CE-F3BD12AC64A4}" name="Column14206"/>
    <tableColumn id="14221" xr3:uid="{4DDF4DEF-4999-4CF3-A800-1CC31A626C0B}" name="Column14207"/>
    <tableColumn id="14222" xr3:uid="{1FCE338C-6816-4EE3-B724-387E452268A3}" name="Column14208"/>
    <tableColumn id="14223" xr3:uid="{8FB00199-0819-4715-A82C-A3A374841193}" name="Column14209"/>
    <tableColumn id="14224" xr3:uid="{35379896-46F0-42CF-AE33-0B8EEF8173FA}" name="Column14210"/>
    <tableColumn id="14225" xr3:uid="{AD8CFACA-93C0-4A88-BA03-4C73507ED3F2}" name="Column14211"/>
    <tableColumn id="14226" xr3:uid="{5F93271E-A2B6-455B-B2E9-BCA8DC3E0D6F}" name="Column14212"/>
    <tableColumn id="14227" xr3:uid="{385BABE2-B3A1-4BF0-8D17-68EAA0218882}" name="Column14213"/>
    <tableColumn id="14228" xr3:uid="{F7B57DF5-0C29-49AF-B963-BA5EA78886C9}" name="Column14214"/>
    <tableColumn id="14229" xr3:uid="{8DD38016-F603-4230-AFC9-97255C9168F9}" name="Column14215"/>
    <tableColumn id="14230" xr3:uid="{127EE2E2-7952-41DB-A97D-174EB39A0B1D}" name="Column14216"/>
    <tableColumn id="14231" xr3:uid="{A7DA93EA-A00F-4E68-9159-138DE43AE90F}" name="Column14217"/>
    <tableColumn id="14232" xr3:uid="{CC9F56BA-6C43-43AB-9C9B-B2261D454502}" name="Column14218"/>
    <tableColumn id="14233" xr3:uid="{A761A43C-9BF5-4FD5-8D52-6C1D8032BBAB}" name="Column14219"/>
    <tableColumn id="14234" xr3:uid="{523C8A49-F28F-4161-B1B5-4031D498B436}" name="Column14220"/>
    <tableColumn id="14235" xr3:uid="{A64AF214-B0CE-409E-A4CA-83E4D6DDAC4E}" name="Column14221"/>
    <tableColumn id="14236" xr3:uid="{58807B6F-1E55-49F1-9B90-DE059416A517}" name="Column14222"/>
    <tableColumn id="14237" xr3:uid="{E0FA94DF-B1EC-4A55-8F7B-3AD0A4FABCAD}" name="Column14223"/>
    <tableColumn id="14238" xr3:uid="{C4CF36A4-ED8E-459C-8A13-E972C8DB9BA8}" name="Column14224"/>
    <tableColumn id="14239" xr3:uid="{0118BED2-C401-43C8-AF1A-10D43FCF634F}" name="Column14225"/>
    <tableColumn id="14240" xr3:uid="{0FCC9BCB-6C94-4B4A-8EF2-CD090D21191B}" name="Column14226"/>
    <tableColumn id="14241" xr3:uid="{F5DE42A0-A603-4E43-862B-3BDA06A8E7A8}" name="Column14227"/>
    <tableColumn id="14242" xr3:uid="{017B4E1F-B1EB-411C-8E21-B3FFD22171E6}" name="Column14228"/>
    <tableColumn id="14243" xr3:uid="{D60DB396-A8D1-41D1-8A75-9E269C9FA4AB}" name="Column14229"/>
    <tableColumn id="14244" xr3:uid="{73F9D2EE-0EAD-47D8-B06C-4D2A6900FF33}" name="Column14230"/>
    <tableColumn id="14245" xr3:uid="{7AF1FCD9-C3AF-4742-83FC-AC5B955FC371}" name="Column14231"/>
    <tableColumn id="14246" xr3:uid="{BFBA6507-F089-493E-978D-22D185DD34B1}" name="Column14232"/>
    <tableColumn id="14247" xr3:uid="{37249981-2605-47BA-90F1-05CC13768CAC}" name="Column14233"/>
    <tableColumn id="14248" xr3:uid="{F592B7A1-B624-493C-B0A5-2E64B32A36D3}" name="Column14234"/>
    <tableColumn id="14249" xr3:uid="{4A0662A2-65D9-4FEA-BEA6-143C0C4B7D64}" name="Column14235"/>
    <tableColumn id="14250" xr3:uid="{F91DDC85-EE3E-41E0-A4D4-AB754D4AEC83}" name="Column14236"/>
    <tableColumn id="14251" xr3:uid="{61CA45FB-B1E9-4ADE-97A8-1DF49687345D}" name="Column14237"/>
    <tableColumn id="14252" xr3:uid="{44DD5EF6-5B32-4A9C-9395-276746356250}" name="Column14238"/>
    <tableColumn id="14253" xr3:uid="{446187EA-8152-4039-8D30-EA12AFDD92D8}" name="Column14239"/>
    <tableColumn id="14254" xr3:uid="{3FBAE9F4-5367-4AED-A981-1B0356308A32}" name="Column14240"/>
    <tableColumn id="14255" xr3:uid="{FD293DD8-9D82-4373-A1BE-4CC9480A1B32}" name="Column14241"/>
    <tableColumn id="14256" xr3:uid="{61BC192A-AE67-4426-A742-0EE1232EA66A}" name="Column14242"/>
    <tableColumn id="14257" xr3:uid="{52AA864E-2139-4205-9F6E-23D8BD17E2FD}" name="Column14243"/>
    <tableColumn id="14258" xr3:uid="{D9137E5B-A880-4F53-BF1B-B094F958181A}" name="Column14244"/>
    <tableColumn id="14259" xr3:uid="{B21589DD-9380-4291-BAE7-BAA46E7B7254}" name="Column14245"/>
    <tableColumn id="14260" xr3:uid="{E34CA0A7-035E-48D3-8FED-996543954640}" name="Column14246"/>
    <tableColumn id="14261" xr3:uid="{B92D621E-15BC-4808-A49E-B9E9876B5FD6}" name="Column14247"/>
    <tableColumn id="14262" xr3:uid="{0A1FB3D1-19E5-472E-83D2-F9524991C486}" name="Column14248"/>
    <tableColumn id="14263" xr3:uid="{AB96C45E-2F9E-488C-B866-12587A1130E7}" name="Column14249"/>
    <tableColumn id="14264" xr3:uid="{258ACFC5-E0DF-4B8C-9127-264BB1E56804}" name="Column14250"/>
    <tableColumn id="14265" xr3:uid="{D76CD9DB-016A-47C6-8C13-9DF5A6A5A431}" name="Column14251"/>
    <tableColumn id="14266" xr3:uid="{BD8AC1AC-01CE-4A22-B702-F07EB034D3B1}" name="Column14252"/>
    <tableColumn id="14267" xr3:uid="{19C4BEF5-BA55-4A2F-B4D8-5E25BDC74CEC}" name="Column14253"/>
    <tableColumn id="14268" xr3:uid="{9DA449A4-EC12-4256-8CEA-2777AB12F69E}" name="Column14254"/>
    <tableColumn id="14269" xr3:uid="{16F7D9CF-304F-48D7-B7AE-8D8A05A9DB3F}" name="Column14255"/>
    <tableColumn id="14270" xr3:uid="{AF981B5F-FA1B-45FC-B101-F5D905F981C7}" name="Column14256"/>
    <tableColumn id="14271" xr3:uid="{917BD775-EF2F-454E-93B3-F95BFD997B2B}" name="Column14257"/>
    <tableColumn id="14272" xr3:uid="{B745DA65-494D-4C59-ABA9-02EBED66A6DF}" name="Column14258"/>
    <tableColumn id="14273" xr3:uid="{E9CEE99A-A6D9-4BCB-9FC0-900B8A8F2444}" name="Column14259"/>
    <tableColumn id="14274" xr3:uid="{9EC13478-16E3-4F92-92E1-9CB15BD31DC2}" name="Column14260"/>
    <tableColumn id="14275" xr3:uid="{AD2895E6-46D9-4BD5-97BE-71A23C434874}" name="Column14261"/>
    <tableColumn id="14276" xr3:uid="{36BC45C5-FA3C-47BA-A545-D6A067CCA422}" name="Column14262"/>
    <tableColumn id="14277" xr3:uid="{28534E31-2214-4646-873E-D2E9CA509B81}" name="Column14263"/>
    <tableColumn id="14278" xr3:uid="{90F180CE-B7AB-496C-8831-164D9607A994}" name="Column14264"/>
    <tableColumn id="14279" xr3:uid="{F6331F7C-9624-478E-ADBD-DEF5249A4680}" name="Column14265"/>
    <tableColumn id="14280" xr3:uid="{15BE69A7-57C8-4012-9A4E-FF5C1A457AAC}" name="Column14266"/>
    <tableColumn id="14281" xr3:uid="{3D7A0263-7D2B-424C-9A79-E63C949585A6}" name="Column14267"/>
    <tableColumn id="14282" xr3:uid="{4AEBB252-4E78-457E-BE00-F882062A7F14}" name="Column14268"/>
    <tableColumn id="14283" xr3:uid="{546C0D3D-C347-434F-BC1D-3C483E09430F}" name="Column14269"/>
    <tableColumn id="14284" xr3:uid="{4FF9DBEF-DE19-4778-B7DC-1CB2C3D35858}" name="Column14270"/>
    <tableColumn id="14285" xr3:uid="{EA86D2E3-61CC-4B2B-BE3E-07A9DA00FED0}" name="Column14271"/>
    <tableColumn id="14286" xr3:uid="{47596062-818E-4298-A4C2-2B73D1EE32B8}" name="Column14272"/>
    <tableColumn id="14287" xr3:uid="{18AF1CEC-91FB-401D-A32E-8F816166A9DB}" name="Column14273"/>
    <tableColumn id="14288" xr3:uid="{189F8B2B-B811-41D0-A124-793F99B5FA76}" name="Column14274"/>
    <tableColumn id="14289" xr3:uid="{AAAE5A8B-F9BB-4462-A169-4690149F6BEE}" name="Column14275"/>
    <tableColumn id="14290" xr3:uid="{916044EA-30B3-42B7-9B53-21CE07B144E9}" name="Column14276"/>
    <tableColumn id="14291" xr3:uid="{B0E0CE4C-CEE2-445D-B7CB-6B2D44A7F9A4}" name="Column14277"/>
    <tableColumn id="14292" xr3:uid="{AA5651B7-EECD-4918-8231-DF3CF7484674}" name="Column14278"/>
    <tableColumn id="14293" xr3:uid="{C164A77C-07AC-4923-A519-AE7029249B6F}" name="Column14279"/>
    <tableColumn id="14294" xr3:uid="{2B54C888-0CAD-433B-A056-5532E3617D0B}" name="Column14280"/>
    <tableColumn id="14295" xr3:uid="{6D4A1C17-942B-4080-A55F-45A314C17421}" name="Column14281"/>
    <tableColumn id="14296" xr3:uid="{5B324D71-1EEC-486B-8D28-620D25A2F6B9}" name="Column14282"/>
    <tableColumn id="14297" xr3:uid="{11122ABA-5537-41B8-B40B-5FC2C9489E20}" name="Column14283"/>
    <tableColumn id="14298" xr3:uid="{974E9440-416D-4E07-9DDC-0054C97098EA}" name="Column14284"/>
    <tableColumn id="14299" xr3:uid="{38A70A4B-A3D5-466F-A125-54574441032D}" name="Column14285"/>
    <tableColumn id="14300" xr3:uid="{488C9657-C7E6-4320-8FD2-7FD25B3A8F34}" name="Column14286"/>
    <tableColumn id="14301" xr3:uid="{0F564430-A8B3-4BA4-BAE1-299435B6CFC6}" name="Column14287"/>
    <tableColumn id="14302" xr3:uid="{B8049E8F-1A2F-4803-B4A8-88E8D6761D05}" name="Column14288"/>
    <tableColumn id="14303" xr3:uid="{A10764C3-0F10-47FF-A0EF-5616BC198864}" name="Column14289"/>
    <tableColumn id="14304" xr3:uid="{AA283564-2375-44C8-A673-5EFF94371E2D}" name="Column14290"/>
    <tableColumn id="14305" xr3:uid="{08392708-5754-4445-8FF1-1CBE12B62C2A}" name="Column14291"/>
    <tableColumn id="14306" xr3:uid="{D8C94188-C968-48AC-9463-341B4AB295F7}" name="Column14292"/>
    <tableColumn id="14307" xr3:uid="{8CA98272-D5E9-496F-8115-C8239D39E2FB}" name="Column14293"/>
    <tableColumn id="14308" xr3:uid="{6136D48D-4C1E-475B-9B4C-A5249A293056}" name="Column14294"/>
    <tableColumn id="14309" xr3:uid="{7638FDC7-628C-4400-B743-72D025DE960F}" name="Column14295"/>
    <tableColumn id="14310" xr3:uid="{C3DA14E2-0F09-4962-9BC3-41A6AC040CDC}" name="Column14296"/>
    <tableColumn id="14311" xr3:uid="{0AD35353-B7E3-4EC6-98FB-1078A89085D7}" name="Column14297"/>
    <tableColumn id="14312" xr3:uid="{4F9B7865-9D77-4998-B3A8-11F0B75D38E4}" name="Column14298"/>
    <tableColumn id="14313" xr3:uid="{BE0693F7-22A5-4240-A178-44E8555B8E4B}" name="Column14299"/>
    <tableColumn id="14314" xr3:uid="{036EE4EB-A436-4C59-B616-F903D8FF7E32}" name="Column14300"/>
    <tableColumn id="14315" xr3:uid="{C52C4B5A-51F3-4BE9-882D-0F2943F0916C}" name="Column14301"/>
    <tableColumn id="14316" xr3:uid="{37A023DB-B5C4-4C0C-B507-AD0B301FFE09}" name="Column14302"/>
    <tableColumn id="14317" xr3:uid="{0716220D-683A-4465-8FE1-6CA0C980A6E3}" name="Column14303"/>
    <tableColumn id="14318" xr3:uid="{3A58E93D-1558-40FB-AF0F-D289F31E4784}" name="Column14304"/>
    <tableColumn id="14319" xr3:uid="{23484A95-CADF-42BC-98DD-F6077174A964}" name="Column14305"/>
    <tableColumn id="14320" xr3:uid="{E1C5C588-A677-4F39-9EDE-E5E325C04AFA}" name="Column14306"/>
    <tableColumn id="14321" xr3:uid="{19270A8A-5B10-4850-B240-BA1219BEBE97}" name="Column14307"/>
    <tableColumn id="14322" xr3:uid="{D8034DA9-C728-4CF0-A9B3-CA204858384A}" name="Column14308"/>
    <tableColumn id="14323" xr3:uid="{0A70D3CF-B3E0-4CC2-ADB6-227D44E7EDB8}" name="Column14309"/>
    <tableColumn id="14324" xr3:uid="{ECB31DF0-E38D-46A9-8B45-83BEF25BD98F}" name="Column14310"/>
    <tableColumn id="14325" xr3:uid="{9E11E6DA-33A5-4B8C-A72C-A591649BE452}" name="Column14311"/>
    <tableColumn id="14326" xr3:uid="{C1AB9873-8A23-4AB9-A0BF-B27A1E19AD31}" name="Column14312"/>
    <tableColumn id="14327" xr3:uid="{486E3302-F4CE-4D33-A966-CF6B2DEA9D3E}" name="Column14313"/>
    <tableColumn id="14328" xr3:uid="{2C0C5766-CE7B-4B89-97E7-D4437883F23F}" name="Column14314"/>
    <tableColumn id="14329" xr3:uid="{DA739170-1E4B-4FA7-B7BC-6F4CA5C44A4A}" name="Column14315"/>
    <tableColumn id="14330" xr3:uid="{FBB70E06-1931-43B2-92CD-A043F48BE5BD}" name="Column14316"/>
    <tableColumn id="14331" xr3:uid="{BBFDE82A-39F8-4D8B-A388-B8E5AFAB41E0}" name="Column14317"/>
    <tableColumn id="14332" xr3:uid="{C39779C6-9F8F-4489-BFE4-76A12FF6F2A7}" name="Column14318"/>
    <tableColumn id="14333" xr3:uid="{CE6AB8FF-8F64-4392-AD01-89D532CC0001}" name="Column14319"/>
    <tableColumn id="14334" xr3:uid="{81182D0D-315E-4FC8-99ED-FD7A5CDA7504}" name="Column14320"/>
    <tableColumn id="14335" xr3:uid="{D0B91C7A-FF65-48B7-A9E9-1238E01282D4}" name="Column14321"/>
    <tableColumn id="14336" xr3:uid="{E83B3665-A227-4286-A37E-65572D266B79}" name="Column14322"/>
    <tableColumn id="14337" xr3:uid="{E7933E7A-1423-4838-BE52-17BF4E4A0C90}" name="Column14323"/>
    <tableColumn id="14338" xr3:uid="{744425AC-F52C-494D-A43E-1AF3F1F799A6}" name="Column14324"/>
    <tableColumn id="14339" xr3:uid="{1C0F0193-E11E-4EAF-80B9-C8C0DCBC6899}" name="Column14325"/>
    <tableColumn id="14340" xr3:uid="{38EF5D9C-D663-445C-A506-E931B680BF6E}" name="Column14326"/>
    <tableColumn id="14341" xr3:uid="{3F885411-5E30-49B6-80CC-7CCC650C234B}" name="Column14327"/>
    <tableColumn id="14342" xr3:uid="{F9C3D4F6-5DCE-4ECC-9E18-15304A07B292}" name="Column14328"/>
    <tableColumn id="14343" xr3:uid="{8C6A67E3-E095-410B-AD6E-45DFDC9D999C}" name="Column14329"/>
    <tableColumn id="14344" xr3:uid="{6DB6F184-8574-4D13-B53D-D6D7532C9F45}" name="Column14330"/>
    <tableColumn id="14345" xr3:uid="{E6D67354-79D3-4328-A543-1FF96B00CFDE}" name="Column14331"/>
    <tableColumn id="14346" xr3:uid="{AF7E285F-D5F9-4A45-8EAC-29CCA9BAC035}" name="Column14332"/>
    <tableColumn id="14347" xr3:uid="{9069E930-18B1-4064-81ED-334A7785E52E}" name="Column14333"/>
    <tableColumn id="14348" xr3:uid="{5056F8A3-DCB8-4A3E-9C33-160BFED74AA9}" name="Column14334"/>
    <tableColumn id="14349" xr3:uid="{3977950E-33EB-499A-B085-1B55F80E85A4}" name="Column14335"/>
    <tableColumn id="14350" xr3:uid="{A3D57C8F-6B63-47BB-90EA-2B3229E03ABA}" name="Column14336"/>
    <tableColumn id="14351" xr3:uid="{1B05E90C-F2E0-4328-890F-EC6AD3C61F94}" name="Column14337"/>
    <tableColumn id="14352" xr3:uid="{6C745E6F-B3B9-4B2A-9583-2266466B2324}" name="Column14338"/>
    <tableColumn id="14353" xr3:uid="{A8F9AEDF-2B13-494F-86FA-B2EF24B51AFA}" name="Column14339"/>
    <tableColumn id="14354" xr3:uid="{84D9FA40-FC75-4848-8D4D-91BCF38C1C99}" name="Column14340"/>
    <tableColumn id="14355" xr3:uid="{8922E2F1-0192-48FE-A655-5BAF960FED28}" name="Column14341"/>
    <tableColumn id="14356" xr3:uid="{5880D702-7557-48D1-B1BC-BA75317BA217}" name="Column14342"/>
    <tableColumn id="14357" xr3:uid="{B0FA77E9-C754-4ADB-BB98-1572B1615DDB}" name="Column14343"/>
    <tableColumn id="14358" xr3:uid="{EFB0ABED-F43A-4C2F-8054-401EC9B7A4F9}" name="Column14344"/>
    <tableColumn id="14359" xr3:uid="{780C116D-E464-40A6-B5D0-037F7B4379CF}" name="Column14345"/>
    <tableColumn id="14360" xr3:uid="{39D3065C-A714-4CD2-A188-3AEF3E073597}" name="Column14346"/>
    <tableColumn id="14361" xr3:uid="{10438D6A-9B4C-44A4-A9EB-4964322ACB1A}" name="Column14347"/>
    <tableColumn id="14362" xr3:uid="{EFEC59F7-62F5-4B6E-895D-8DB8D4FEF402}" name="Column14348"/>
    <tableColumn id="14363" xr3:uid="{A317A895-B961-455B-A640-FBF954F2D37C}" name="Column14349"/>
    <tableColumn id="14364" xr3:uid="{107DF021-7310-4D4C-93B7-285791EC29F0}" name="Column14350"/>
    <tableColumn id="14365" xr3:uid="{D468CDE4-13C2-4BDF-B78E-C1DECC85F383}" name="Column14351"/>
    <tableColumn id="14366" xr3:uid="{761AFD5C-85B9-4F3F-961B-C77E0D3A24F5}" name="Column14352"/>
    <tableColumn id="14367" xr3:uid="{1840666C-5DC6-4B36-8497-E46E1DB895A8}" name="Column14353"/>
    <tableColumn id="14368" xr3:uid="{21048C4A-872D-42D2-B2C8-F15AA12207A9}" name="Column14354"/>
    <tableColumn id="14369" xr3:uid="{7F079C8B-82F1-48D4-B378-1A67494D4035}" name="Column14355"/>
    <tableColumn id="14370" xr3:uid="{A8C07460-36E4-413B-8F19-2EB00371622C}" name="Column14356"/>
    <tableColumn id="14371" xr3:uid="{D600AAFB-025C-4DF2-9975-A16EEDB9BE04}" name="Column14357"/>
    <tableColumn id="14372" xr3:uid="{C57FC487-D2C5-45BE-A921-D0FCCC1F8E27}" name="Column14358"/>
    <tableColumn id="14373" xr3:uid="{08D7564F-B10B-470E-8367-09F60D2C05F6}" name="Column14359"/>
    <tableColumn id="14374" xr3:uid="{A38C6EDD-5B6D-4BD9-88FB-607D00D0B972}" name="Column14360"/>
    <tableColumn id="14375" xr3:uid="{D6DC48E9-7D11-44E8-B09C-119ECFAD2DA6}" name="Column14361"/>
    <tableColumn id="14376" xr3:uid="{16D796FE-124A-4D59-B1DF-3100A41418A7}" name="Column14362"/>
    <tableColumn id="14377" xr3:uid="{5A6EA41E-8D2E-407A-8DDD-9987F7D77C3E}" name="Column14363"/>
    <tableColumn id="14378" xr3:uid="{3A2D15E9-9C69-4E41-92C9-24F8A0516092}" name="Column14364"/>
    <tableColumn id="14379" xr3:uid="{C3CDC7A9-A902-411F-9EE6-09CB7B5368D3}" name="Column14365"/>
    <tableColumn id="14380" xr3:uid="{D58F5F86-F3B5-446B-9A84-EF02B73BDC9C}" name="Column14366"/>
    <tableColumn id="14381" xr3:uid="{64FF9FBB-21DA-4824-86F1-FB1064AAE371}" name="Column14367"/>
    <tableColumn id="14382" xr3:uid="{FEFCFE67-5C06-432D-BB89-8CB9C3370F8A}" name="Column14368"/>
    <tableColumn id="14383" xr3:uid="{21AC66F5-F73A-4AA4-82AA-7E71817116CE}" name="Column14369"/>
    <tableColumn id="14384" xr3:uid="{11DE5AA8-C62E-4A4A-8D9C-8280F102A5B8}" name="Column14370"/>
    <tableColumn id="14385" xr3:uid="{94FB3CC2-4E32-47AA-B4D6-0E6032E4267A}" name="Column14371"/>
    <tableColumn id="14386" xr3:uid="{3A599959-D272-4087-ACDA-852765F90AEF}" name="Column14372"/>
    <tableColumn id="14387" xr3:uid="{9DA70BE4-B916-470B-8A74-3EA4CBA1C901}" name="Column14373"/>
    <tableColumn id="14388" xr3:uid="{AEAABAD8-142C-42E2-B8C5-CB16122D02B8}" name="Column14374"/>
    <tableColumn id="14389" xr3:uid="{E7FA440C-1BDD-4DB5-AA1F-147BD43B5B2E}" name="Column14375"/>
    <tableColumn id="14390" xr3:uid="{AB1BF073-5219-4A12-8FD0-C05CB2F0E29F}" name="Column14376"/>
    <tableColumn id="14391" xr3:uid="{4391E15E-7A30-4866-B308-C437B4D5F4DE}" name="Column14377"/>
    <tableColumn id="14392" xr3:uid="{DA302CDA-9762-4ABB-87F1-0DEE0E54CDD6}" name="Column14378"/>
    <tableColumn id="14393" xr3:uid="{E5BDF834-882D-420E-9024-A8DC5CF6550E}" name="Column14379"/>
    <tableColumn id="14394" xr3:uid="{BCB65AC7-2875-4186-B753-8E773D620E50}" name="Column14380"/>
    <tableColumn id="14395" xr3:uid="{C4ED0327-2912-4BF7-9F90-FE9A49F47843}" name="Column14381"/>
    <tableColumn id="14396" xr3:uid="{8B93F150-48A7-4A54-ACB2-8B3C60BACA1B}" name="Column14382"/>
    <tableColumn id="14397" xr3:uid="{CD0FBBCE-50B6-4CA5-BC15-DE3C71FECFD7}" name="Column14383"/>
    <tableColumn id="14398" xr3:uid="{93874C6C-2EDB-4BCB-A00B-3F27100908C3}" name="Column14384"/>
    <tableColumn id="14399" xr3:uid="{EF2E4B85-DCFE-4215-B054-59EBD15DBE01}" name="Column14385"/>
    <tableColumn id="14400" xr3:uid="{0D4C673F-56AF-4C40-AE3B-E4EB738F1AD3}" name="Column14386"/>
    <tableColumn id="14401" xr3:uid="{63472B3E-D799-4AAF-909B-5C2DF8D9A24B}" name="Column14387"/>
    <tableColumn id="14402" xr3:uid="{67BF0478-924A-4833-ADB4-BF6B68EFBF7F}" name="Column14388"/>
    <tableColumn id="14403" xr3:uid="{152CFA5E-59B3-4FEE-B765-D48484BC640C}" name="Column14389"/>
    <tableColumn id="14404" xr3:uid="{31C050D2-E984-40B6-B6D4-FDB383133076}" name="Column14390"/>
    <tableColumn id="14405" xr3:uid="{04EA4A63-0671-4A4D-BC2D-F4907B3D7272}" name="Column14391"/>
    <tableColumn id="14406" xr3:uid="{32675622-BCE5-4D76-87A4-7DCDEF095DE3}" name="Column14392"/>
    <tableColumn id="14407" xr3:uid="{BD4DE91B-DC43-4BDE-8DE9-7334AD3347F7}" name="Column14393"/>
    <tableColumn id="14408" xr3:uid="{CCDD4F35-69C5-4FD8-91B0-906650DD8580}" name="Column14394"/>
    <tableColumn id="14409" xr3:uid="{F62D6EB7-AA55-448D-9CD1-DE835668EEA1}" name="Column14395"/>
    <tableColumn id="14410" xr3:uid="{B31E664C-8809-4092-83AA-DF759A9475FD}" name="Column14396"/>
    <tableColumn id="14411" xr3:uid="{8873631C-7559-4F88-91C5-8B51E2F630D6}" name="Column14397"/>
    <tableColumn id="14412" xr3:uid="{CF312249-5B80-48C4-B1AC-C33A186C6FCE}" name="Column14398"/>
    <tableColumn id="14413" xr3:uid="{390215FF-89C1-4FCC-989B-A337F61ED7E9}" name="Column14399"/>
    <tableColumn id="14414" xr3:uid="{BD1AE08C-EDF5-45CA-9E41-9A98A4648084}" name="Column14400"/>
    <tableColumn id="14415" xr3:uid="{FFC0CF4E-285E-48D5-A5E6-0E35561A26C3}" name="Column14401"/>
    <tableColumn id="14416" xr3:uid="{ACB31F74-701F-4663-8E24-E7951E122CEB}" name="Column14402"/>
    <tableColumn id="14417" xr3:uid="{6EAA5D81-3CF6-4060-9D17-CB5B8361D6B5}" name="Column14403"/>
    <tableColumn id="14418" xr3:uid="{740FA88D-BB49-49A2-AA1D-82A28EC10DC7}" name="Column14404"/>
    <tableColumn id="14419" xr3:uid="{E6B1D5B0-2879-48D6-A046-CB67A539F0FF}" name="Column14405"/>
    <tableColumn id="14420" xr3:uid="{CE50C797-8309-4EC0-A48D-81868638A68D}" name="Column14406"/>
    <tableColumn id="14421" xr3:uid="{570F8FB7-B486-4D12-83D5-925236E6265A}" name="Column14407"/>
    <tableColumn id="14422" xr3:uid="{D65BCB9B-A7F9-4AC7-90D2-12B261E5DC1C}" name="Column14408"/>
    <tableColumn id="14423" xr3:uid="{B7C8961A-CBA5-4EB3-92CF-48930A00FB80}" name="Column14409"/>
    <tableColumn id="14424" xr3:uid="{598A283A-0371-4EE5-9B45-931128A348D9}" name="Column14410"/>
    <tableColumn id="14425" xr3:uid="{29C43C91-B31D-4E00-9EF3-F6EC05E7BECE}" name="Column14411"/>
    <tableColumn id="14426" xr3:uid="{B5976731-B33C-45FA-8892-2590BDAFE421}" name="Column14412"/>
    <tableColumn id="14427" xr3:uid="{F8D5DEF5-E4C5-460D-89C9-08902CA38B22}" name="Column14413"/>
    <tableColumn id="14428" xr3:uid="{3B8840BC-239E-4CB0-9FA3-DF239463E211}" name="Column14414"/>
    <tableColumn id="14429" xr3:uid="{6163DE14-4D94-41AF-AC79-15DCA49CE4C3}" name="Column14415"/>
    <tableColumn id="14430" xr3:uid="{E75ECCBA-01E6-4F14-AA08-221634EF2888}" name="Column14416"/>
    <tableColumn id="14431" xr3:uid="{72B22E11-8B84-4B46-8892-EA6529648FBB}" name="Column14417"/>
    <tableColumn id="14432" xr3:uid="{BD02BE74-133F-4553-AB5C-E0EAF2B31B2F}" name="Column14418"/>
    <tableColumn id="14433" xr3:uid="{C11CA299-C40C-47F9-9E28-DCF6664686C9}" name="Column14419"/>
    <tableColumn id="14434" xr3:uid="{76562B82-46AB-4D79-A4C7-D0CBD8686495}" name="Column14420"/>
    <tableColumn id="14435" xr3:uid="{660E2DC6-6DCC-49CD-8EB3-8650B0CD474F}" name="Column14421"/>
    <tableColumn id="14436" xr3:uid="{C51C59A1-3587-44DC-BD12-04F2988F1D3A}" name="Column14422"/>
    <tableColumn id="14437" xr3:uid="{A73B3FF6-2B32-48A1-842C-20EEEEE5CF31}" name="Column14423"/>
    <tableColumn id="14438" xr3:uid="{F3E014AD-F68C-403C-95BD-8151822DD477}" name="Column14424"/>
    <tableColumn id="14439" xr3:uid="{66F5207E-D12A-4308-B000-D708C874CDC2}" name="Column14425"/>
    <tableColumn id="14440" xr3:uid="{09AB7C4C-D98F-41F6-953B-AFA71C6E6382}" name="Column14426"/>
    <tableColumn id="14441" xr3:uid="{A1E1D772-30F6-4266-9936-D08F0044DA9C}" name="Column14427"/>
    <tableColumn id="14442" xr3:uid="{59E34945-133D-43A9-B395-D3345904453E}" name="Column14428"/>
    <tableColumn id="14443" xr3:uid="{52AF06B8-90B7-4D6D-9DE6-D73C84B58EA1}" name="Column14429"/>
    <tableColumn id="14444" xr3:uid="{B656E243-5C07-4DEA-BEED-B9AE4C2EBB61}" name="Column14430"/>
    <tableColumn id="14445" xr3:uid="{42DF8244-D221-495B-9A5A-DBB23D30A4E2}" name="Column14431"/>
    <tableColumn id="14446" xr3:uid="{EC6C53C6-F4D4-4E24-A5FC-1BF18CF49171}" name="Column14432"/>
    <tableColumn id="14447" xr3:uid="{1BFEB214-7A7A-4028-9145-F29CED4B388D}" name="Column14433"/>
    <tableColumn id="14448" xr3:uid="{531D616E-1B54-404A-A2C0-9D3872D2C8E6}" name="Column14434"/>
    <tableColumn id="14449" xr3:uid="{84432BB7-9243-49A5-A20F-0BE3EB7307BF}" name="Column14435"/>
    <tableColumn id="14450" xr3:uid="{178E47AD-8A8F-47BE-950B-1DAAA57D10CF}" name="Column14436"/>
    <tableColumn id="14451" xr3:uid="{9C89E7D1-A73E-4AAA-8767-025EE64664B3}" name="Column14437"/>
    <tableColumn id="14452" xr3:uid="{CF8B3042-83F1-41DD-9C1D-CB42E89823CB}" name="Column14438"/>
    <tableColumn id="14453" xr3:uid="{07220A59-656C-4D67-BA43-695D4D786192}" name="Column14439"/>
    <tableColumn id="14454" xr3:uid="{587749B0-90FC-4A84-95D4-63C604E7CBCA}" name="Column14440"/>
    <tableColumn id="14455" xr3:uid="{9B2614E0-AC1D-438C-927F-7D7B8751D94C}" name="Column14441"/>
    <tableColumn id="14456" xr3:uid="{20D32394-254A-48D6-8472-3741FC6C3463}" name="Column14442"/>
    <tableColumn id="14457" xr3:uid="{FFA476E4-D9FB-4FEA-996F-7A6E51B95DAE}" name="Column14443"/>
    <tableColumn id="14458" xr3:uid="{64CBEDA4-D7BE-4E6F-BF40-EAF0FB225D35}" name="Column14444"/>
    <tableColumn id="14459" xr3:uid="{D1D49891-6268-4E73-BB81-8D970FC2DEEF}" name="Column14445"/>
    <tableColumn id="14460" xr3:uid="{0AEF4208-04BD-48B9-9AD3-D73D9035B8BC}" name="Column14446"/>
    <tableColumn id="14461" xr3:uid="{3DF6EDE9-7436-48A0-ACA4-69069FD11FE7}" name="Column14447"/>
    <tableColumn id="14462" xr3:uid="{3C071205-5688-44C8-B1DF-6C3588BE57E3}" name="Column14448"/>
    <tableColumn id="14463" xr3:uid="{786C53D3-17D9-4576-8047-2FD7D1769DE6}" name="Column14449"/>
    <tableColumn id="14464" xr3:uid="{6C8E363F-371B-4492-B1BE-EE21E01BE58B}" name="Column14450"/>
    <tableColumn id="14465" xr3:uid="{4274673D-5979-4FB9-82C2-0FAA0CB9C9A0}" name="Column14451"/>
    <tableColumn id="14466" xr3:uid="{B137E1F4-C181-4E15-B9F1-C654BC646648}" name="Column14452"/>
    <tableColumn id="14467" xr3:uid="{0DE1AA5C-1018-4B6B-9B76-3F14B37B6028}" name="Column14453"/>
    <tableColumn id="14468" xr3:uid="{9CCECB23-F851-424C-BC85-963BD8476D7C}" name="Column14454"/>
    <tableColumn id="14469" xr3:uid="{F50D1B0D-A081-4DD0-848E-CADFDDDA9842}" name="Column14455"/>
    <tableColumn id="14470" xr3:uid="{8C9D3D42-41BC-4714-B453-6E038AF41A0F}" name="Column14456"/>
    <tableColumn id="14471" xr3:uid="{08F5D628-D5FB-4D85-8FA0-21C88F1EF471}" name="Column14457"/>
    <tableColumn id="14472" xr3:uid="{EF8A283A-4802-4823-8EFF-967A8A42DF38}" name="Column14458"/>
    <tableColumn id="14473" xr3:uid="{773FACFE-BB84-422D-919D-B47000A90369}" name="Column14459"/>
    <tableColumn id="14474" xr3:uid="{A7E98F45-3AC3-4F60-8940-521736079100}" name="Column14460"/>
    <tableColumn id="14475" xr3:uid="{6B5F74B4-E205-4708-92E6-449FD8DD3CAF}" name="Column14461"/>
    <tableColumn id="14476" xr3:uid="{12521ECD-1DAF-4C5E-8206-8FDE143DA197}" name="Column14462"/>
    <tableColumn id="14477" xr3:uid="{D5422E15-1516-4648-96AA-D4895F0CBD09}" name="Column14463"/>
    <tableColumn id="14478" xr3:uid="{81EC09A9-D52B-4E4A-B754-224F6B92A71E}" name="Column14464"/>
    <tableColumn id="14479" xr3:uid="{B3A53FC7-C4AE-4E83-A059-B62A73FB8045}" name="Column14465"/>
    <tableColumn id="14480" xr3:uid="{8F9D48A2-C859-422F-A585-9D6789B7420E}" name="Column14466"/>
    <tableColumn id="14481" xr3:uid="{765D8BE1-1885-4126-A013-752D3E889384}" name="Column14467"/>
    <tableColumn id="14482" xr3:uid="{00569DC0-495F-4C86-82DF-FF7C3606876E}" name="Column14468"/>
    <tableColumn id="14483" xr3:uid="{E04FB54F-1D8D-4BF1-BDF7-28433A0A6A1B}" name="Column14469"/>
    <tableColumn id="14484" xr3:uid="{E5528224-E86C-42E8-9837-46CCAA6180A5}" name="Column14470"/>
    <tableColumn id="14485" xr3:uid="{2FA970C8-42EE-4A5C-B06E-3CA1ECF43C78}" name="Column14471"/>
    <tableColumn id="14486" xr3:uid="{EEB55410-35C4-4EFA-A2A1-20900A8A4E03}" name="Column14472"/>
    <tableColumn id="14487" xr3:uid="{652CB6C9-7A09-4F79-A73F-C01178EFC998}" name="Column14473"/>
    <tableColumn id="14488" xr3:uid="{A8B29173-ACDD-427D-A94D-1BEFCF87C29C}" name="Column14474"/>
    <tableColumn id="14489" xr3:uid="{E29B7CA8-B0F0-4BEC-BCBD-EB9719724748}" name="Column14475"/>
    <tableColumn id="14490" xr3:uid="{701A3BBC-5258-4486-88B2-FA22D16D1339}" name="Column14476"/>
    <tableColumn id="14491" xr3:uid="{AB3E6D17-A014-40D5-B3FA-3C75507B7A4F}" name="Column14477"/>
    <tableColumn id="14492" xr3:uid="{E09A1143-3DA6-4EB7-9736-F392CCB9F99A}" name="Column14478"/>
    <tableColumn id="14493" xr3:uid="{778B6BD4-8E8E-4B00-8D58-ADDCE9A19CEB}" name="Column14479"/>
    <tableColumn id="14494" xr3:uid="{96075D88-1A18-4FFC-A403-39595118C3BA}" name="Column14480"/>
    <tableColumn id="14495" xr3:uid="{BCF69A29-A226-4871-BA5D-BEE6AA1D9600}" name="Column14481"/>
    <tableColumn id="14496" xr3:uid="{9B17D54B-CFBE-466E-ACF3-86DDCCFBC5C9}" name="Column14482"/>
    <tableColumn id="14497" xr3:uid="{4E4AB32D-C57F-429A-9802-8E7850436791}" name="Column14483"/>
    <tableColumn id="14498" xr3:uid="{E90EEAC0-85D8-4B80-8987-0D36BB5AF1BD}" name="Column14484"/>
    <tableColumn id="14499" xr3:uid="{889F8AB2-2BF7-4C5D-A84E-CBA2715187BF}" name="Column14485"/>
    <tableColumn id="14500" xr3:uid="{1E1B850A-D00B-43B5-83A8-99F8CA357309}" name="Column14486"/>
    <tableColumn id="14501" xr3:uid="{2DDEFB00-4148-4394-A098-F824D30EBCEE}" name="Column14487"/>
    <tableColumn id="14502" xr3:uid="{86EA9A33-5EDB-4189-A6FB-1AEF5CEA7B50}" name="Column14488"/>
    <tableColumn id="14503" xr3:uid="{993DDD78-9FB0-4824-8BE0-83ABE90AF057}" name="Column14489"/>
    <tableColumn id="14504" xr3:uid="{78ACB4C8-E148-4BEA-A752-0C209CA9EF88}" name="Column14490"/>
    <tableColumn id="14505" xr3:uid="{85E55B10-5136-4B9A-BC2B-62B60E57B711}" name="Column14491"/>
    <tableColumn id="14506" xr3:uid="{6B16CE6C-884C-4721-8A3B-10797A2EAB0E}" name="Column14492"/>
    <tableColumn id="14507" xr3:uid="{4D3F5200-409B-4DF7-B025-CB4B6C61C000}" name="Column14493"/>
    <tableColumn id="14508" xr3:uid="{BCAF6D1F-B43D-4FD5-962F-E96702D10E9E}" name="Column14494"/>
    <tableColumn id="14509" xr3:uid="{0A72A1E1-167E-4E26-A43F-A98D161C599E}" name="Column14495"/>
    <tableColumn id="14510" xr3:uid="{2EA37F27-634B-47A8-BEAB-5037C28B63EE}" name="Column14496"/>
    <tableColumn id="14511" xr3:uid="{4EA3A363-5202-4E60-B13F-4376E7F47FFE}" name="Column14497"/>
    <tableColumn id="14512" xr3:uid="{E61BFC5A-D915-4DB5-9200-8FC4B8920E55}" name="Column14498"/>
    <tableColumn id="14513" xr3:uid="{F5D08738-5E52-4211-A110-3FF034FB337A}" name="Column14499"/>
    <tableColumn id="14514" xr3:uid="{4CBD61E0-265C-41DB-B648-699E22A88BE7}" name="Column14500"/>
    <tableColumn id="14515" xr3:uid="{481F8744-E090-4BD3-8970-41E1E3514BB3}" name="Column14501"/>
    <tableColumn id="14516" xr3:uid="{73F7D3E9-D661-4404-AEFA-F9B36A9A0933}" name="Column14502"/>
    <tableColumn id="14517" xr3:uid="{8879DA8F-3CC3-4A21-B932-2525DF557C84}" name="Column14503"/>
    <tableColumn id="14518" xr3:uid="{565CFF84-8F12-43DF-9BFD-94FF4B3F8CA6}" name="Column14504"/>
    <tableColumn id="14519" xr3:uid="{C6B8F48B-B242-4C47-9DE4-992E2B1FB19C}" name="Column14505"/>
    <tableColumn id="14520" xr3:uid="{25DC3F72-B163-49A9-A009-FB7858A872D4}" name="Column14506"/>
    <tableColumn id="14521" xr3:uid="{F5CC7D9B-ABF0-4E09-869A-5A18B35EFA0E}" name="Column14507"/>
    <tableColumn id="14522" xr3:uid="{F46195C5-ABD7-47D7-8C4F-F537145AD792}" name="Column14508"/>
    <tableColumn id="14523" xr3:uid="{05F23D54-E917-4F7C-9C02-F63A29DD2928}" name="Column14509"/>
    <tableColumn id="14524" xr3:uid="{10531651-0623-4FDD-847C-46634908859F}" name="Column14510"/>
    <tableColumn id="14525" xr3:uid="{2929FF45-2064-4F45-88A0-2CE0A9A40F07}" name="Column14511"/>
    <tableColumn id="14526" xr3:uid="{A161E9D7-DD67-45E6-8C35-32A8246C177A}" name="Column14512"/>
    <tableColumn id="14527" xr3:uid="{93972C0C-AE5A-49AD-9D9F-AEB3BC32989C}" name="Column14513"/>
    <tableColumn id="14528" xr3:uid="{10E4CF08-CC95-4502-A431-38E2989073F8}" name="Column14514"/>
    <tableColumn id="14529" xr3:uid="{B10B15EA-6BC3-4C90-AEFD-A630FAD2FA90}" name="Column14515"/>
    <tableColumn id="14530" xr3:uid="{B8438B0B-7F99-48F8-9205-0C0588FDEB43}" name="Column14516"/>
    <tableColumn id="14531" xr3:uid="{C2249848-3260-4C55-821F-E6D75E5BA7A7}" name="Column14517"/>
    <tableColumn id="14532" xr3:uid="{A7285B6D-01A0-4DF4-93F2-F4E5A88CFA7A}" name="Column14518"/>
    <tableColumn id="14533" xr3:uid="{CCFA363D-5A60-414F-89EC-5D8A59C3C60C}" name="Column14519"/>
    <tableColumn id="14534" xr3:uid="{0C47634C-16E9-450B-A1B6-C13BFF031FCF}" name="Column14520"/>
    <tableColumn id="14535" xr3:uid="{2571A68E-2CE9-4621-BF88-06A925682AAF}" name="Column14521"/>
    <tableColumn id="14536" xr3:uid="{5B27DF63-959D-4B7B-A1A4-5246985C2D14}" name="Column14522"/>
    <tableColumn id="14537" xr3:uid="{7077F520-B514-4FA5-B07E-3851F9F908B7}" name="Column14523"/>
    <tableColumn id="14538" xr3:uid="{C1BFAE5D-CD00-4A2C-80B3-3EDCDAFFD0E0}" name="Column14524"/>
    <tableColumn id="14539" xr3:uid="{57E2D1C9-0B75-4CA0-BDC3-04E88E63B4C3}" name="Column14525"/>
    <tableColumn id="14540" xr3:uid="{308B4047-B158-46A1-80CD-C1712D440D63}" name="Column14526"/>
    <tableColumn id="14541" xr3:uid="{1D5708E1-2F47-439A-9C80-E722C0728A19}" name="Column14527"/>
    <tableColumn id="14542" xr3:uid="{A42A9E98-3B88-4C20-A711-DE6BB77338A7}" name="Column14528"/>
    <tableColumn id="14543" xr3:uid="{B8DC7B32-2FCB-4B47-B2B3-17B02299A647}" name="Column14529"/>
    <tableColumn id="14544" xr3:uid="{BB827F49-CCC5-49A7-B0E3-05F42B81DBD2}" name="Column14530"/>
    <tableColumn id="14545" xr3:uid="{4FC2F8A1-D5EB-4BBC-8ADF-C8364EB6D39C}" name="Column14531"/>
    <tableColumn id="14546" xr3:uid="{76F84FAF-39AF-428E-BC69-DBE76E3B3569}" name="Column14532"/>
    <tableColumn id="14547" xr3:uid="{83A3F664-829A-49FC-9ACA-B4BF5D36F620}" name="Column14533"/>
    <tableColumn id="14548" xr3:uid="{E742AE53-0961-4DCD-9122-4D83AADCE71D}" name="Column14534"/>
    <tableColumn id="14549" xr3:uid="{E90E6F96-80B1-4C6B-84BB-CCB14DBF1096}" name="Column14535"/>
    <tableColumn id="14550" xr3:uid="{42B0332F-4E36-4D11-B5F6-AFF24F20D331}" name="Column14536"/>
    <tableColumn id="14551" xr3:uid="{E2AFAC06-2FFD-4BC8-BBF4-BE7589BADC6A}" name="Column14537"/>
    <tableColumn id="14552" xr3:uid="{40A084B7-F982-496C-9B75-3B8ED46C2FF0}" name="Column14538"/>
    <tableColumn id="14553" xr3:uid="{E6229ADE-7CCE-4C55-8AC1-2BBE67B4EA02}" name="Column14539"/>
    <tableColumn id="14554" xr3:uid="{405BB712-C4D3-4CB4-969F-028C05D37B23}" name="Column14540"/>
    <tableColumn id="14555" xr3:uid="{C72B47C4-20A1-4451-B637-2BE4B278F60C}" name="Column14541"/>
    <tableColumn id="14556" xr3:uid="{63C96A6C-7E54-4A44-8BD4-1A275576AA57}" name="Column14542"/>
    <tableColumn id="14557" xr3:uid="{FF31FFF4-8F59-4748-9BE3-085E51A5084F}" name="Column14543"/>
    <tableColumn id="14558" xr3:uid="{E910339C-8A65-48AA-BD40-0749B90347BA}" name="Column14544"/>
    <tableColumn id="14559" xr3:uid="{EB23B042-5C39-4648-BD36-F7BBCA66C528}" name="Column14545"/>
    <tableColumn id="14560" xr3:uid="{8A1EF3A2-D575-4478-8F9A-30149B3FA149}" name="Column14546"/>
    <tableColumn id="14561" xr3:uid="{6A015C4F-4B99-4C14-AAB3-9ABD4B3D54A2}" name="Column14547"/>
    <tableColumn id="14562" xr3:uid="{263499EF-E724-43EB-B055-16229C8CDC67}" name="Column14548"/>
    <tableColumn id="14563" xr3:uid="{711E6C9C-24A3-4525-A0CE-0B2C034CF7FB}" name="Column14549"/>
    <tableColumn id="14564" xr3:uid="{B386005D-D3CD-4653-9688-F978B23D8324}" name="Column14550"/>
    <tableColumn id="14565" xr3:uid="{02993920-EE89-4CE7-A148-615A2ED4C5E7}" name="Column14551"/>
    <tableColumn id="14566" xr3:uid="{966B673C-33E5-415E-9D13-DA1413985E88}" name="Column14552"/>
    <tableColumn id="14567" xr3:uid="{01BD625A-CF62-4855-B7C4-C91C5F01BD3A}" name="Column14553"/>
    <tableColumn id="14568" xr3:uid="{7B867619-5E89-4335-A002-EAAC4F649A64}" name="Column14554"/>
    <tableColumn id="14569" xr3:uid="{CAA900C1-660B-44F7-9723-088B8DDDBC0B}" name="Column14555"/>
    <tableColumn id="14570" xr3:uid="{90D4392D-96C8-4B68-AA7E-CB88A410A006}" name="Column14556"/>
    <tableColumn id="14571" xr3:uid="{048A1708-F701-4B8A-83F9-FAAF409193C3}" name="Column14557"/>
    <tableColumn id="14572" xr3:uid="{B98CC04C-753A-4F4B-B536-89DF1BD70047}" name="Column14558"/>
    <tableColumn id="14573" xr3:uid="{99ACB194-E035-4857-A763-92D3F9EB2F9A}" name="Column14559"/>
    <tableColumn id="14574" xr3:uid="{D0E05435-C762-41DA-B763-9E98D5F5E4B5}" name="Column14560"/>
    <tableColumn id="14575" xr3:uid="{E08B9F0E-CC3B-4C15-BA9E-856D7C124CB7}" name="Column14561"/>
    <tableColumn id="14576" xr3:uid="{58B4BC48-EF03-4431-832A-247759AC8E63}" name="Column14562"/>
    <tableColumn id="14577" xr3:uid="{DCB77814-47BE-4643-B743-C63829A48E9F}" name="Column14563"/>
    <tableColumn id="14578" xr3:uid="{FCFE7953-F67A-437D-B1C4-FCFE019A2F92}" name="Column14564"/>
    <tableColumn id="14579" xr3:uid="{298F9C01-1475-4600-9D6D-AFE393314916}" name="Column14565"/>
    <tableColumn id="14580" xr3:uid="{AD8E5CED-2FBE-4A66-B898-7CBA55C7CE0F}" name="Column14566"/>
    <tableColumn id="14581" xr3:uid="{DCDEFC5B-D0CD-4532-AF75-17C14DBB080F}" name="Column14567"/>
    <tableColumn id="14582" xr3:uid="{254CFC0E-622D-4B3D-8D4F-700C2CFF8DB5}" name="Column14568"/>
    <tableColumn id="14583" xr3:uid="{B5013D6B-4879-4D18-96BF-4CEA4CF1A767}" name="Column14569"/>
    <tableColumn id="14584" xr3:uid="{2F37D280-C1A6-42A0-82E6-7F43E6F7779E}" name="Column14570"/>
    <tableColumn id="14585" xr3:uid="{A6E62711-F8FC-4671-9AB3-D56EAE191D8F}" name="Column14571"/>
    <tableColumn id="14586" xr3:uid="{E1C30FFE-9004-4D00-BD66-C8C4F0A000DB}" name="Column14572"/>
    <tableColumn id="14587" xr3:uid="{E78965C0-8E5C-4DF3-8F4F-0CB53D6199F1}" name="Column14573"/>
    <tableColumn id="14588" xr3:uid="{B2D49575-DF00-4240-A66F-36278EAD45BF}" name="Column14574"/>
    <tableColumn id="14589" xr3:uid="{FF4D604A-494B-4860-87E1-A75A742949D2}" name="Column14575"/>
    <tableColumn id="14590" xr3:uid="{516C32E9-C400-4809-BCCC-354B41469929}" name="Column14576"/>
    <tableColumn id="14591" xr3:uid="{19413F51-D301-488C-8E81-E17A9A6DF69D}" name="Column14577"/>
    <tableColumn id="14592" xr3:uid="{04113ECD-EA87-4F8B-8D31-6C355613A421}" name="Column14578"/>
    <tableColumn id="14593" xr3:uid="{D57D55AB-B30D-41E1-BE5D-37F9D1616A93}" name="Column14579"/>
    <tableColumn id="14594" xr3:uid="{7D061570-4379-42F1-BD47-6ECDC64E304B}" name="Column14580"/>
    <tableColumn id="14595" xr3:uid="{0EE72D22-1CF4-46A8-83CB-EEAF2A24A148}" name="Column14581"/>
    <tableColumn id="14596" xr3:uid="{E7B12E4C-C325-408E-9480-7C2E954EA4F8}" name="Column14582"/>
    <tableColumn id="14597" xr3:uid="{04910B9C-4E87-43C9-9670-35E275BDEAB8}" name="Column14583"/>
    <tableColumn id="14598" xr3:uid="{54F5692B-6E1A-444E-B81E-F77F72F92E2C}" name="Column14584"/>
    <tableColumn id="14599" xr3:uid="{7C7EC892-ABE1-485C-85EE-4594336A160E}" name="Column14585"/>
    <tableColumn id="14600" xr3:uid="{B12278BA-ED8C-4057-BE05-8E8C6F78A71D}" name="Column14586"/>
    <tableColumn id="14601" xr3:uid="{06935C09-2951-441A-9FED-A048179337AF}" name="Column14587"/>
    <tableColumn id="14602" xr3:uid="{3A165A0E-24F7-4926-87B7-38969370D32E}" name="Column14588"/>
    <tableColumn id="14603" xr3:uid="{8533F083-0906-49CB-AFE7-AF329BCEBB20}" name="Column14589"/>
    <tableColumn id="14604" xr3:uid="{B9768036-32AC-41E0-86D1-9879E90CB3A4}" name="Column14590"/>
    <tableColumn id="14605" xr3:uid="{57A53BE5-2CFA-4912-B196-3A7507CF575C}" name="Column14591"/>
    <tableColumn id="14606" xr3:uid="{97A9FCD4-E5B5-4052-80B8-4AD91B7BAEE2}" name="Column14592"/>
    <tableColumn id="14607" xr3:uid="{040D3BD9-2FA5-4A2C-93DD-003830DE70EB}" name="Column14593"/>
    <tableColumn id="14608" xr3:uid="{29FCC75C-BAA2-4554-957C-3D736FDE1E15}" name="Column14594"/>
    <tableColumn id="14609" xr3:uid="{260AB120-998A-4130-9C1F-ACF55A07187F}" name="Column14595"/>
    <tableColumn id="14610" xr3:uid="{2B3A3F5D-22C5-42B4-A155-3F052C4FA1BD}" name="Column14596"/>
    <tableColumn id="14611" xr3:uid="{F33A6548-5266-48D6-A419-71564349E5E7}" name="Column14597"/>
    <tableColumn id="14612" xr3:uid="{6CCCBD84-8460-4E6B-A18E-EBC12558FF29}" name="Column14598"/>
    <tableColumn id="14613" xr3:uid="{EC3F3A98-A2E4-4E02-9E62-764E7D6B7380}" name="Column14599"/>
    <tableColumn id="14614" xr3:uid="{F858DDF5-49CC-4499-9383-E1038EDE69FC}" name="Column14600"/>
    <tableColumn id="14615" xr3:uid="{A4107B8A-21B8-4F29-AC0C-7841FDAC1CBA}" name="Column14601"/>
    <tableColumn id="14616" xr3:uid="{4159241E-D542-4EB6-BD2A-B138C008D2F8}" name="Column14602"/>
    <tableColumn id="14617" xr3:uid="{94C5CA53-2BE6-454A-BA5E-815D218ADED7}" name="Column14603"/>
    <tableColumn id="14618" xr3:uid="{492C5AD8-72FE-4C34-8099-FA0B4FE68163}" name="Column14604"/>
    <tableColumn id="14619" xr3:uid="{E0923ABD-E3FF-4232-A9EF-B3D048DE413C}" name="Column14605"/>
    <tableColumn id="14620" xr3:uid="{F46382DC-DE0D-4D7D-A650-36137D568F02}" name="Column14606"/>
    <tableColumn id="14621" xr3:uid="{A5075994-26C1-4409-B89C-53E3BB4E1E4F}" name="Column14607"/>
    <tableColumn id="14622" xr3:uid="{C21FEE02-A7DA-4AA0-945E-919EEC69847B}" name="Column14608"/>
    <tableColumn id="14623" xr3:uid="{8A48E030-053D-4C18-B928-2D9F748400D9}" name="Column14609"/>
    <tableColumn id="14624" xr3:uid="{3C4EADE1-6BAA-494E-B33C-ED5DEF1C0F10}" name="Column14610"/>
    <tableColumn id="14625" xr3:uid="{2188FB2F-E111-4B87-B704-05A1481B6170}" name="Column14611"/>
    <tableColumn id="14626" xr3:uid="{C916DDC7-F889-430B-8661-B34D9D757EB9}" name="Column14612"/>
    <tableColumn id="14627" xr3:uid="{E9F05A19-81E1-4401-B9DE-D9FF87BD293B}" name="Column14613"/>
    <tableColumn id="14628" xr3:uid="{9C8C8492-D66B-4D01-B8FF-E67FF48F5E53}" name="Column14614"/>
    <tableColumn id="14629" xr3:uid="{86BEE1EC-3DD0-4F3F-9455-526042F3B436}" name="Column14615"/>
    <tableColumn id="14630" xr3:uid="{E412E35A-C40B-41BC-9ECF-C1E8DD95117E}" name="Column14616"/>
    <tableColumn id="14631" xr3:uid="{C22E18DF-562E-4EB6-8D3C-2F05CEAFE307}" name="Column14617"/>
    <tableColumn id="14632" xr3:uid="{352556B5-E0BB-4004-A4ED-1E376E8A0E46}" name="Column14618"/>
    <tableColumn id="14633" xr3:uid="{7BBB5946-15D4-43C0-80DA-475134EB9752}" name="Column14619"/>
    <tableColumn id="14634" xr3:uid="{2407B83F-FA3A-4AD5-B2A8-28A62F68F55B}" name="Column14620"/>
    <tableColumn id="14635" xr3:uid="{F9E8A259-45D9-44B5-B7FD-35ACBB162018}" name="Column14621"/>
    <tableColumn id="14636" xr3:uid="{8B2C4CF2-D9F8-478E-A992-EC7D5D073483}" name="Column14622"/>
    <tableColumn id="14637" xr3:uid="{CE4B9C23-359C-43B0-A0BE-AE910B4E8ED2}" name="Column14623"/>
    <tableColumn id="14638" xr3:uid="{5D18A678-0962-4277-A3F1-EEE076B09E9C}" name="Column14624"/>
    <tableColumn id="14639" xr3:uid="{133ADD09-9A94-430E-BDD2-836AC7C930E8}" name="Column14625"/>
    <tableColumn id="14640" xr3:uid="{E35F2836-1024-42D8-ACF2-4BD6B35FA1E2}" name="Column14626"/>
    <tableColumn id="14641" xr3:uid="{EA958394-46B3-465D-BBC1-2F3E8D8FB319}" name="Column14627"/>
    <tableColumn id="14642" xr3:uid="{DF02903E-CC13-447B-8D6C-7FF68B935059}" name="Column14628"/>
    <tableColumn id="14643" xr3:uid="{42383FD4-74EC-4762-84D2-51607D39BFCB}" name="Column14629"/>
    <tableColumn id="14644" xr3:uid="{2FF0C8BE-3068-4A1B-8E44-3D5B3480E1F5}" name="Column14630"/>
    <tableColumn id="14645" xr3:uid="{BABFA55A-734D-4ECF-87A7-5EAE8C32061A}" name="Column14631"/>
    <tableColumn id="14646" xr3:uid="{7F9DE424-61F3-4EAA-95E2-810333E8B42B}" name="Column14632"/>
    <tableColumn id="14647" xr3:uid="{EC365BDB-5F33-4CFE-9E03-70374C0054F3}" name="Column14633"/>
    <tableColumn id="14648" xr3:uid="{D46DE3EC-513C-4660-8C4C-59E13AF37D5D}" name="Column14634"/>
    <tableColumn id="14649" xr3:uid="{DCEBC23B-2B2A-4192-83D7-E264C01669E4}" name="Column14635"/>
    <tableColumn id="14650" xr3:uid="{0A304D5F-0E02-444A-9329-904DFD3BA736}" name="Column14636"/>
    <tableColumn id="14651" xr3:uid="{E3B38568-6AAA-4ABC-993C-C9AAD70757A7}" name="Column14637"/>
    <tableColumn id="14652" xr3:uid="{5C265B4B-67EC-4C5C-82BD-547491FE81E7}" name="Column14638"/>
    <tableColumn id="14653" xr3:uid="{6622CFDA-A9E0-4B59-9C7C-6AB57C8E44D6}" name="Column14639"/>
    <tableColumn id="14654" xr3:uid="{B80263F6-15A1-46AC-848E-0F39D4780C63}" name="Column14640"/>
    <tableColumn id="14655" xr3:uid="{4FA7B93E-7A74-4E39-9E01-8911A77DF56F}" name="Column14641"/>
    <tableColumn id="14656" xr3:uid="{8253B96C-2648-4E8E-A256-B95B0F6C5E98}" name="Column14642"/>
    <tableColumn id="14657" xr3:uid="{BFBD8373-7E3D-4040-80FF-ED8A99653252}" name="Column14643"/>
    <tableColumn id="14658" xr3:uid="{87684F64-0DCB-4529-A363-70011FDE6214}" name="Column14644"/>
    <tableColumn id="14659" xr3:uid="{40DEE330-56D4-4125-9CB8-4AA02B0169F3}" name="Column14645"/>
    <tableColumn id="14660" xr3:uid="{B2E383DA-1CC6-426D-8C1C-77AB9C1D9E0E}" name="Column14646"/>
    <tableColumn id="14661" xr3:uid="{FA9673E4-D9E8-4D82-A1A2-BCBBD57701A7}" name="Column14647"/>
    <tableColumn id="14662" xr3:uid="{1CE0D8FB-5082-4AC9-AEBD-64F0B9EE1391}" name="Column14648"/>
    <tableColumn id="14663" xr3:uid="{A0624C58-AACC-444D-8817-806557D2A925}" name="Column14649"/>
    <tableColumn id="14664" xr3:uid="{7412D6EB-41D1-4FCD-B396-8E62E581B805}" name="Column14650"/>
    <tableColumn id="14665" xr3:uid="{C7F1D744-4C01-4B61-9B9F-EAD3977BD145}" name="Column14651"/>
    <tableColumn id="14666" xr3:uid="{5897C7C5-AE0C-4FAC-A20C-60414B75E6A5}" name="Column14652"/>
    <tableColumn id="14667" xr3:uid="{6451149C-84F5-47C2-A9DE-9FBB8BADDD4F}" name="Column14653"/>
    <tableColumn id="14668" xr3:uid="{F500E767-6C85-4205-9227-3C45D2923A58}" name="Column14654"/>
    <tableColumn id="14669" xr3:uid="{DC9AF239-3556-45F0-A379-7766E9029280}" name="Column14655"/>
    <tableColumn id="14670" xr3:uid="{96561DF2-8D8F-423F-BCD1-DE381A4FC482}" name="Column14656"/>
    <tableColumn id="14671" xr3:uid="{9534A536-0735-4209-9E02-DCB16DEE921E}" name="Column14657"/>
    <tableColumn id="14672" xr3:uid="{EF6611D0-F6EA-4AF1-A7CB-B5AE9DF2B4F3}" name="Column14658"/>
    <tableColumn id="14673" xr3:uid="{825EBAE5-2046-4E9F-AD01-6EC27878E597}" name="Column14659"/>
    <tableColumn id="14674" xr3:uid="{805FFF90-BA8B-4936-9F83-3A1C4687A489}" name="Column14660"/>
    <tableColumn id="14675" xr3:uid="{E3F27B53-CADE-4804-9DC8-D2CDE7F2C9E7}" name="Column14661"/>
    <tableColumn id="14676" xr3:uid="{1364FED9-E883-4FF6-9636-84F9A7C79828}" name="Column14662"/>
    <tableColumn id="14677" xr3:uid="{9F1A15A1-6E7E-45CE-A297-6C94F6C08BB1}" name="Column14663"/>
    <tableColumn id="14678" xr3:uid="{01F5BD35-AF68-4D09-96CF-BBF8CE67748B}" name="Column14664"/>
    <tableColumn id="14679" xr3:uid="{A9E2254D-6989-4922-B584-ED35D1E7E727}" name="Column14665"/>
    <tableColumn id="14680" xr3:uid="{0CC9694E-CCCD-4AC4-A323-4F55E790BE8D}" name="Column14666"/>
    <tableColumn id="14681" xr3:uid="{B889AAC0-CE87-499A-87EC-A1E28C477C26}" name="Column14667"/>
    <tableColumn id="14682" xr3:uid="{5AEFC695-5FEF-4E0F-B198-0700EB3380AD}" name="Column14668"/>
    <tableColumn id="14683" xr3:uid="{647CDF1B-C380-41DD-965F-BEF63C8AA652}" name="Column14669"/>
    <tableColumn id="14684" xr3:uid="{A8854F6A-DBBF-4B45-8630-3919234A488D}" name="Column14670"/>
    <tableColumn id="14685" xr3:uid="{4925AD45-C6E1-44E9-9B12-0A0D0A9D38C2}" name="Column14671"/>
    <tableColumn id="14686" xr3:uid="{D665F715-2A5C-445B-A0E4-447DFB24E566}" name="Column14672"/>
    <tableColumn id="14687" xr3:uid="{7623073A-91E7-44F0-B4D9-0CFDE858D9A4}" name="Column14673"/>
    <tableColumn id="14688" xr3:uid="{BBC66AE7-DC9A-4CA9-9A4F-7AC0B8F5A52E}" name="Column14674"/>
    <tableColumn id="14689" xr3:uid="{1EEF725A-C322-4EDA-9B9F-7F1F301D3FB0}" name="Column14675"/>
    <tableColumn id="14690" xr3:uid="{96278FA0-405B-446E-9C0D-44F0D9E5E0AA}" name="Column14676"/>
    <tableColumn id="14691" xr3:uid="{CD08DCC2-CD3C-45AF-B882-80446FFB6AA8}" name="Column14677"/>
    <tableColumn id="14692" xr3:uid="{7A16D1CA-822E-4440-8087-A2BD243741B7}" name="Column14678"/>
    <tableColumn id="14693" xr3:uid="{3A6642AE-1698-432A-9C8B-CD225A4CAC69}" name="Column14679"/>
    <tableColumn id="14694" xr3:uid="{8123BC2B-899F-4720-90C4-DDEF93CBFBAB}" name="Column14680"/>
    <tableColumn id="14695" xr3:uid="{5E0F0F03-3271-4382-87A6-BA8993B5BC85}" name="Column14681"/>
    <tableColumn id="14696" xr3:uid="{77D5A13C-5B90-4C89-84D4-049ADCC60A32}" name="Column14682"/>
    <tableColumn id="14697" xr3:uid="{67A000C9-9CDD-4939-B1D8-E2745497C82A}" name="Column14683"/>
    <tableColumn id="14698" xr3:uid="{D5CA865C-5FC5-4C25-99A8-231AC2C1E0F5}" name="Column14684"/>
    <tableColumn id="14699" xr3:uid="{BEABA2F0-D827-4F96-AAA3-55CC22323731}" name="Column14685"/>
    <tableColumn id="14700" xr3:uid="{1F8D12C0-B8E2-46AD-A685-1CA610943CBC}" name="Column14686"/>
    <tableColumn id="14701" xr3:uid="{437968AC-71F8-4877-A4E7-610E655280D3}" name="Column14687"/>
    <tableColumn id="14702" xr3:uid="{9F751A8F-31D2-4872-80CA-A5354FBDCD7A}" name="Column14688"/>
    <tableColumn id="14703" xr3:uid="{C3BD9109-D9A3-4199-9461-E8AB0AA3C53C}" name="Column14689"/>
    <tableColumn id="14704" xr3:uid="{3C6EA904-2764-4446-B03F-F5A7A664F2B2}" name="Column14690"/>
    <tableColumn id="14705" xr3:uid="{2279C804-E95C-41D2-BCE3-ABCB9B4DAAB8}" name="Column14691"/>
    <tableColumn id="14706" xr3:uid="{4A6C5634-8347-43E2-814C-9FEA4E2E4742}" name="Column14692"/>
    <tableColumn id="14707" xr3:uid="{8B2285D8-95E1-4650-BC01-CBFC440089EA}" name="Column14693"/>
    <tableColumn id="14708" xr3:uid="{BFC9F18A-E6B2-44B4-882A-5CE4880D840E}" name="Column14694"/>
    <tableColumn id="14709" xr3:uid="{5FF7F60B-07A4-45D5-9587-94FD1AB56A57}" name="Column14695"/>
    <tableColumn id="14710" xr3:uid="{3C1B7909-B5FF-453D-9D06-07AA75A5D5EA}" name="Column14696"/>
    <tableColumn id="14711" xr3:uid="{15332F9A-A4C3-4245-BD79-F5AFC8B99447}" name="Column14697"/>
    <tableColumn id="14712" xr3:uid="{8DCC5C7D-DCF0-429C-AB68-DC751E72C893}" name="Column14698"/>
    <tableColumn id="14713" xr3:uid="{34621AB1-4671-4B94-A69E-47CEDCF8F96E}" name="Column14699"/>
    <tableColumn id="14714" xr3:uid="{6B8EB629-FFEE-49AF-9C28-E6DF8D3663D9}" name="Column14700"/>
    <tableColumn id="14715" xr3:uid="{961A5FA8-B5AF-4E2A-9A86-66D24EB06F3A}" name="Column14701"/>
    <tableColumn id="14716" xr3:uid="{510019BF-6C57-4636-ADB7-EB6BA7DBEC36}" name="Column14702"/>
    <tableColumn id="14717" xr3:uid="{B3DA736F-78C0-418C-9BCD-BFDDE2AA2594}" name="Column14703"/>
    <tableColumn id="14718" xr3:uid="{AB8D85F4-1801-43FA-BB50-71517A7EFC0D}" name="Column14704"/>
    <tableColumn id="14719" xr3:uid="{8E264F3A-5FC3-421C-A5B0-680AEAE519B9}" name="Column14705"/>
    <tableColumn id="14720" xr3:uid="{55829A52-1747-4F56-A4AD-73972265448F}" name="Column14706"/>
    <tableColumn id="14721" xr3:uid="{E70FF38E-9FD3-4730-98BD-7C3033F59F35}" name="Column14707"/>
    <tableColumn id="14722" xr3:uid="{233FCB99-ADD1-419A-839B-C706CD76DAF4}" name="Column14708"/>
    <tableColumn id="14723" xr3:uid="{4B984EFE-EF4F-4085-A310-B7933661F948}" name="Column14709"/>
    <tableColumn id="14724" xr3:uid="{BB7CBFF1-8369-49A2-B7F9-BEADFEC84B33}" name="Column14710"/>
    <tableColumn id="14725" xr3:uid="{BD288CCE-50E9-4204-AD02-DDD2DE310625}" name="Column14711"/>
    <tableColumn id="14726" xr3:uid="{E3C1B466-9E28-4482-B4F6-651E8F223277}" name="Column14712"/>
    <tableColumn id="14727" xr3:uid="{1F747091-9743-49AC-91D2-582687D7C77E}" name="Column14713"/>
    <tableColumn id="14728" xr3:uid="{66ADCED0-23A3-4E76-847C-8E8375562BEA}" name="Column14714"/>
    <tableColumn id="14729" xr3:uid="{BC6FD212-1CC0-4E1E-A351-4AE3CA3A32B6}" name="Column14715"/>
    <tableColumn id="14730" xr3:uid="{53F1608F-C760-4E6D-8918-B3E5F38E5A8C}" name="Column14716"/>
    <tableColumn id="14731" xr3:uid="{70437E93-6766-4832-8671-4780C4BB62C4}" name="Column14717"/>
    <tableColumn id="14732" xr3:uid="{3B602EA0-E7EB-452F-B13B-13C310426237}" name="Column14718"/>
    <tableColumn id="14733" xr3:uid="{99C7CC93-4AC4-47B3-BB41-53C61825F0CB}" name="Column14719"/>
    <tableColumn id="14734" xr3:uid="{DF0DD063-2BF9-41D5-BDD0-90688262F835}" name="Column14720"/>
    <tableColumn id="14735" xr3:uid="{C245BC43-B7A4-4469-985F-5BDD375AC6A6}" name="Column14721"/>
    <tableColumn id="14736" xr3:uid="{91C0103B-6C68-4990-A3A4-5B53039C7B96}" name="Column14722"/>
    <tableColumn id="14737" xr3:uid="{0FE5658B-AEB7-4FC6-95C6-312825E4C4AE}" name="Column14723"/>
    <tableColumn id="14738" xr3:uid="{B22A7D02-E3D1-4B8B-85D7-0178DAA2EB8D}" name="Column14724"/>
    <tableColumn id="14739" xr3:uid="{ECAD7258-AEF2-42D7-81ED-3B4E338ECF75}" name="Column14725"/>
    <tableColumn id="14740" xr3:uid="{B4A3A682-7C8A-420D-9B81-E1FB29E03843}" name="Column14726"/>
    <tableColumn id="14741" xr3:uid="{F6DB2EF7-6F49-45C6-90BC-A02A6A4DE9DD}" name="Column14727"/>
    <tableColumn id="14742" xr3:uid="{19168591-1038-4A93-B69A-8B43A4A1BA49}" name="Column14728"/>
    <tableColumn id="14743" xr3:uid="{3153E3F0-7F06-46A8-9E16-5034B9DC6EDD}" name="Column14729"/>
    <tableColumn id="14744" xr3:uid="{F87AC7B9-3BA1-483A-AA2C-2712A142DBEE}" name="Column14730"/>
    <tableColumn id="14745" xr3:uid="{400656C5-957B-4DCF-8371-30D7C487DC5B}" name="Column14731"/>
    <tableColumn id="14746" xr3:uid="{2B0A46C0-67EB-4C7A-841F-30778E8A3686}" name="Column14732"/>
    <tableColumn id="14747" xr3:uid="{624E4263-F10A-4570-8A89-640EB1CB1145}" name="Column14733"/>
    <tableColumn id="14748" xr3:uid="{6C7590F9-0954-4F59-ACAE-A8617A92995E}" name="Column14734"/>
    <tableColumn id="14749" xr3:uid="{219A1742-E862-4538-A28E-6F7C56FB840E}" name="Column14735"/>
    <tableColumn id="14750" xr3:uid="{CE8FA5A6-B36F-4A82-BA8A-9D997E45FEC2}" name="Column14736"/>
    <tableColumn id="14751" xr3:uid="{3E062B90-FC8C-4896-A8C3-7FFB831509BA}" name="Column14737"/>
    <tableColumn id="14752" xr3:uid="{FBE06D95-CE17-4EFF-B29C-88539F89232A}" name="Column14738"/>
    <tableColumn id="14753" xr3:uid="{AFE6D314-0DD6-4CA4-93CD-774B1066DEA3}" name="Column14739"/>
    <tableColumn id="14754" xr3:uid="{B931C504-B565-4037-90FE-4549FBB64F62}" name="Column14740"/>
    <tableColumn id="14755" xr3:uid="{EF614F54-2897-4D60-859A-6483D4528BA3}" name="Column14741"/>
    <tableColumn id="14756" xr3:uid="{5E2A278C-ED8E-43A0-ACF0-B734EEB7A277}" name="Column14742"/>
    <tableColumn id="14757" xr3:uid="{7AECBA21-44AE-4FCA-966F-58A6FDA86740}" name="Column14743"/>
    <tableColumn id="14758" xr3:uid="{4646A4F1-80B3-434A-88A8-81BC69BAD7B1}" name="Column14744"/>
    <tableColumn id="14759" xr3:uid="{ABC0D218-B684-410B-A6C7-8E77A763D779}" name="Column14745"/>
    <tableColumn id="14760" xr3:uid="{35DA0545-BFDB-4F4F-895C-D85DF30F772A}" name="Column14746"/>
    <tableColumn id="14761" xr3:uid="{ACEEC4B2-12C3-4A21-90FF-2C6E4C685A87}" name="Column14747"/>
    <tableColumn id="14762" xr3:uid="{F6CC9E7B-D744-4964-B458-0A9834966E70}" name="Column14748"/>
    <tableColumn id="14763" xr3:uid="{724AFF96-842C-45F6-A472-1EC66693843E}" name="Column14749"/>
    <tableColumn id="14764" xr3:uid="{B8B1134B-B817-428D-AADC-EB196F1AABF7}" name="Column14750"/>
    <tableColumn id="14765" xr3:uid="{1972C909-039E-4BB8-B367-9FD7F0432A05}" name="Column14751"/>
    <tableColumn id="14766" xr3:uid="{662D92DB-9CCC-4078-AD28-FADA792D3CED}" name="Column14752"/>
    <tableColumn id="14767" xr3:uid="{5B32A89B-557E-46BF-9260-E3D0774390D4}" name="Column14753"/>
    <tableColumn id="14768" xr3:uid="{6D1F303F-2E75-4798-BC58-8FCF2BA11F8F}" name="Column14754"/>
    <tableColumn id="14769" xr3:uid="{20288E17-03DD-4CFC-95C2-E31DF01CB17E}" name="Column14755"/>
    <tableColumn id="14770" xr3:uid="{AD9B5263-F6DD-42ED-906C-99E74963B99A}" name="Column14756"/>
    <tableColumn id="14771" xr3:uid="{7AEA7F6D-3DC2-4BC9-BC7C-791F194558BE}" name="Column14757"/>
    <tableColumn id="14772" xr3:uid="{B29A805D-094B-49DF-91AD-060D812C1772}" name="Column14758"/>
    <tableColumn id="14773" xr3:uid="{DB4FFE86-AE4A-4A12-AA92-E4EAB399385F}" name="Column14759"/>
    <tableColumn id="14774" xr3:uid="{D6AF2D05-5BDC-4DE9-824B-EEBBB37A8A94}" name="Column14760"/>
    <tableColumn id="14775" xr3:uid="{1327EE5A-9CE4-4A6D-BF98-D945C38D6CD0}" name="Column14761"/>
    <tableColumn id="14776" xr3:uid="{A075917F-E28B-4EB1-B472-A726B239D822}" name="Column14762"/>
    <tableColumn id="14777" xr3:uid="{B7025FC7-7133-4A21-9979-B518186D491C}" name="Column14763"/>
    <tableColumn id="14778" xr3:uid="{D5601446-EE5B-4127-81C2-5A4D74926FCB}" name="Column14764"/>
    <tableColumn id="14779" xr3:uid="{213C4BA8-A9EA-49DE-88FD-E83B8184A731}" name="Column14765"/>
    <tableColumn id="14780" xr3:uid="{F55FD511-E5E4-4154-8A57-2A913697983F}" name="Column14766"/>
    <tableColumn id="14781" xr3:uid="{E8E97440-13BA-4DF0-9D4B-852C96212654}" name="Column14767"/>
    <tableColumn id="14782" xr3:uid="{D2EE7875-2E81-4F0D-A402-3EEBE7541446}" name="Column14768"/>
    <tableColumn id="14783" xr3:uid="{871A19C0-F17F-4C2D-A0A1-34FF2ACFE00A}" name="Column14769"/>
    <tableColumn id="14784" xr3:uid="{006CEA7C-FBE2-4726-BDA5-E6C133BEE0DC}" name="Column14770"/>
    <tableColumn id="14785" xr3:uid="{C2766D5A-DD41-42CD-A968-0572D3B5CA69}" name="Column14771"/>
    <tableColumn id="14786" xr3:uid="{3373AD65-9BC8-4783-ACD9-1ED53E434E84}" name="Column14772"/>
    <tableColumn id="14787" xr3:uid="{396346CB-7752-4EBF-A504-F7D12BA8073B}" name="Column14773"/>
    <tableColumn id="14788" xr3:uid="{40F8FF42-2D16-40C7-B5A7-0637CE4CE815}" name="Column14774"/>
    <tableColumn id="14789" xr3:uid="{01585626-3DCF-4166-8123-80026DB60A8E}" name="Column14775"/>
    <tableColumn id="14790" xr3:uid="{86EB907C-F9F0-4D61-9ABC-5786B007858E}" name="Column14776"/>
    <tableColumn id="14791" xr3:uid="{F3E3B3E0-D96F-471B-A766-2766817D2413}" name="Column14777"/>
    <tableColumn id="14792" xr3:uid="{EDA276A3-9BE1-4417-994E-5AE3FE7BC1FD}" name="Column14778"/>
    <tableColumn id="14793" xr3:uid="{FF79D23F-2319-451D-B815-C402A847A0E2}" name="Column14779"/>
    <tableColumn id="14794" xr3:uid="{98B9C91F-0ADE-4A0F-AF37-955EA3507868}" name="Column14780"/>
    <tableColumn id="14795" xr3:uid="{4A457FAB-9A9B-4A37-8741-E9A613DA0FF0}" name="Column14781"/>
    <tableColumn id="14796" xr3:uid="{220B96D6-7F3E-4DBC-A784-29B1863DE853}" name="Column14782"/>
    <tableColumn id="14797" xr3:uid="{4C3A724A-2365-46AC-A11E-FC624A8976F3}" name="Column14783"/>
    <tableColumn id="14798" xr3:uid="{123E83CB-8EF7-4F54-9E86-53DCF39636FF}" name="Column14784"/>
    <tableColumn id="14799" xr3:uid="{43BA8864-34BE-4C91-867D-A72B25C24C8F}" name="Column14785"/>
    <tableColumn id="14800" xr3:uid="{D587FCC6-77C5-4429-BF1B-E1464B9A4318}" name="Column14786"/>
    <tableColumn id="14801" xr3:uid="{C9DA650A-CCB0-434F-97A5-81EF4DB66FA8}" name="Column14787"/>
    <tableColumn id="14802" xr3:uid="{B791123B-C321-4974-ADB7-37973F292435}" name="Column14788"/>
    <tableColumn id="14803" xr3:uid="{6FB77FD4-10BB-407C-9B48-9A1293FCCB3D}" name="Column14789"/>
    <tableColumn id="14804" xr3:uid="{BD2301E6-CAA4-431E-A557-CF896B1F2204}" name="Column14790"/>
    <tableColumn id="14805" xr3:uid="{90FDA3C6-5A4A-428A-BB3D-6FD59DF223B5}" name="Column14791"/>
    <tableColumn id="14806" xr3:uid="{CC7BA781-6DA1-4E8E-8690-E81D0E24AFB4}" name="Column14792"/>
    <tableColumn id="14807" xr3:uid="{D410ACCD-F37E-45C0-859E-3257CE6EC794}" name="Column14793"/>
    <tableColumn id="14808" xr3:uid="{1C65E81F-DECE-42B9-A7FE-214B75C080D6}" name="Column14794"/>
    <tableColumn id="14809" xr3:uid="{6ADE4C24-2BFF-4500-BB48-D29E5AABCBFC}" name="Column14795"/>
    <tableColumn id="14810" xr3:uid="{CB1508F3-7B8E-42FD-9365-4D5E86E91C3A}" name="Column14796"/>
    <tableColumn id="14811" xr3:uid="{9AEA92C3-C049-4DAA-85D8-3F04110573EB}" name="Column14797"/>
    <tableColumn id="14812" xr3:uid="{D1A1C5B2-6733-4496-AE22-02F4864E58F3}" name="Column14798"/>
    <tableColumn id="14813" xr3:uid="{FA1FCC8F-FF37-482F-8CD5-0CF6FFD07A78}" name="Column14799"/>
    <tableColumn id="14814" xr3:uid="{D9118481-55AD-412E-A6C5-1143412E2007}" name="Column14800"/>
    <tableColumn id="14815" xr3:uid="{6EAAFEAC-65BA-4D8E-9948-59D786CD9EC9}" name="Column14801"/>
    <tableColumn id="14816" xr3:uid="{63C1791A-E5FC-4C44-9F85-89B24AD000C5}" name="Column14802"/>
    <tableColumn id="14817" xr3:uid="{D1DD2762-167F-4BF9-A594-8D80BE882345}" name="Column14803"/>
    <tableColumn id="14818" xr3:uid="{D064B154-3DE5-4C29-9ED7-4F875768FED9}" name="Column14804"/>
    <tableColumn id="14819" xr3:uid="{6F123135-EC40-44C5-9426-51F78AC645F3}" name="Column14805"/>
    <tableColumn id="14820" xr3:uid="{FAB49A7C-690F-4FC7-B69E-708BE0EEB8C4}" name="Column14806"/>
    <tableColumn id="14821" xr3:uid="{9676C89E-B078-48CD-8AB9-818BE89E8BF5}" name="Column14807"/>
    <tableColumn id="14822" xr3:uid="{AB3579AE-D9BF-45BE-964E-3F9E8B5DBBD3}" name="Column14808"/>
    <tableColumn id="14823" xr3:uid="{98633940-3A2C-47E7-82BE-21EB9C390A30}" name="Column14809"/>
    <tableColumn id="14824" xr3:uid="{CC0A2E89-CC10-4EC3-9C81-832929288E80}" name="Column14810"/>
    <tableColumn id="14825" xr3:uid="{CB4A760A-A148-4A7A-AFC3-DF1256D71227}" name="Column14811"/>
    <tableColumn id="14826" xr3:uid="{A81E4928-9536-4059-83AE-BB9E4520BD7E}" name="Column14812"/>
    <tableColumn id="14827" xr3:uid="{658B3478-8029-452E-BB07-43B44DD638BC}" name="Column14813"/>
    <tableColumn id="14828" xr3:uid="{243932D2-A7E7-4F99-A01F-1273A44E5188}" name="Column14814"/>
    <tableColumn id="14829" xr3:uid="{83DB37DD-D8BB-440A-A7CD-5AE92B306355}" name="Column14815"/>
    <tableColumn id="14830" xr3:uid="{2DCB5E9A-480F-450C-8B0F-5F1914F2FCEB}" name="Column14816"/>
    <tableColumn id="14831" xr3:uid="{4D50098C-FCF4-4D2B-AE90-753D57311979}" name="Column14817"/>
    <tableColumn id="14832" xr3:uid="{51AF8163-48FA-4977-821F-EEB3ACCEE70D}" name="Column14818"/>
    <tableColumn id="14833" xr3:uid="{FD3280B3-47A9-46C3-B36A-8414E089F7A2}" name="Column14819"/>
    <tableColumn id="14834" xr3:uid="{6C2989A1-5C81-440F-8A25-DEF8CC6624F5}" name="Column14820"/>
    <tableColumn id="14835" xr3:uid="{B75C2F67-17DA-4D30-8E9B-F85B1EA2F4E3}" name="Column14821"/>
    <tableColumn id="14836" xr3:uid="{41FCFF84-3C20-4295-80ED-41929BE40D3E}" name="Column14822"/>
    <tableColumn id="14837" xr3:uid="{1A9A479F-82A7-4EB5-8E10-C0182ED22A90}" name="Column14823"/>
    <tableColumn id="14838" xr3:uid="{FE817B7D-1F59-44E0-93AA-73BB85BDD83F}" name="Column14824"/>
    <tableColumn id="14839" xr3:uid="{E61EF235-9EB0-44BC-9BFF-7865C63AF122}" name="Column14825"/>
    <tableColumn id="14840" xr3:uid="{54DBA3CC-0ABB-481F-8933-7934C1402981}" name="Column14826"/>
    <tableColumn id="14841" xr3:uid="{E856A172-9220-40FE-8B06-16BD97D40234}" name="Column14827"/>
    <tableColumn id="14842" xr3:uid="{5B17F9B5-61F7-44E4-A341-035B55F2BAEB}" name="Column14828"/>
    <tableColumn id="14843" xr3:uid="{527396D7-6700-4B35-9A3B-64790C3652DE}" name="Column14829"/>
    <tableColumn id="14844" xr3:uid="{3C701DF5-D795-49E9-8997-A037868638BD}" name="Column14830"/>
    <tableColumn id="14845" xr3:uid="{D151A1EF-3440-46F5-B559-ADBE7C830D23}" name="Column14831"/>
    <tableColumn id="14846" xr3:uid="{B72CA685-E124-47D2-9F62-373EC012C9D7}" name="Column14832"/>
    <tableColumn id="14847" xr3:uid="{F8710BA0-5194-4DE5-AE4F-47C17622A085}" name="Column14833"/>
    <tableColumn id="14848" xr3:uid="{DC08C2AF-4890-4244-A8A8-B810F16534F3}" name="Column14834"/>
    <tableColumn id="14849" xr3:uid="{0F82E52F-9F3D-4E68-BEE2-D77B4F1ADF86}" name="Column14835"/>
    <tableColumn id="14850" xr3:uid="{1A8D8C53-931B-4DE6-B167-32A5F4670FCF}" name="Column14836"/>
    <tableColumn id="14851" xr3:uid="{EF7C32B9-9F08-43EB-8360-EA00FEB6FFC8}" name="Column14837"/>
    <tableColumn id="14852" xr3:uid="{E569B7D0-81C5-424C-AFB8-02A099BE98FB}" name="Column14838"/>
    <tableColumn id="14853" xr3:uid="{8F18F9F2-FA9C-45FA-B3BA-4E353EFB7B79}" name="Column14839"/>
    <tableColumn id="14854" xr3:uid="{50F1CFB5-F337-4D92-9D07-111BCF842A70}" name="Column14840"/>
    <tableColumn id="14855" xr3:uid="{D03F5BF7-0D40-4719-B832-33CE6A710718}" name="Column14841"/>
    <tableColumn id="14856" xr3:uid="{9F9DE4CF-85EF-401E-A04C-8BD5576C93A6}" name="Column14842"/>
    <tableColumn id="14857" xr3:uid="{540469A8-4D03-4F25-87B1-9A7A75F69CFA}" name="Column14843"/>
    <tableColumn id="14858" xr3:uid="{C28E0EAC-CB4D-45EB-A09F-E3DB4C03F997}" name="Column14844"/>
    <tableColumn id="14859" xr3:uid="{04D95998-6FD9-4B7F-9446-8FA23496308B}" name="Column14845"/>
    <tableColumn id="14860" xr3:uid="{0DB02BEC-196B-48A4-AB34-BC0090A9ADA1}" name="Column14846"/>
    <tableColumn id="14861" xr3:uid="{9219AA25-0299-4EC8-91E0-72E002A3B06B}" name="Column14847"/>
    <tableColumn id="14862" xr3:uid="{867F2351-B1B6-4AF0-8FE1-1A6312B87A77}" name="Column14848"/>
    <tableColumn id="14863" xr3:uid="{C5AEE142-1AA9-438D-B38B-F7E0F7030B5E}" name="Column14849"/>
    <tableColumn id="14864" xr3:uid="{4C9C69D9-0611-40D4-9267-70BCA93663DC}" name="Column14850"/>
    <tableColumn id="14865" xr3:uid="{701512B8-8F57-4EF4-A230-FC0AA818E49B}" name="Column14851"/>
    <tableColumn id="14866" xr3:uid="{ECAE221E-2177-4C4C-92D5-C107EC79309C}" name="Column14852"/>
    <tableColumn id="14867" xr3:uid="{2B145AFF-8FD3-4532-9A6D-915B030DCF99}" name="Column14853"/>
    <tableColumn id="14868" xr3:uid="{F5C9BBBE-33A5-4BF5-A926-22BED7D45677}" name="Column14854"/>
    <tableColumn id="14869" xr3:uid="{B90B4EE2-541E-4604-8FF2-1F9E1CE8D748}" name="Column14855"/>
    <tableColumn id="14870" xr3:uid="{8C1DFE21-7737-451E-93E2-3FF0B8673F64}" name="Column14856"/>
    <tableColumn id="14871" xr3:uid="{588B6AE4-A6A1-49C9-BBA4-EF86FF9D2CF4}" name="Column14857"/>
    <tableColumn id="14872" xr3:uid="{E1121C4A-4DF3-4B8A-9FFF-DB57C009861A}" name="Column14858"/>
    <tableColumn id="14873" xr3:uid="{6703F0BF-A737-4D44-8CFC-47C1E1889279}" name="Column14859"/>
    <tableColumn id="14874" xr3:uid="{9E5FE7D7-626A-4ADE-B893-7E18B27CE964}" name="Column14860"/>
    <tableColumn id="14875" xr3:uid="{73130814-E0B4-4672-9F94-E421C76DDB60}" name="Column14861"/>
    <tableColumn id="14876" xr3:uid="{D3E35B1A-2569-42DC-BE69-A331FE835A0E}" name="Column14862"/>
    <tableColumn id="14877" xr3:uid="{0E23274E-4A3D-4E03-8382-A959EC6DD612}" name="Column14863"/>
    <tableColumn id="14878" xr3:uid="{AB907253-94B4-4EF8-BB16-9050C0EF4A68}" name="Column14864"/>
    <tableColumn id="14879" xr3:uid="{66CE9BED-DA03-4C20-84F0-7C0FF806BEC0}" name="Column14865"/>
    <tableColumn id="14880" xr3:uid="{3C39A042-5E97-48F4-9D57-F6A6EE70777C}" name="Column14866"/>
    <tableColumn id="14881" xr3:uid="{CF75DD72-7A4D-4D9B-8144-6E1A0EFD85B2}" name="Column14867"/>
    <tableColumn id="14882" xr3:uid="{807765B6-8BF6-4702-BC75-6F976EE69DB7}" name="Column14868"/>
    <tableColumn id="14883" xr3:uid="{8021B82E-735C-47D4-867D-FFE3DEC62AE0}" name="Column14869"/>
    <tableColumn id="14884" xr3:uid="{F57973C5-ED10-4550-8DCD-24D5453C7574}" name="Column14870"/>
    <tableColumn id="14885" xr3:uid="{2E607646-32AD-44C7-955A-5C3D3599B51D}" name="Column14871"/>
    <tableColumn id="14886" xr3:uid="{7720EEF5-A4ED-4C34-B9C5-D0180A59958D}" name="Column14872"/>
    <tableColumn id="14887" xr3:uid="{3AEFEEEB-F716-43A0-8269-EA82CE1CC450}" name="Column14873"/>
    <tableColumn id="14888" xr3:uid="{DB478A9E-CD8B-4335-8F6F-41EBF4373813}" name="Column14874"/>
    <tableColumn id="14889" xr3:uid="{5FC78F7C-49CB-45B3-9778-DE7F33B8CAA3}" name="Column14875"/>
    <tableColumn id="14890" xr3:uid="{23350BE3-F0F8-4C87-97EE-6FBFBD4EE275}" name="Column14876"/>
    <tableColumn id="14891" xr3:uid="{D7E9959C-FAE3-4F83-800D-7F0B92536734}" name="Column14877"/>
    <tableColumn id="14892" xr3:uid="{99D38FDA-34B3-4913-A3EE-11B0FC83F2F0}" name="Column14878"/>
    <tableColumn id="14893" xr3:uid="{8D5D1E52-C438-4A15-8416-1F3AF9ACC5F5}" name="Column14879"/>
    <tableColumn id="14894" xr3:uid="{17CD5B33-F12E-412B-A608-EA6FA1EC1FE7}" name="Column14880"/>
    <tableColumn id="14895" xr3:uid="{CE5AE174-F547-41CE-B248-ADD642EA6FC5}" name="Column14881"/>
    <tableColumn id="14896" xr3:uid="{B0B1D005-E0E3-42ED-AF1A-96C3B02BAA05}" name="Column14882"/>
    <tableColumn id="14897" xr3:uid="{D102761A-AE7B-4576-A572-3A0D511ABC17}" name="Column14883"/>
    <tableColumn id="14898" xr3:uid="{79B38753-D912-46CC-AA32-939D5E5D483E}" name="Column14884"/>
    <tableColumn id="14899" xr3:uid="{3FD5878A-6913-4635-8A78-CA2D5CB5C136}" name="Column14885"/>
    <tableColumn id="14900" xr3:uid="{FA5C0245-874F-4BCF-86FF-644722AFAE84}" name="Column14886"/>
    <tableColumn id="14901" xr3:uid="{CEFEF6E5-FB8B-4937-BF8B-154068AB7BC7}" name="Column14887"/>
    <tableColumn id="14902" xr3:uid="{44E90537-39F5-456A-BB11-E2B7E117E942}" name="Column14888"/>
    <tableColumn id="14903" xr3:uid="{8107D562-9A51-4091-ACE2-E47DF5AA5CE0}" name="Column14889"/>
    <tableColumn id="14904" xr3:uid="{83445030-E323-41B1-A354-B5E9270C831F}" name="Column14890"/>
    <tableColumn id="14905" xr3:uid="{CC3821B5-A40E-480F-9609-92BDE5D1BCC9}" name="Column14891"/>
    <tableColumn id="14906" xr3:uid="{7AA901BB-8ABA-49BB-96ED-A137802B4F95}" name="Column14892"/>
    <tableColumn id="14907" xr3:uid="{5E303923-72AE-4CD8-90C8-A683D4162730}" name="Column14893"/>
    <tableColumn id="14908" xr3:uid="{4E2EDBEB-DFE5-4CC7-BFA0-E5B7A66763E2}" name="Column14894"/>
    <tableColumn id="14909" xr3:uid="{6A95834A-E09E-4456-83D0-0C71A261BF6A}" name="Column14895"/>
    <tableColumn id="14910" xr3:uid="{E9AF1325-278C-4AA0-9401-5664963662B4}" name="Column14896"/>
    <tableColumn id="14911" xr3:uid="{C4F74334-CB1D-4615-9EC3-A6805A0860CD}" name="Column14897"/>
    <tableColumn id="14912" xr3:uid="{EFFF2BE0-F417-4A66-A69A-D0A9D3243114}" name="Column14898"/>
    <tableColumn id="14913" xr3:uid="{E453917A-3B68-4DD7-A498-A49C6A7E9265}" name="Column14899"/>
    <tableColumn id="14914" xr3:uid="{7C3B05F1-ED80-470A-9268-99984618252E}" name="Column14900"/>
    <tableColumn id="14915" xr3:uid="{CBFFDA91-AE95-4440-B380-15BF7178BA9D}" name="Column14901"/>
    <tableColumn id="14916" xr3:uid="{C69D0EB2-33B8-4635-A9BF-A6898C7EA02E}" name="Column14902"/>
    <tableColumn id="14917" xr3:uid="{C86D931E-2F12-4105-9B41-C535328529C3}" name="Column14903"/>
    <tableColumn id="14918" xr3:uid="{CC7F7A71-39E5-410F-87F9-8C7ACB8256DD}" name="Column14904"/>
    <tableColumn id="14919" xr3:uid="{8292822C-0AB1-4447-ACF2-D4BA3D82D275}" name="Column14905"/>
    <tableColumn id="14920" xr3:uid="{9580F581-EC6F-4331-962E-FDB4B11C0047}" name="Column14906"/>
    <tableColumn id="14921" xr3:uid="{26896616-7460-40BC-8F63-3412BB674533}" name="Column14907"/>
    <tableColumn id="14922" xr3:uid="{72C65830-15B6-413A-B459-7A7DB7B230F2}" name="Column14908"/>
    <tableColumn id="14923" xr3:uid="{C31020BB-B4B4-4309-A1B0-7F2A0C4A5CFF}" name="Column14909"/>
    <tableColumn id="14924" xr3:uid="{BAD2C88F-EDE9-4C3F-AB94-93E67A3D10CC}" name="Column14910"/>
    <tableColumn id="14925" xr3:uid="{CDEB6A4A-FA40-4732-9AF5-C1A35D388EE4}" name="Column14911"/>
    <tableColumn id="14926" xr3:uid="{3AEC4871-0ABA-406A-899F-CF6968906380}" name="Column14912"/>
    <tableColumn id="14927" xr3:uid="{1560E3CE-9042-41CB-A1B2-9C1F72157FB5}" name="Column14913"/>
    <tableColumn id="14928" xr3:uid="{9BF911C6-E22B-4786-A324-8FEFADA2B50E}" name="Column14914"/>
    <tableColumn id="14929" xr3:uid="{98D9773A-A488-4FD4-8E82-AC0379174041}" name="Column14915"/>
    <tableColumn id="14930" xr3:uid="{AA52B607-C2B9-420C-B180-10368946ED2B}" name="Column14916"/>
    <tableColumn id="14931" xr3:uid="{58FD655D-DFFF-4A1A-A09E-0F438B8221A7}" name="Column14917"/>
    <tableColumn id="14932" xr3:uid="{65AB4CF4-10CC-4A8E-80BA-D107BFAEB7C3}" name="Column14918"/>
    <tableColumn id="14933" xr3:uid="{F37D3C18-7095-49C4-A30B-277A695CB7D8}" name="Column14919"/>
    <tableColumn id="14934" xr3:uid="{D302124C-DFC7-4885-AEDC-985B7601114F}" name="Column14920"/>
    <tableColumn id="14935" xr3:uid="{B84F6F6B-30AD-4B2D-8DC7-F27B17C09E67}" name="Column14921"/>
    <tableColumn id="14936" xr3:uid="{F313FF75-D4C6-484B-A9B5-F09C392A0453}" name="Column14922"/>
    <tableColumn id="14937" xr3:uid="{0CD176D1-BD8C-4B85-959F-85124CED5433}" name="Column14923"/>
    <tableColumn id="14938" xr3:uid="{54BB19BF-017A-48DA-B479-AE8F037BC7AC}" name="Column14924"/>
    <tableColumn id="14939" xr3:uid="{EEFFC917-2760-4694-B191-ADDD2905437B}" name="Column14925"/>
    <tableColumn id="14940" xr3:uid="{5C6B4E6B-E4FD-4793-AFC0-363906AAC6EA}" name="Column14926"/>
    <tableColumn id="14941" xr3:uid="{ACA5B30B-BDEA-4C47-9980-675D030DFF2D}" name="Column14927"/>
    <tableColumn id="14942" xr3:uid="{DEF8BD57-CB50-4776-A440-EC4A44FDE232}" name="Column14928"/>
    <tableColumn id="14943" xr3:uid="{1BF7E0E0-0E78-4057-AF6B-5618DDADD878}" name="Column14929"/>
    <tableColumn id="14944" xr3:uid="{2B92D5E0-867B-4120-B792-F7F6C87CF790}" name="Column14930"/>
    <tableColumn id="14945" xr3:uid="{0E8055F0-A818-4154-A888-CC45CC6B08B1}" name="Column14931"/>
    <tableColumn id="14946" xr3:uid="{67A08C0A-B5C1-486D-8C7B-10981CAF7D1C}" name="Column14932"/>
    <tableColumn id="14947" xr3:uid="{F921927E-33B7-4342-9AAF-691B3095B254}" name="Column14933"/>
    <tableColumn id="14948" xr3:uid="{9462122C-CE62-4975-ADA3-3E3CAE2EA731}" name="Column14934"/>
    <tableColumn id="14949" xr3:uid="{77DC9A9F-17FC-466C-9A92-DC4F84D301F8}" name="Column14935"/>
    <tableColumn id="14950" xr3:uid="{C538154E-A644-4C90-8668-4F2A678F328A}" name="Column14936"/>
    <tableColumn id="14951" xr3:uid="{7956C6AC-9387-4498-817D-BB9681C9376E}" name="Column14937"/>
    <tableColumn id="14952" xr3:uid="{47AE4464-AFBC-41AA-802F-E25640621FA8}" name="Column14938"/>
    <tableColumn id="14953" xr3:uid="{4DA4B923-5494-4942-BE37-9A773813FF44}" name="Column14939"/>
    <tableColumn id="14954" xr3:uid="{353B283A-B632-4609-A1D3-3DCE898F9265}" name="Column14940"/>
    <tableColumn id="14955" xr3:uid="{7454E34C-A1D6-4D2D-B500-7447BFA98184}" name="Column14941"/>
    <tableColumn id="14956" xr3:uid="{6D0EC7DB-C3EA-4BEB-8D04-DC62D1DBB6BB}" name="Column14942"/>
    <tableColumn id="14957" xr3:uid="{AF375730-9D49-4C7E-A693-5B5D408D1C73}" name="Column14943"/>
    <tableColumn id="14958" xr3:uid="{85E99FD2-B82C-452B-9539-D3AF43869F41}" name="Column14944"/>
    <tableColumn id="14959" xr3:uid="{8DED7C87-780E-4241-B7A1-ACD238EF15E1}" name="Column14945"/>
    <tableColumn id="14960" xr3:uid="{B57E7D70-AE32-4A5B-81AD-50FF964839AF}" name="Column14946"/>
    <tableColumn id="14961" xr3:uid="{24CC48FF-7544-4B5C-B4BC-AAFA497ED369}" name="Column14947"/>
    <tableColumn id="14962" xr3:uid="{5C3F407B-8BEB-4DA7-8CE8-1B64CCFE264E}" name="Column14948"/>
    <tableColumn id="14963" xr3:uid="{7B57FF32-63DE-4F1A-9EE2-C0C9BC730663}" name="Column14949"/>
    <tableColumn id="14964" xr3:uid="{620A60C5-D816-48AD-B6A4-1B6FA3B6B5A8}" name="Column14950"/>
    <tableColumn id="14965" xr3:uid="{8206434C-D0E6-4420-9F63-3B98C8DFC289}" name="Column14951"/>
    <tableColumn id="14966" xr3:uid="{5432F20F-90A5-444F-A47F-EE034899A1AB}" name="Column14952"/>
    <tableColumn id="14967" xr3:uid="{931A1B40-BADF-4553-9AD5-1B7A06BCD978}" name="Column14953"/>
    <tableColumn id="14968" xr3:uid="{D76B8B9A-5392-4B98-9698-42E892FC1F26}" name="Column14954"/>
    <tableColumn id="14969" xr3:uid="{69F81EE8-A8B3-4866-908A-DDA8F9B673DB}" name="Column14955"/>
    <tableColumn id="14970" xr3:uid="{1EC8C355-7774-4034-B261-4D20505038DB}" name="Column14956"/>
    <tableColumn id="14971" xr3:uid="{D2AA78AA-EFD9-436F-986B-C2BC26DC5E6C}" name="Column14957"/>
    <tableColumn id="14972" xr3:uid="{3BFC0F02-BAEE-4AAD-903E-8B6779FCC8E0}" name="Column14958"/>
    <tableColumn id="14973" xr3:uid="{22F4CDF3-8F3A-4EA2-9E86-14D04F057647}" name="Column14959"/>
    <tableColumn id="14974" xr3:uid="{2602640F-E03F-49BA-AF5B-6CFB4E7E1733}" name="Column14960"/>
    <tableColumn id="14975" xr3:uid="{801F5459-013D-43F8-B4FC-D86E7EDB7EA8}" name="Column14961"/>
    <tableColumn id="14976" xr3:uid="{B33BD1CF-4191-4C20-9C54-50A7B1733732}" name="Column14962"/>
    <tableColumn id="14977" xr3:uid="{33033217-4B95-4353-895C-89616FCBE60F}" name="Column14963"/>
    <tableColumn id="14978" xr3:uid="{B9A599A7-2B1F-4A7E-9061-740AB4948AF3}" name="Column14964"/>
    <tableColumn id="14979" xr3:uid="{0835F11E-FDE1-4788-BB82-0CF8A934424E}" name="Column14965"/>
    <tableColumn id="14980" xr3:uid="{D64FB9D2-6402-4CBC-8A07-215976A8A89D}" name="Column14966"/>
    <tableColumn id="14981" xr3:uid="{E80CF92B-8DF5-4EE0-B175-B8DA13248761}" name="Column14967"/>
    <tableColumn id="14982" xr3:uid="{09067A26-6289-469D-BFC6-DB74BDF7D245}" name="Column14968"/>
    <tableColumn id="14983" xr3:uid="{525DB07B-8067-425C-8E39-ABAF8FCF306F}" name="Column14969"/>
    <tableColumn id="14984" xr3:uid="{8E73B0A8-9AA0-4748-B692-84A4D49BC828}" name="Column14970"/>
    <tableColumn id="14985" xr3:uid="{058BFD29-E23B-4F3B-A347-8D23D5CBE36C}" name="Column14971"/>
    <tableColumn id="14986" xr3:uid="{8E02AF1D-96B4-4166-A170-62B3382BE197}" name="Column14972"/>
    <tableColumn id="14987" xr3:uid="{4CAE531A-9582-46E4-9220-994D5D2F2ACD}" name="Column14973"/>
    <tableColumn id="14988" xr3:uid="{2EC40A81-8292-4C09-9DE1-649E221602D7}" name="Column14974"/>
    <tableColumn id="14989" xr3:uid="{017D0349-0E70-40DD-A351-39E3181A232C}" name="Column14975"/>
    <tableColumn id="14990" xr3:uid="{68B45018-45ED-4614-8C38-27F39F2BAC21}" name="Column14976"/>
    <tableColumn id="14991" xr3:uid="{9D5CB600-86B0-4BF5-B379-427E708C5557}" name="Column14977"/>
    <tableColumn id="14992" xr3:uid="{FDD22EF1-1C1C-4D6A-90C3-20E792F56F74}" name="Column14978"/>
    <tableColumn id="14993" xr3:uid="{78C6A4EA-3DC4-4BE7-AC87-4CFEB49AB955}" name="Column14979"/>
    <tableColumn id="14994" xr3:uid="{B9ECEEDC-90E3-4E50-932E-159FEDB27702}" name="Column14980"/>
    <tableColumn id="14995" xr3:uid="{2B958EC3-DD00-4DF9-A2AD-EA6C8F9A7B4B}" name="Column14981"/>
    <tableColumn id="14996" xr3:uid="{49199FDD-F5F8-433F-9BC7-3F0FEF0387D1}" name="Column14982"/>
    <tableColumn id="14997" xr3:uid="{F5AEAAE5-32AA-4593-B995-3454DA34745C}" name="Column14983"/>
    <tableColumn id="14998" xr3:uid="{3481A456-8ADA-4BCE-802E-76134FCE7FE8}" name="Column14984"/>
    <tableColumn id="14999" xr3:uid="{A6052863-B6BE-4D07-B6F3-9C22E51A33D5}" name="Column14985"/>
    <tableColumn id="15000" xr3:uid="{91A5C2F1-3F21-4EE5-979C-6ADFC4721CA0}" name="Column14986"/>
    <tableColumn id="15001" xr3:uid="{4B2ED641-9B56-4F8A-B01D-42A52263C45A}" name="Column14987"/>
    <tableColumn id="15002" xr3:uid="{AB57BC16-DB91-47CF-874C-A63A5E1646AD}" name="Column14988"/>
    <tableColumn id="15003" xr3:uid="{887A13F1-2238-41F3-9AEA-992D98C4B58E}" name="Column14989"/>
    <tableColumn id="15004" xr3:uid="{3C69A64E-F0D5-46AB-BF6D-A3F522A2B726}" name="Column14990"/>
    <tableColumn id="15005" xr3:uid="{AD540FDA-6F53-47EA-9AE0-BF5AEBB0F32E}" name="Column14991"/>
    <tableColumn id="15006" xr3:uid="{4F324583-EADE-47D0-A2EC-5C65445E2CC6}" name="Column14992"/>
    <tableColumn id="15007" xr3:uid="{1A0DADC8-C406-4EE9-AF8B-45EFDBC2979C}" name="Column14993"/>
    <tableColumn id="15008" xr3:uid="{6FC8C6C0-5080-4202-95C7-A1B1129B419C}" name="Column14994"/>
    <tableColumn id="15009" xr3:uid="{E9DBF9F1-8C35-4BA4-AED2-1EC095D7F71B}" name="Column14995"/>
    <tableColumn id="15010" xr3:uid="{8886105D-BF3D-4F47-89E8-45360164B61F}" name="Column14996"/>
    <tableColumn id="15011" xr3:uid="{827DCAB4-7668-409B-BD49-148781EBBF38}" name="Column14997"/>
    <tableColumn id="15012" xr3:uid="{D3B1BAD8-8397-47B5-ACD8-DD29FC6F2D97}" name="Column14998"/>
    <tableColumn id="15013" xr3:uid="{23FAA93A-ED1E-463B-917F-4BF3DF1EC496}" name="Column14999"/>
    <tableColumn id="15014" xr3:uid="{53C6F61C-FC5D-48CB-A387-1B63B43A1774}" name="Column15000"/>
    <tableColumn id="15015" xr3:uid="{47668D4A-B519-47A2-9F22-B95C507A4AE3}" name="Column15001"/>
    <tableColumn id="15016" xr3:uid="{24855763-ED8E-4CED-9E44-CE9F2C60C81C}" name="Column15002"/>
    <tableColumn id="15017" xr3:uid="{7ACA2B70-E59B-4882-A89C-2338DAA5A299}" name="Column15003"/>
    <tableColumn id="15018" xr3:uid="{9903D86F-031B-4FFB-85C8-5AE53DE5D567}" name="Column15004"/>
    <tableColumn id="15019" xr3:uid="{A6C22297-AFBC-4B62-B635-12B9E550F443}" name="Column15005"/>
    <tableColumn id="15020" xr3:uid="{ECA9C0A2-6184-486B-945C-46FD78EB286D}" name="Column15006"/>
    <tableColumn id="15021" xr3:uid="{790917D1-8071-44B2-9062-23FB0F074819}" name="Column15007"/>
    <tableColumn id="15022" xr3:uid="{AC7AED73-D57C-4884-B9AF-F05AD032EC46}" name="Column15008"/>
    <tableColumn id="15023" xr3:uid="{26ECCED8-779B-4ADB-8EE6-6BF78EF2EB58}" name="Column15009"/>
    <tableColumn id="15024" xr3:uid="{5F3D61FE-0567-4A3F-AF5A-94FDBD943075}" name="Column15010"/>
    <tableColumn id="15025" xr3:uid="{38930A15-C5F2-4C6A-86E3-A4B2B4700F98}" name="Column15011"/>
    <tableColumn id="15026" xr3:uid="{739548F0-9BD8-49EA-8B23-78AF0E96C5A9}" name="Column15012"/>
    <tableColumn id="15027" xr3:uid="{945367CB-8889-4FD9-A5F2-77BD7A3A733F}" name="Column15013"/>
    <tableColumn id="15028" xr3:uid="{86AC7257-EDEC-4EBB-B274-3595B88D1407}" name="Column15014"/>
    <tableColumn id="15029" xr3:uid="{CED2DE9E-4BA5-4285-8830-A5E9FCDB7257}" name="Column15015"/>
    <tableColumn id="15030" xr3:uid="{D507B2B5-BACB-4584-8104-3749DE1CF514}" name="Column15016"/>
    <tableColumn id="15031" xr3:uid="{D1621F04-DFCA-491A-99E7-257D3D6E0A4C}" name="Column15017"/>
    <tableColumn id="15032" xr3:uid="{F7BFE439-6A0A-42DF-B091-CA54431440FC}" name="Column15018"/>
    <tableColumn id="15033" xr3:uid="{D8D29E0B-B04A-4094-BB03-747A415DC205}" name="Column15019"/>
    <tableColumn id="15034" xr3:uid="{B2A12038-BC37-4E5D-A2FD-63DA480893FB}" name="Column15020"/>
    <tableColumn id="15035" xr3:uid="{A00E601B-1A16-4C5C-9765-641E23521B00}" name="Column15021"/>
    <tableColumn id="15036" xr3:uid="{F9F7F40A-7DA5-40E3-B3D7-4E1B9759C503}" name="Column15022"/>
    <tableColumn id="15037" xr3:uid="{C1A5028F-83CD-4A4B-8238-6F63800D261E}" name="Column15023"/>
    <tableColumn id="15038" xr3:uid="{9496EDF2-90B4-4137-BE9D-D442FAD3A8F7}" name="Column15024"/>
    <tableColumn id="15039" xr3:uid="{7E470942-2D73-42A2-8BD2-1B77F5E0B0F0}" name="Column15025"/>
    <tableColumn id="15040" xr3:uid="{470B3E73-02FA-4219-B1E4-A33F2B138DD5}" name="Column15026"/>
    <tableColumn id="15041" xr3:uid="{ACF5D68D-D458-4AC7-80DD-112014238B21}" name="Column15027"/>
    <tableColumn id="15042" xr3:uid="{4A78ED38-BBE9-4644-ACC6-B50E1EB1D991}" name="Column15028"/>
    <tableColumn id="15043" xr3:uid="{D9794096-616C-4D99-9F45-AEC4F56DD3BD}" name="Column15029"/>
    <tableColumn id="15044" xr3:uid="{C7F6C59C-BA83-4614-B130-9A5CABE09696}" name="Column15030"/>
    <tableColumn id="15045" xr3:uid="{D6A55883-A7CA-44F0-A48B-146A1AC2AA9D}" name="Column15031"/>
    <tableColumn id="15046" xr3:uid="{19893C6E-8B90-4708-8364-5E4002B45E5F}" name="Column15032"/>
    <tableColumn id="15047" xr3:uid="{1B9214B0-AFF6-47ED-AC98-C6C3A60F1314}" name="Column15033"/>
    <tableColumn id="15048" xr3:uid="{BBECA838-69AC-451A-83BA-20CEFB20C131}" name="Column15034"/>
    <tableColumn id="15049" xr3:uid="{61345805-CACD-4AC1-AC8A-614CACEEFC9F}" name="Column15035"/>
    <tableColumn id="15050" xr3:uid="{54B340BF-4A60-4345-96BC-D874C3773736}" name="Column15036"/>
    <tableColumn id="15051" xr3:uid="{9D7F4A90-DA2C-4224-B7E9-24A1025E0178}" name="Column15037"/>
    <tableColumn id="15052" xr3:uid="{551ACBD7-C925-4540-82D2-DB21DC69B7A9}" name="Column15038"/>
    <tableColumn id="15053" xr3:uid="{B7CA8B9F-B282-473E-8819-8D6C68A56400}" name="Column15039"/>
    <tableColumn id="15054" xr3:uid="{5F7D165B-2CC6-4D80-841A-B52E0335A37E}" name="Column15040"/>
    <tableColumn id="15055" xr3:uid="{E22FBFE5-5F74-4BD4-AEFF-C9A4DB7E52E4}" name="Column15041"/>
    <tableColumn id="15056" xr3:uid="{34E441E7-BBFE-4778-800D-2D3D5795AC23}" name="Column15042"/>
    <tableColumn id="15057" xr3:uid="{BBDB664C-0657-45DA-89B5-47371C08234B}" name="Column15043"/>
    <tableColumn id="15058" xr3:uid="{2E4BA314-78A8-48FD-A971-0D522517043F}" name="Column15044"/>
    <tableColumn id="15059" xr3:uid="{CF3005BB-EA24-4843-898D-341F52B16E28}" name="Column15045"/>
    <tableColumn id="15060" xr3:uid="{35E48125-8BD8-4EA2-B98A-460EDA112E8E}" name="Column15046"/>
    <tableColumn id="15061" xr3:uid="{6B676408-B661-4825-80F1-638D7F3AF64C}" name="Column15047"/>
    <tableColumn id="15062" xr3:uid="{88BE6F38-46E7-4A28-ABAA-D1F4B6DB6A9D}" name="Column15048"/>
    <tableColumn id="15063" xr3:uid="{4284F124-7A4A-40EB-A8C2-F806043D3D3E}" name="Column15049"/>
    <tableColumn id="15064" xr3:uid="{CE0001AA-CF2D-4C67-9A71-4B2D2D7362E8}" name="Column15050"/>
    <tableColumn id="15065" xr3:uid="{99FD2C07-EB15-496D-AB88-DA15D4717476}" name="Column15051"/>
    <tableColumn id="15066" xr3:uid="{4F1D0BAD-8BB7-4047-9D90-0D47E319857F}" name="Column15052"/>
    <tableColumn id="15067" xr3:uid="{CAC9572B-AC8D-471F-8F94-246A204A3CAA}" name="Column15053"/>
    <tableColumn id="15068" xr3:uid="{08938F4C-B20A-4198-B3AF-CEF9FEE2D42C}" name="Column15054"/>
    <tableColumn id="15069" xr3:uid="{9990D5D1-20A6-4641-BF36-1E5DB2A0875C}" name="Column15055"/>
    <tableColumn id="15070" xr3:uid="{3C8E658E-EA98-4ADC-B3D6-EFF3380C08F8}" name="Column15056"/>
    <tableColumn id="15071" xr3:uid="{25AC6F55-5206-4270-B613-5A7910000926}" name="Column15057"/>
    <tableColumn id="15072" xr3:uid="{A66A8DF5-F0E0-4953-91F0-B0940B072FF4}" name="Column15058"/>
    <tableColumn id="15073" xr3:uid="{268835D7-C13F-4B16-8950-6E1063D78D54}" name="Column15059"/>
    <tableColumn id="15074" xr3:uid="{FFC3F351-95BB-480D-A4BC-360D5EBA56CC}" name="Column15060"/>
    <tableColumn id="15075" xr3:uid="{CC5B72FD-2EFB-4927-BA01-7DDED4D1DAFF}" name="Column15061"/>
    <tableColumn id="15076" xr3:uid="{CC0C93E8-0B9A-48FE-94A6-75BD36D86E78}" name="Column15062"/>
    <tableColumn id="15077" xr3:uid="{39C39FFA-03DD-46D3-8EEE-9A21A5CEDEF3}" name="Column15063"/>
    <tableColumn id="15078" xr3:uid="{8E86BD9A-7988-4C45-B975-7FD8E8FBCFD6}" name="Column15064"/>
    <tableColumn id="15079" xr3:uid="{7638D948-9415-465C-86C2-6F491D0C002A}" name="Column15065"/>
    <tableColumn id="15080" xr3:uid="{A71C20EF-5666-461A-9C8A-BA3CA7173A27}" name="Column15066"/>
    <tableColumn id="15081" xr3:uid="{7D656870-804C-480A-97CA-D56DED51F1C8}" name="Column15067"/>
    <tableColumn id="15082" xr3:uid="{F622E509-DFC6-459D-BD4B-A0EF2B1DBFFA}" name="Column15068"/>
    <tableColumn id="15083" xr3:uid="{4A1BD00C-2DEC-4146-8145-4961E03233AD}" name="Column15069"/>
    <tableColumn id="15084" xr3:uid="{71024920-07B9-4FB2-88DB-11032C84D6A2}" name="Column15070"/>
    <tableColumn id="15085" xr3:uid="{88F90187-5128-4B64-A468-BAFFABE016D6}" name="Column15071"/>
    <tableColumn id="15086" xr3:uid="{E880641B-6F30-49BF-8049-885D6F2F4FFC}" name="Column15072"/>
    <tableColumn id="15087" xr3:uid="{A0430037-1A70-4B21-AB92-6F9A10FCD257}" name="Column15073"/>
    <tableColumn id="15088" xr3:uid="{FD14FEA5-C87A-483D-9CE0-B55DC3B32FD5}" name="Column15074"/>
    <tableColumn id="15089" xr3:uid="{67341E9A-042D-4BF7-8853-C28DCC5B0E9D}" name="Column15075"/>
    <tableColumn id="15090" xr3:uid="{32736DDD-1A5C-440D-AD67-48CDB038D227}" name="Column15076"/>
    <tableColumn id="15091" xr3:uid="{E9652105-1232-48CC-9899-7EEDEA94070F}" name="Column15077"/>
    <tableColumn id="15092" xr3:uid="{D7B2A196-71E1-425F-91B7-96AAB5526217}" name="Column15078"/>
    <tableColumn id="15093" xr3:uid="{46DDEE7B-9162-4E34-8B40-B8B61018C6B2}" name="Column15079"/>
    <tableColumn id="15094" xr3:uid="{A6BB98FD-FFEE-4E9B-BF6C-2AE16EEB3497}" name="Column15080"/>
    <tableColumn id="15095" xr3:uid="{F15827B1-32C2-444C-80C4-95D0E4511B5F}" name="Column15081"/>
    <tableColumn id="15096" xr3:uid="{F8849D4F-6703-4850-ACB4-B7FED96D9F54}" name="Column15082"/>
    <tableColumn id="15097" xr3:uid="{9586AD48-2255-4194-945B-ED421521A5D2}" name="Column15083"/>
    <tableColumn id="15098" xr3:uid="{29BFC196-F24A-4201-8D38-3B0186512522}" name="Column15084"/>
    <tableColumn id="15099" xr3:uid="{294FD84D-5798-46E0-B1C1-9DF938359197}" name="Column15085"/>
    <tableColumn id="15100" xr3:uid="{1386462A-A4A4-4DB1-9892-201572C32D17}" name="Column15086"/>
    <tableColumn id="15101" xr3:uid="{FB40567A-53EB-435B-960C-7C454624DE48}" name="Column15087"/>
    <tableColumn id="15102" xr3:uid="{31C99EA6-E81A-4C07-9DFA-DFEBD9E3D8DB}" name="Column15088"/>
    <tableColumn id="15103" xr3:uid="{BE046449-699D-4B81-B982-4EC9C5D8502D}" name="Column15089"/>
    <tableColumn id="15104" xr3:uid="{D1C5BEC2-6573-4CF6-91CF-9D00248221DA}" name="Column15090"/>
    <tableColumn id="15105" xr3:uid="{275BF8B0-ABC5-4149-BF79-A61EB2B26F22}" name="Column15091"/>
    <tableColumn id="15106" xr3:uid="{EB0D8644-ACD6-4845-9ABA-75AE3C935A00}" name="Column15092"/>
    <tableColumn id="15107" xr3:uid="{73148723-F84C-4D05-B062-2F7B04345DE5}" name="Column15093"/>
    <tableColumn id="15108" xr3:uid="{0DF8BE4B-EE91-44C7-A628-83CB77EF36B2}" name="Column15094"/>
    <tableColumn id="15109" xr3:uid="{F01D7A92-2FCA-47B3-888F-F3E13049A6DE}" name="Column15095"/>
    <tableColumn id="15110" xr3:uid="{2B1A34A1-0538-4655-A701-C93681652B3D}" name="Column15096"/>
    <tableColumn id="15111" xr3:uid="{409F6492-AF65-4784-92A1-5E57D7C9C430}" name="Column15097"/>
    <tableColumn id="15112" xr3:uid="{ED4FED1C-660E-4F67-AA7D-3E50146E9B7A}" name="Column15098"/>
    <tableColumn id="15113" xr3:uid="{FD72F7E1-37F3-4CD7-9D9E-D475755B1615}" name="Column15099"/>
    <tableColumn id="15114" xr3:uid="{6C3FD8C8-FA7C-44B7-B4F0-F9946D92D0ED}" name="Column15100"/>
    <tableColumn id="15115" xr3:uid="{842FA3A5-F72F-4232-B88B-2A6B98F73AB0}" name="Column15101"/>
    <tableColumn id="15116" xr3:uid="{5C27F19C-BE78-420F-8050-18C05B748312}" name="Column15102"/>
    <tableColumn id="15117" xr3:uid="{66926803-DA0F-44B7-8B79-CE27CDFA2BED}" name="Column15103"/>
    <tableColumn id="15118" xr3:uid="{13B02E16-2EF4-46B4-8278-4AE93213E16C}" name="Column15104"/>
    <tableColumn id="15119" xr3:uid="{CAA27535-EBB9-42C6-91A6-BB9E42BC120C}" name="Column15105"/>
    <tableColumn id="15120" xr3:uid="{6DCCA34B-F7CB-4B27-98A3-3D29CFD87DAD}" name="Column15106"/>
    <tableColumn id="15121" xr3:uid="{031A357A-17B0-45E3-BF15-E8C619C43ACF}" name="Column15107"/>
    <tableColumn id="15122" xr3:uid="{A31434F4-C2F6-4980-9095-C4E7182B0284}" name="Column15108"/>
    <tableColumn id="15123" xr3:uid="{A3B4A9DB-D966-409E-B733-7540984A7878}" name="Column15109"/>
    <tableColumn id="15124" xr3:uid="{D8E30480-D8B4-4290-8E35-C2A9DB674A06}" name="Column15110"/>
    <tableColumn id="15125" xr3:uid="{C5DCC0BF-792F-4A53-814A-16B1F964DFE2}" name="Column15111"/>
    <tableColumn id="15126" xr3:uid="{24211019-CA0E-4EDA-94B4-49BCF675BCC8}" name="Column15112"/>
    <tableColumn id="15127" xr3:uid="{8D1C7A59-A0D2-4A1C-A5F0-9BFC1BBDA893}" name="Column15113"/>
    <tableColumn id="15128" xr3:uid="{811F2524-FF57-4868-8D63-95FDAAD78F11}" name="Column15114"/>
    <tableColumn id="15129" xr3:uid="{E34D712C-40AC-48A4-8AB6-399E21F45487}" name="Column15115"/>
    <tableColumn id="15130" xr3:uid="{E8516B90-1D9E-4E90-9C19-E0452AA871C2}" name="Column15116"/>
    <tableColumn id="15131" xr3:uid="{F947716E-6D3E-4F11-AD01-29CF8AFE4B65}" name="Column15117"/>
    <tableColumn id="15132" xr3:uid="{63DEDF5C-91FD-47A7-A431-741614AF3ADE}" name="Column15118"/>
    <tableColumn id="15133" xr3:uid="{E08FFD4B-C880-4129-A37F-FC7847C91682}" name="Column15119"/>
    <tableColumn id="15134" xr3:uid="{2E32EA7A-6C28-42CF-A0A6-CA1A822FCD4D}" name="Column15120"/>
    <tableColumn id="15135" xr3:uid="{11C8E7DA-3502-4C81-957B-279BC4B57F39}" name="Column15121"/>
    <tableColumn id="15136" xr3:uid="{1F72997D-7C7F-410A-B1BA-C10EF860D812}" name="Column15122"/>
    <tableColumn id="15137" xr3:uid="{909FB015-9A1D-4010-BEA9-B4C69B5937EE}" name="Column15123"/>
    <tableColumn id="15138" xr3:uid="{E346AD22-DB89-4A4E-9718-0A1160F566E1}" name="Column15124"/>
    <tableColumn id="15139" xr3:uid="{6F451DB5-E7F8-42E7-8362-14C3623E4D2D}" name="Column15125"/>
    <tableColumn id="15140" xr3:uid="{67DD065C-8154-4472-9E0D-4B005397D42C}" name="Column15126"/>
    <tableColumn id="15141" xr3:uid="{28BCB47B-A756-4627-B77B-6647EDC1048C}" name="Column15127"/>
    <tableColumn id="15142" xr3:uid="{B8608FA6-2895-4817-8031-A22D2E1F5138}" name="Column15128"/>
    <tableColumn id="15143" xr3:uid="{01EF0BEF-CB15-4CCE-85D0-03A345FE4648}" name="Column15129"/>
    <tableColumn id="15144" xr3:uid="{1AAC610B-FE6B-402C-9BAB-7E414B898EEB}" name="Column15130"/>
    <tableColumn id="15145" xr3:uid="{AE4E74A1-5AA4-4EEC-A252-1B3B3D690E4A}" name="Column15131"/>
    <tableColumn id="15146" xr3:uid="{AD919725-2BBA-4D4E-88D4-F14B2AB3823C}" name="Column15132"/>
    <tableColumn id="15147" xr3:uid="{6AF1D025-B62A-4BCD-B1B7-C2A47C3F1684}" name="Column15133"/>
    <tableColumn id="15148" xr3:uid="{C063E1D4-5D03-46EB-B34F-E10A62E634D2}" name="Column15134"/>
    <tableColumn id="15149" xr3:uid="{F05C9BE6-3783-41BB-B26B-C1531158DC7C}" name="Column15135"/>
    <tableColumn id="15150" xr3:uid="{353D127B-6F4C-4149-9856-1ED723137F11}" name="Column15136"/>
    <tableColumn id="15151" xr3:uid="{4B0C32FB-3B0B-4778-B4E8-1DAE582C400F}" name="Column15137"/>
    <tableColumn id="15152" xr3:uid="{B7B68683-9F40-4C8D-B942-FA2B71C5D46D}" name="Column15138"/>
    <tableColumn id="15153" xr3:uid="{4430F84E-F3D0-4786-A23B-DD6273DC1D26}" name="Column15139"/>
    <tableColumn id="15154" xr3:uid="{9F403670-9541-4A4A-978E-1C20EA5694D3}" name="Column15140"/>
    <tableColumn id="15155" xr3:uid="{B3DAE683-8177-4DAC-8FC6-F5AB1308146A}" name="Column15141"/>
    <tableColumn id="15156" xr3:uid="{AC1E6C89-3CA1-429F-8277-E4EB7B9C283F}" name="Column15142"/>
    <tableColumn id="15157" xr3:uid="{38F47F81-1D17-4654-8871-DE26727F96A1}" name="Column15143"/>
    <tableColumn id="15158" xr3:uid="{133766C9-0479-4981-8042-0C3745B72BA4}" name="Column15144"/>
    <tableColumn id="15159" xr3:uid="{FA8ACD7A-0D2B-4EBF-890E-6C94978E7475}" name="Column15145"/>
    <tableColumn id="15160" xr3:uid="{883D9930-5940-4663-9C9F-85C963E93DA1}" name="Column15146"/>
    <tableColumn id="15161" xr3:uid="{419019A6-0518-4470-BC10-2421E55CE156}" name="Column15147"/>
    <tableColumn id="15162" xr3:uid="{7D998A63-22A0-411D-A8EC-80F42CAEF57D}" name="Column15148"/>
    <tableColumn id="15163" xr3:uid="{F7957A36-23EA-40E5-B133-8AE7F2A61E39}" name="Column15149"/>
    <tableColumn id="15164" xr3:uid="{A3966FB9-0B59-4897-9C6F-F586D1E73E6D}" name="Column15150"/>
    <tableColumn id="15165" xr3:uid="{F053D913-D6D6-4E87-B03D-46E2ADB5F864}" name="Column15151"/>
    <tableColumn id="15166" xr3:uid="{988CC1BA-1A12-402E-8D8F-5C23A534DB8A}" name="Column15152"/>
    <tableColumn id="15167" xr3:uid="{E292627F-2D7B-4E29-A43E-CD978B4FD2D6}" name="Column15153"/>
    <tableColumn id="15168" xr3:uid="{106CCF41-CFE5-40EB-9A5B-EC6D14FB6DCB}" name="Column15154"/>
    <tableColumn id="15169" xr3:uid="{56794011-DC76-4F8E-8C23-02BB16E94599}" name="Column15155"/>
    <tableColumn id="15170" xr3:uid="{2FA56F14-6F02-44E9-936A-C12F46B7D59E}" name="Column15156"/>
    <tableColumn id="15171" xr3:uid="{C5AA0FE0-E071-4F6E-9113-5F2ACAA027D2}" name="Column15157"/>
    <tableColumn id="15172" xr3:uid="{D1D50081-4DFA-4945-963F-2694DDD96C55}" name="Column15158"/>
    <tableColumn id="15173" xr3:uid="{77F2EF7E-AE10-4F02-97F9-C4753339B600}" name="Column15159"/>
    <tableColumn id="15174" xr3:uid="{DD7DD014-1F79-4477-993B-6A73498F47B0}" name="Column15160"/>
    <tableColumn id="15175" xr3:uid="{B0969A86-5853-43F8-9612-443A1ED4C2B1}" name="Column15161"/>
    <tableColumn id="15176" xr3:uid="{0D5F6A27-594A-4A5D-AAA9-E1F44730F173}" name="Column15162"/>
    <tableColumn id="15177" xr3:uid="{5FB1DB72-D10E-4348-B5EE-651A174D6BAB}" name="Column15163"/>
    <tableColumn id="15178" xr3:uid="{28D6E367-44B4-42CA-8276-ABD01D0297F5}" name="Column15164"/>
    <tableColumn id="15179" xr3:uid="{4B590DB8-CD12-4F2F-86C3-B2D2ABF314BE}" name="Column15165"/>
    <tableColumn id="15180" xr3:uid="{C48569C5-34D0-4ECF-818A-2049CDC9CCA5}" name="Column15166"/>
    <tableColumn id="15181" xr3:uid="{0392CD4A-FDC1-46B4-919C-9403240D0672}" name="Column15167"/>
    <tableColumn id="15182" xr3:uid="{DFCC3E8C-D77A-40CE-8C05-ED5E808843FA}" name="Column15168"/>
    <tableColumn id="15183" xr3:uid="{77E22F35-817C-4E1C-8CF8-51800F9A8D68}" name="Column15169"/>
    <tableColumn id="15184" xr3:uid="{69A9A67E-4D2C-4546-85BE-20A7E229C57A}" name="Column15170"/>
    <tableColumn id="15185" xr3:uid="{1A0D129B-2263-4EAF-BC52-E73EA96AC3A0}" name="Column15171"/>
    <tableColumn id="15186" xr3:uid="{17CFBF00-6CB3-4165-8091-96522264F75C}" name="Column15172"/>
    <tableColumn id="15187" xr3:uid="{B0600218-82FC-4CD7-B757-38640AC29594}" name="Column15173"/>
    <tableColumn id="15188" xr3:uid="{EEB5E7D0-9188-42D2-8848-22D6CD225315}" name="Column15174"/>
    <tableColumn id="15189" xr3:uid="{D9EECF9A-0886-4C7B-B3AA-D959157FAD36}" name="Column15175"/>
    <tableColumn id="15190" xr3:uid="{025A588F-FEB8-4C75-BFE7-7636478000D0}" name="Column15176"/>
    <tableColumn id="15191" xr3:uid="{D9A3DB88-4D07-4A52-A55D-B258ADD32BA1}" name="Column15177"/>
    <tableColumn id="15192" xr3:uid="{1BE35378-6318-4F3E-856B-17AA46E363B8}" name="Column15178"/>
    <tableColumn id="15193" xr3:uid="{F5A80B42-AEB3-4FC8-A376-CD993EA4B53B}" name="Column15179"/>
    <tableColumn id="15194" xr3:uid="{8E548A30-5E45-4EC3-93B7-106C9683FFBB}" name="Column15180"/>
    <tableColumn id="15195" xr3:uid="{3D4F8D24-97B9-4DDA-B075-373425007D62}" name="Column15181"/>
    <tableColumn id="15196" xr3:uid="{1A43407A-2D43-4A48-8F95-F064F72717CB}" name="Column15182"/>
    <tableColumn id="15197" xr3:uid="{82AA2CA9-F089-4CB3-A6CE-0FA5F9807DB7}" name="Column15183"/>
    <tableColumn id="15198" xr3:uid="{17BB253C-6DDA-46B8-B17A-D93EB90939CB}" name="Column15184"/>
    <tableColumn id="15199" xr3:uid="{C8AE1913-F519-4F6A-A39E-5E3B4330C617}" name="Column15185"/>
    <tableColumn id="15200" xr3:uid="{0F4F8C7D-A372-4894-AC82-189DBC911F87}" name="Column15186"/>
    <tableColumn id="15201" xr3:uid="{C3C97329-2A16-40D6-BAB1-48F6D03400BF}" name="Column15187"/>
    <tableColumn id="15202" xr3:uid="{D78E7778-7C59-49AF-B4F7-4D6467EA56D0}" name="Column15188"/>
    <tableColumn id="15203" xr3:uid="{1250BE4A-148A-4FE4-AC0C-7812321F09BD}" name="Column15189"/>
    <tableColumn id="15204" xr3:uid="{98988483-A1B6-4DAA-8369-04B6AE18A861}" name="Column15190"/>
    <tableColumn id="15205" xr3:uid="{63C1A4B9-56D9-488A-ABA1-896D90DEDA2F}" name="Column15191"/>
    <tableColumn id="15206" xr3:uid="{C23FF621-E1CF-49F9-9CB2-04A10898F724}" name="Column15192"/>
    <tableColumn id="15207" xr3:uid="{59B19197-CC83-4E1C-A43C-08CF79F32250}" name="Column15193"/>
    <tableColumn id="15208" xr3:uid="{F8EAC8E5-B91A-47D5-BBB6-2BCD20DB55D3}" name="Column15194"/>
    <tableColumn id="15209" xr3:uid="{6003637C-D352-48B4-8CBE-163783F3F00F}" name="Column15195"/>
    <tableColumn id="15210" xr3:uid="{1A2B2D9B-58BC-4D2A-8586-C69E50DD8DE1}" name="Column15196"/>
    <tableColumn id="15211" xr3:uid="{CF88F921-2F79-4CB5-9A57-9F917833FD68}" name="Column15197"/>
    <tableColumn id="15212" xr3:uid="{8899D1A8-4E8B-4C61-8ED8-7DE7CD43EF9E}" name="Column15198"/>
    <tableColumn id="15213" xr3:uid="{FE84B36A-FCFD-4CAB-B6DD-7E5CBB027513}" name="Column15199"/>
    <tableColumn id="15214" xr3:uid="{80FB7FE7-6C9C-4C90-B628-75182C67BF67}" name="Column15200"/>
    <tableColumn id="15215" xr3:uid="{FF075575-B53C-4D23-8DDA-5923541D37BE}" name="Column15201"/>
    <tableColumn id="15216" xr3:uid="{437AE792-17A9-4FD3-86F8-09F94C7B5694}" name="Column15202"/>
    <tableColumn id="15217" xr3:uid="{24E666ED-B301-45B1-A869-5D0A41FEB4CD}" name="Column15203"/>
    <tableColumn id="15218" xr3:uid="{072D57B2-8460-4F4B-A9EF-FDD0BFB92305}" name="Column15204"/>
    <tableColumn id="15219" xr3:uid="{80FF54EE-AB45-4A0A-BDC6-A58ADCC2C22C}" name="Column15205"/>
    <tableColumn id="15220" xr3:uid="{624363B0-845D-40BC-8801-9D11F5A5BD9F}" name="Column15206"/>
    <tableColumn id="15221" xr3:uid="{A48E0E6F-BDD8-4586-A53F-FD2BC213DA03}" name="Column15207"/>
    <tableColumn id="15222" xr3:uid="{62604005-9AF1-45C9-A258-898C6B4D789E}" name="Column15208"/>
    <tableColumn id="15223" xr3:uid="{95DEEE1C-4F14-40F5-A59C-9DC7EE0E7990}" name="Column15209"/>
    <tableColumn id="15224" xr3:uid="{73F71628-1123-4C31-B9E8-0BB55533C708}" name="Column15210"/>
    <tableColumn id="15225" xr3:uid="{C0250E01-950F-400D-A317-CA04899A78E6}" name="Column15211"/>
    <tableColumn id="15226" xr3:uid="{FE8DF896-C498-4149-802C-333DBE2C574C}" name="Column15212"/>
    <tableColumn id="15227" xr3:uid="{AC7F1A6E-A407-46C9-B7E5-523049F19410}" name="Column15213"/>
    <tableColumn id="15228" xr3:uid="{C9EE37A4-B62A-4A3E-BA86-DF976B00B7DB}" name="Column15214"/>
    <tableColumn id="15229" xr3:uid="{F7AC4A4C-8672-4F0C-A993-E159F154C06B}" name="Column15215"/>
    <tableColumn id="15230" xr3:uid="{2BFD985E-ABE0-4515-8D57-73E21294D2CA}" name="Column15216"/>
    <tableColumn id="15231" xr3:uid="{4B74F25C-576D-47F9-AC34-A89D132EE70B}" name="Column15217"/>
    <tableColumn id="15232" xr3:uid="{CFD8D714-3F03-4E89-9BEC-83EAAD2FC225}" name="Column15218"/>
    <tableColumn id="15233" xr3:uid="{165EA24C-BB90-4799-A578-7E98F04424FF}" name="Column15219"/>
    <tableColumn id="15234" xr3:uid="{A48C42B0-62A5-4E1F-838E-0F47B957B91E}" name="Column15220"/>
    <tableColumn id="15235" xr3:uid="{8D4E8AE3-A284-4795-BB94-558722EC3BB9}" name="Column15221"/>
    <tableColumn id="15236" xr3:uid="{6C306BF3-7B61-4DC9-B121-36F6C8BBB183}" name="Column15222"/>
    <tableColumn id="15237" xr3:uid="{F7D3BCA9-4CCA-4BD7-B16F-08CEA6955955}" name="Column15223"/>
    <tableColumn id="15238" xr3:uid="{353DB86D-FD0A-4988-8CDF-5F1BDE1B3CA1}" name="Column15224"/>
    <tableColumn id="15239" xr3:uid="{A2E2C523-2481-468A-883F-FDB100F96848}" name="Column15225"/>
    <tableColumn id="15240" xr3:uid="{D668C8F8-B7C3-4438-810E-D5E30EA8778E}" name="Column15226"/>
    <tableColumn id="15241" xr3:uid="{B9E8EBD0-CC05-415B-84A2-9C3C98859D0D}" name="Column15227"/>
    <tableColumn id="15242" xr3:uid="{0B9B7592-4C7D-432E-8B48-CBB7FBE01FDF}" name="Column15228"/>
    <tableColumn id="15243" xr3:uid="{BF8472D9-F84B-4309-92C2-CA2F98D9BB1D}" name="Column15229"/>
    <tableColumn id="15244" xr3:uid="{8406B7BC-73F5-4627-B278-F23C339D994F}" name="Column15230"/>
    <tableColumn id="15245" xr3:uid="{057BBAE1-5968-4714-8A54-49A879A89457}" name="Column15231"/>
    <tableColumn id="15246" xr3:uid="{34E18DDC-72A9-4EA7-BF6B-6306FA749D0C}" name="Column15232"/>
    <tableColumn id="15247" xr3:uid="{97ABACA6-EE09-47D2-970C-B6A90537EC06}" name="Column15233"/>
    <tableColumn id="15248" xr3:uid="{7A3B49C7-B70F-4EFD-A7EA-C784A29AA1E7}" name="Column15234"/>
    <tableColumn id="15249" xr3:uid="{F530E3F9-BE29-49EF-B39D-69C342D463C9}" name="Column15235"/>
    <tableColumn id="15250" xr3:uid="{789DA376-2310-41A1-AB39-126A5FA91FE1}" name="Column15236"/>
    <tableColumn id="15251" xr3:uid="{B0772B5A-7FBA-467D-B7A3-F367E9D00FCC}" name="Column15237"/>
    <tableColumn id="15252" xr3:uid="{ACB0E5B6-34F9-48C5-A10C-E55EF836C62C}" name="Column15238"/>
    <tableColumn id="15253" xr3:uid="{637C8DDB-BB95-4881-A537-9560426F9FB3}" name="Column15239"/>
    <tableColumn id="15254" xr3:uid="{2DF9F404-880F-4CF2-9140-6BA7810BCA55}" name="Column15240"/>
    <tableColumn id="15255" xr3:uid="{D2891862-3413-455C-B388-A46715E717FE}" name="Column15241"/>
    <tableColumn id="15256" xr3:uid="{A782B5A7-A947-402F-B825-EEF9679E440D}" name="Column15242"/>
    <tableColumn id="15257" xr3:uid="{540590EC-FAD3-4660-8397-6C0E37910740}" name="Column15243"/>
    <tableColumn id="15258" xr3:uid="{3E004AFC-DAC3-478D-A3B2-0014E28239D0}" name="Column15244"/>
    <tableColumn id="15259" xr3:uid="{94B8004C-4822-4B7D-8105-9B93AFDDB878}" name="Column15245"/>
    <tableColumn id="15260" xr3:uid="{EB3C8AC9-1623-4A73-B1DB-A5DDDEFC70B4}" name="Column15246"/>
    <tableColumn id="15261" xr3:uid="{77F1DF0E-329C-484A-AC30-E217A9BD1ED6}" name="Column15247"/>
    <tableColumn id="15262" xr3:uid="{A3854781-8AE6-439D-8201-C2305962C97B}" name="Column15248"/>
    <tableColumn id="15263" xr3:uid="{9352B9F3-EEA9-4983-90EE-FA2F723EDCFC}" name="Column15249"/>
    <tableColumn id="15264" xr3:uid="{57E882A0-222F-42C3-BC41-6EF2E4888782}" name="Column15250"/>
    <tableColumn id="15265" xr3:uid="{151D65F6-B105-4029-A4AF-E0562A5D23F5}" name="Column15251"/>
    <tableColumn id="15266" xr3:uid="{D4F31899-65E8-4D41-9E1D-F4AA8B9EFECE}" name="Column15252"/>
    <tableColumn id="15267" xr3:uid="{C07D01A3-E854-4DE0-ACEF-E462EAAE9354}" name="Column15253"/>
    <tableColumn id="15268" xr3:uid="{720EA28E-492D-4C16-8E81-797118F68541}" name="Column15254"/>
    <tableColumn id="15269" xr3:uid="{FA088174-BCAD-4245-8ABB-1EC4A75D9ED4}" name="Column15255"/>
    <tableColumn id="15270" xr3:uid="{8CE1FF6C-E5CB-45B4-BB9A-5883564EF8C1}" name="Column15256"/>
    <tableColumn id="15271" xr3:uid="{FEF5DC4D-FB6B-4EED-84DE-47552D2CB923}" name="Column15257"/>
    <tableColumn id="15272" xr3:uid="{A4CE6F17-2F7A-4622-A426-A961EEE32E2A}" name="Column15258"/>
    <tableColumn id="15273" xr3:uid="{7E2381F3-E726-4033-A919-6587F9933441}" name="Column15259"/>
    <tableColumn id="15274" xr3:uid="{000F8709-D013-40EE-B685-9FFC8357C4F8}" name="Column15260"/>
    <tableColumn id="15275" xr3:uid="{36DEE3B1-04C6-4394-BD19-6D0A528909C9}" name="Column15261"/>
    <tableColumn id="15276" xr3:uid="{E607451F-4330-41E1-B6AC-EFD92BEEFCFF}" name="Column15262"/>
    <tableColumn id="15277" xr3:uid="{EFAF2EDF-77B1-4F2C-8D3F-41AA8A61B675}" name="Column15263"/>
    <tableColumn id="15278" xr3:uid="{929FAD90-0278-4224-85E7-36D3B8A2A336}" name="Column15264"/>
    <tableColumn id="15279" xr3:uid="{BC9ED6CA-46D7-48C5-ADF2-2EB506732CC7}" name="Column15265"/>
    <tableColumn id="15280" xr3:uid="{64AA06DA-522F-458C-9505-0401AFA30229}" name="Column15266"/>
    <tableColumn id="15281" xr3:uid="{A27492FE-1869-4179-891D-A28DB5E4D817}" name="Column15267"/>
    <tableColumn id="15282" xr3:uid="{59D0754E-70CA-4FC9-A8B1-BE7FF4073C25}" name="Column15268"/>
    <tableColumn id="15283" xr3:uid="{519C6116-2F38-4195-8442-C673C9C0C619}" name="Column15269"/>
    <tableColumn id="15284" xr3:uid="{B2931096-222F-4DAA-9791-81508FD09F38}" name="Column15270"/>
    <tableColumn id="15285" xr3:uid="{F27E8B73-00D4-4F2C-A956-85089574B322}" name="Column15271"/>
    <tableColumn id="15286" xr3:uid="{927D0530-0D07-4838-811C-A0B4A774F35A}" name="Column15272"/>
    <tableColumn id="15287" xr3:uid="{C6667CAE-D79E-4ADB-9551-83EA077A9943}" name="Column15273"/>
    <tableColumn id="15288" xr3:uid="{DC61EF87-1EF6-418A-BB59-C7B35E84B2E1}" name="Column15274"/>
    <tableColumn id="15289" xr3:uid="{D6BE9EB9-D41D-4D96-BB26-946ACDB93B0E}" name="Column15275"/>
    <tableColumn id="15290" xr3:uid="{372F6113-11BD-4AEE-9466-70FD5F6344F9}" name="Column15276"/>
    <tableColumn id="15291" xr3:uid="{C6AD103E-FF52-43CB-83C3-62DB44A303EB}" name="Column15277"/>
    <tableColumn id="15292" xr3:uid="{B39CB02B-401A-4D5A-AEEF-BF2DBCB02899}" name="Column15278"/>
    <tableColumn id="15293" xr3:uid="{3ECAE87F-AB81-40E7-8090-2A93C2E5E862}" name="Column15279"/>
    <tableColumn id="15294" xr3:uid="{EDE2DC7E-72BC-483B-B676-C6B30357B65A}" name="Column15280"/>
    <tableColumn id="15295" xr3:uid="{C6195F33-6173-4D1C-B43C-6BDDA674AFAE}" name="Column15281"/>
    <tableColumn id="15296" xr3:uid="{FAFF6E37-04C3-41FD-981B-E09942DABD0E}" name="Column15282"/>
    <tableColumn id="15297" xr3:uid="{BBA6CEF3-ABF3-4B1A-845F-E0B8A1CD6451}" name="Column15283"/>
    <tableColumn id="15298" xr3:uid="{6DEFBC04-EDE8-414D-8E9F-A32E1898E6A5}" name="Column15284"/>
    <tableColumn id="15299" xr3:uid="{5B9C17EB-C339-4023-BC95-1B2C2E48B724}" name="Column15285"/>
    <tableColumn id="15300" xr3:uid="{5B51E0B6-552B-48AD-B150-D6CC9B95473F}" name="Column15286"/>
    <tableColumn id="15301" xr3:uid="{E575841C-9C46-4F82-B887-B26C142C4873}" name="Column15287"/>
    <tableColumn id="15302" xr3:uid="{6BF2F9A8-1A4E-4FB6-892A-1E50DA950B46}" name="Column15288"/>
    <tableColumn id="15303" xr3:uid="{FB808BB6-251C-4FDA-8017-902550F32CF9}" name="Column15289"/>
    <tableColumn id="15304" xr3:uid="{02229F6E-F9E3-4F4F-BF72-1E35C0FDF0DE}" name="Column15290"/>
    <tableColumn id="15305" xr3:uid="{4D357F49-FAAC-400B-B320-FDE8463A921F}" name="Column15291"/>
    <tableColumn id="15306" xr3:uid="{D1D8E96A-707B-4EB8-A2B3-634B488246CE}" name="Column15292"/>
    <tableColumn id="15307" xr3:uid="{DDB2E33F-F59F-4BCF-A97A-3E3E19036DBB}" name="Column15293"/>
    <tableColumn id="15308" xr3:uid="{8A32DAE0-B1B1-4C86-BD01-FE23F14B294A}" name="Column15294"/>
    <tableColumn id="15309" xr3:uid="{6A1EBE15-9EE4-4DAD-8E82-BA91800C6196}" name="Column15295"/>
    <tableColumn id="15310" xr3:uid="{B3656F3B-4D48-4475-AB74-9D7D243FF8D0}" name="Column15296"/>
    <tableColumn id="15311" xr3:uid="{20330C09-FAF6-4D03-BC0B-EE379BD51D1B}" name="Column15297"/>
    <tableColumn id="15312" xr3:uid="{241893CF-FF61-48BC-AAF9-6CB3ECFF49E0}" name="Column15298"/>
    <tableColumn id="15313" xr3:uid="{B4D15BB9-5956-4D59-BECB-25FD5FE5B1CD}" name="Column15299"/>
    <tableColumn id="15314" xr3:uid="{07335FD4-1B5F-44D3-8CDB-F3BBF1384201}" name="Column15300"/>
    <tableColumn id="15315" xr3:uid="{CA5AEB50-E63A-453A-BC67-91ADE93074BB}" name="Column15301"/>
    <tableColumn id="15316" xr3:uid="{A7E9C2D7-3828-4F1B-BF79-7918AC13AD5B}" name="Column15302"/>
    <tableColumn id="15317" xr3:uid="{ED0770D4-E9A0-411F-AE6C-59E4DC25769B}" name="Column15303"/>
    <tableColumn id="15318" xr3:uid="{310E4965-1A2B-4789-AAA9-9BDBF1990EE5}" name="Column15304"/>
    <tableColumn id="15319" xr3:uid="{80013330-4F7A-4084-A65B-7D6C9B222B1A}" name="Column15305"/>
    <tableColumn id="15320" xr3:uid="{D46F7F02-0599-42C1-B183-718A3F700B00}" name="Column15306"/>
    <tableColumn id="15321" xr3:uid="{3009BCDD-14F0-4A1B-9D25-BA72F6E3E9BF}" name="Column15307"/>
    <tableColumn id="15322" xr3:uid="{32D8DCF2-4586-49E7-BF60-F62892C30B0B}" name="Column15308"/>
    <tableColumn id="15323" xr3:uid="{EE64773A-FD8A-4718-B348-D08B7467EFD7}" name="Column15309"/>
    <tableColumn id="15324" xr3:uid="{5A2B3F01-E8EE-4640-8A7B-22D35381C74A}" name="Column15310"/>
    <tableColumn id="15325" xr3:uid="{FCF61A03-03F7-4358-95F1-FD8A649ED408}" name="Column15311"/>
    <tableColumn id="15326" xr3:uid="{87E8EBB5-278F-49D0-8FDC-90CD4588B629}" name="Column15312"/>
    <tableColumn id="15327" xr3:uid="{431F8517-AD93-461B-8BE0-F9F2EB3FD36A}" name="Column15313"/>
    <tableColumn id="15328" xr3:uid="{FFEEC008-1E3D-4159-B819-7A8BF445A118}" name="Column15314"/>
    <tableColumn id="15329" xr3:uid="{9F93F0BA-F329-4C1C-B561-621097A7C3AF}" name="Column15315"/>
    <tableColumn id="15330" xr3:uid="{A6FDA4F0-0EAD-4292-BD22-1D1EF1E731BE}" name="Column15316"/>
    <tableColumn id="15331" xr3:uid="{52A0859B-49DB-4FC1-BC9A-8C3E3DDE7EEE}" name="Column15317"/>
    <tableColumn id="15332" xr3:uid="{A7130DBB-B548-4D52-8127-346843292638}" name="Column15318"/>
    <tableColumn id="15333" xr3:uid="{C3ECF0B5-E887-4E9C-A585-F4D4921DEDD6}" name="Column15319"/>
    <tableColumn id="15334" xr3:uid="{245B4F3F-DCBE-4B0C-AC8E-92E240504ABD}" name="Column15320"/>
    <tableColumn id="15335" xr3:uid="{08AB4F4C-B5DA-49F3-956E-311958761316}" name="Column15321"/>
    <tableColumn id="15336" xr3:uid="{51E7F2B2-F989-4EF3-A14D-5D8319ECD9B5}" name="Column15322"/>
    <tableColumn id="15337" xr3:uid="{380BEA1E-5C3A-4F59-8A6D-EDDB6BFB3ABA}" name="Column15323"/>
    <tableColumn id="15338" xr3:uid="{F560EA30-FA33-4834-B61D-D59AF852B25D}" name="Column15324"/>
    <tableColumn id="15339" xr3:uid="{94E0FE17-5F91-4DB9-9A13-0A14D6307C33}" name="Column15325"/>
    <tableColumn id="15340" xr3:uid="{EF3193FC-E7E6-434D-8434-A0D56AD9AB57}" name="Column15326"/>
    <tableColumn id="15341" xr3:uid="{4E9382CC-9DB6-4BAD-96F8-DB05CB0733B3}" name="Column15327"/>
    <tableColumn id="15342" xr3:uid="{2245E54A-A6B0-4714-BC66-F2ABDB6B8BEE}" name="Column15328"/>
    <tableColumn id="15343" xr3:uid="{E6F17B19-243E-49B3-8BA2-C92870BA6D27}" name="Column15329"/>
    <tableColumn id="15344" xr3:uid="{2A61BFA0-D885-48C5-B48B-7FDB1427B4F4}" name="Column15330"/>
    <tableColumn id="15345" xr3:uid="{CE9F479D-0013-44AC-9882-C7446D95DDDB}" name="Column15331"/>
    <tableColumn id="15346" xr3:uid="{600B7DC8-98B6-424C-BDAF-4FD3CD6DADB8}" name="Column15332"/>
    <tableColumn id="15347" xr3:uid="{B9CCC38F-E395-43EC-9793-E3A19D9B38AA}" name="Column15333"/>
    <tableColumn id="15348" xr3:uid="{8AE1612D-B049-4E46-B258-8044DC6C8A5B}" name="Column15334"/>
    <tableColumn id="15349" xr3:uid="{6D944C51-196A-4B99-866D-0AFB463EBED8}" name="Column15335"/>
    <tableColumn id="15350" xr3:uid="{6B0C0C94-B2A7-49FE-A4F0-818FC2D32839}" name="Column15336"/>
    <tableColumn id="15351" xr3:uid="{C8484DF5-5A4D-4D67-A09D-81DB0884337D}" name="Column15337"/>
    <tableColumn id="15352" xr3:uid="{4C5E3C6A-6081-415C-A49D-500FA128DC39}" name="Column15338"/>
    <tableColumn id="15353" xr3:uid="{17613E47-4B80-437D-AA1B-5F47FE28D75A}" name="Column15339"/>
    <tableColumn id="15354" xr3:uid="{4E9B590C-A237-4C8B-81DC-80256ABE6C3F}" name="Column15340"/>
    <tableColumn id="15355" xr3:uid="{C7633FD4-E1CC-4EF6-9456-B016CC0411C3}" name="Column15341"/>
    <tableColumn id="15356" xr3:uid="{8B24D450-FE39-4566-8E83-975786959704}" name="Column15342"/>
    <tableColumn id="15357" xr3:uid="{D8309E8E-3396-4397-989D-641C70A6FC58}" name="Column15343"/>
    <tableColumn id="15358" xr3:uid="{B943F147-AF2C-4E54-A703-2FB8ED881BD5}" name="Column15344"/>
    <tableColumn id="15359" xr3:uid="{85F97673-7240-4201-B99A-B6FE81179538}" name="Column15345"/>
    <tableColumn id="15360" xr3:uid="{31E74005-229A-428E-B40C-01A310D6BA3E}" name="Column15346"/>
    <tableColumn id="15361" xr3:uid="{93E4B0D8-D31F-46F6-B701-A553AB902CE3}" name="Column15347"/>
    <tableColumn id="15362" xr3:uid="{E6CCC895-8B8D-4ED3-866D-6374DCB55BD7}" name="Column15348"/>
    <tableColumn id="15363" xr3:uid="{FFF582CC-762C-48BC-A907-2D2685EA5421}" name="Column15349"/>
    <tableColumn id="15364" xr3:uid="{35D772BF-F079-4C71-BD96-E0FAB15EB3C4}" name="Column15350"/>
    <tableColumn id="15365" xr3:uid="{B495C00E-0489-423A-B0FE-41E62885E7FC}" name="Column15351"/>
    <tableColumn id="15366" xr3:uid="{C63FCC7D-A158-4F38-9FAF-D981900AE91F}" name="Column15352"/>
    <tableColumn id="15367" xr3:uid="{EE414EE8-7655-448E-B98D-8EE088E65DA8}" name="Column15353"/>
    <tableColumn id="15368" xr3:uid="{65A33259-83A8-49E7-9D3E-FFCB9173C5C9}" name="Column15354"/>
    <tableColumn id="15369" xr3:uid="{3AACB285-2AC8-4358-8C99-408440580B3E}" name="Column15355"/>
    <tableColumn id="15370" xr3:uid="{CBDE1A3F-F508-4015-8CF7-A46E658B4683}" name="Column15356"/>
    <tableColumn id="15371" xr3:uid="{7482D70C-C0AC-42D3-9365-D80DACDB12F5}" name="Column15357"/>
    <tableColumn id="15372" xr3:uid="{08C38A72-2D77-4048-ABC5-C92FD86295C9}" name="Column15358"/>
    <tableColumn id="15373" xr3:uid="{8DFB2E4E-82C6-4E9F-ABE3-03C6A15F7629}" name="Column15359"/>
    <tableColumn id="15374" xr3:uid="{38650EE8-9635-4560-A47C-5F34F746B6A2}" name="Column15360"/>
    <tableColumn id="15375" xr3:uid="{CEA4BC49-98FB-4D11-9284-7CCCC9710C70}" name="Column15361"/>
    <tableColumn id="15376" xr3:uid="{802318E0-21AF-49B3-9067-C8A82D14780F}" name="Column15362"/>
    <tableColumn id="15377" xr3:uid="{7CCE34B7-2F3A-4613-A0DB-01B4AD219777}" name="Column15363"/>
    <tableColumn id="15378" xr3:uid="{040451A7-FD5F-4D29-B565-507BEF7B51F0}" name="Column15364"/>
    <tableColumn id="15379" xr3:uid="{B44E3B2A-B37E-4455-AAFC-96E4B91D7EA8}" name="Column15365"/>
    <tableColumn id="15380" xr3:uid="{052D9A88-43F1-465D-84CA-86A082B9C88A}" name="Column15366"/>
    <tableColumn id="15381" xr3:uid="{C7F85D41-39FB-4F85-8666-65EFF7B58A40}" name="Column15367"/>
    <tableColumn id="15382" xr3:uid="{DC2ADF2B-2E6D-4C2B-86E6-3651955F0005}" name="Column15368"/>
    <tableColumn id="15383" xr3:uid="{FB38D99E-AF23-499F-B34E-858F5148CF35}" name="Column15369"/>
    <tableColumn id="15384" xr3:uid="{49C06CF3-AFB1-440E-915A-6925E29677D2}" name="Column15370"/>
    <tableColumn id="15385" xr3:uid="{725A66A3-2B78-46DE-8D6A-BD8C3C004080}" name="Column15371"/>
    <tableColumn id="15386" xr3:uid="{9A46D732-2D58-4411-B729-BC5A29D53DF9}" name="Column15372"/>
    <tableColumn id="15387" xr3:uid="{F809CA48-DF65-46C1-980D-865827142A0D}" name="Column15373"/>
    <tableColumn id="15388" xr3:uid="{2DE3E138-063B-4163-8DB0-84D6BF639E40}" name="Column15374"/>
    <tableColumn id="15389" xr3:uid="{151AEF26-3D9F-40CE-B86C-54365A574E95}" name="Column15375"/>
    <tableColumn id="15390" xr3:uid="{4917A7D1-236C-4D18-8D25-D6AC133311A1}" name="Column15376"/>
    <tableColumn id="15391" xr3:uid="{87F1203F-54C1-495D-B27C-99889D578874}" name="Column15377"/>
    <tableColumn id="15392" xr3:uid="{962C8BBF-7249-4223-9A66-7CA2C6ECEB8C}" name="Column15378"/>
    <tableColumn id="15393" xr3:uid="{DA904963-7C80-4328-9465-089CB91EECD8}" name="Column15379"/>
    <tableColumn id="15394" xr3:uid="{CAAA04C4-0671-41ED-B7D0-B45C95CB18A1}" name="Column15380"/>
    <tableColumn id="15395" xr3:uid="{72435DC2-43DF-49AD-B158-814CC599E8AA}" name="Column15381"/>
    <tableColumn id="15396" xr3:uid="{AD6BC395-9580-44AC-AA24-6747ABEDBCE5}" name="Column15382"/>
    <tableColumn id="15397" xr3:uid="{88E1BA35-A9AA-4AE8-BC1D-5BDF82EE940B}" name="Column15383"/>
    <tableColumn id="15398" xr3:uid="{CE8704C1-4ECF-4A83-A1F8-A1A2D1314DF5}" name="Column15384"/>
    <tableColumn id="15399" xr3:uid="{9733BF0C-EFD1-41C7-979D-E4CDE1C4E762}" name="Column15385"/>
    <tableColumn id="15400" xr3:uid="{439B3B0B-B5C5-46B2-968E-3200CD5942C2}" name="Column15386"/>
    <tableColumn id="15401" xr3:uid="{F9E3199E-1F25-4EE0-AA55-E95A23A078AA}" name="Column15387"/>
    <tableColumn id="15402" xr3:uid="{4BC0C46C-70A5-4AD4-B722-1262FB5109FF}" name="Column15388"/>
    <tableColumn id="15403" xr3:uid="{BBEF0438-F4B4-458A-8FE1-18FD96763BDD}" name="Column15389"/>
    <tableColumn id="15404" xr3:uid="{37C8F2E8-3755-4BBF-BC4F-3E64792273AE}" name="Column15390"/>
    <tableColumn id="15405" xr3:uid="{4E70CDA1-B4F0-4FF1-9A8E-DA0D507560DE}" name="Column15391"/>
    <tableColumn id="15406" xr3:uid="{41423F74-B709-4C59-B510-9E3EBFBE31FA}" name="Column15392"/>
    <tableColumn id="15407" xr3:uid="{B462C167-6D7B-4977-89B3-6B8582723DAC}" name="Column15393"/>
    <tableColumn id="15408" xr3:uid="{965EA03E-A2D3-46F4-84CA-3BD11634983E}" name="Column15394"/>
    <tableColumn id="15409" xr3:uid="{9617B715-AEDC-45AC-A351-14086DCC6B2A}" name="Column15395"/>
    <tableColumn id="15410" xr3:uid="{7A4DC625-6F1F-4E5C-9712-A7AD7A25A930}" name="Column15396"/>
    <tableColumn id="15411" xr3:uid="{FD28AAFB-A3AD-4594-8615-DD27CD0C54A1}" name="Column15397"/>
    <tableColumn id="15412" xr3:uid="{A8B062A6-C485-4F19-8BD5-329592AF1154}" name="Column15398"/>
    <tableColumn id="15413" xr3:uid="{B34CBDBB-8149-418B-805D-A59C7C95F5C9}" name="Column15399"/>
    <tableColumn id="15414" xr3:uid="{4D74B11D-C6F0-4B4E-9E70-18D26BEDBF41}" name="Column15400"/>
    <tableColumn id="15415" xr3:uid="{3B5751B0-9529-47F2-BD1A-FE8B6B3089C7}" name="Column15401"/>
    <tableColumn id="15416" xr3:uid="{637F8057-1655-4563-A941-5B1C4C6DD159}" name="Column15402"/>
    <tableColumn id="15417" xr3:uid="{64FF3C74-F353-4C53-B499-8C44BF8C0E65}" name="Column15403"/>
    <tableColumn id="15418" xr3:uid="{848D5135-A90D-4C83-88CE-B611D8C9DD47}" name="Column15404"/>
    <tableColumn id="15419" xr3:uid="{348DF5A7-0E65-4C6F-B267-0FDB51A81F1E}" name="Column15405"/>
    <tableColumn id="15420" xr3:uid="{43CEB446-77E9-4940-A194-E4BDBA539657}" name="Column15406"/>
    <tableColumn id="15421" xr3:uid="{6C47F8D7-20B9-429C-BDBE-AE35DF300417}" name="Column15407"/>
    <tableColumn id="15422" xr3:uid="{E3235AD9-7215-406D-B240-36D711167B4E}" name="Column15408"/>
    <tableColumn id="15423" xr3:uid="{6E6ADA3A-D5EC-48ED-942B-3C24419B3B67}" name="Column15409"/>
    <tableColumn id="15424" xr3:uid="{46FE0B07-6E50-4233-B15E-6EFE5D8C98C2}" name="Column15410"/>
    <tableColumn id="15425" xr3:uid="{CE48D692-8508-4445-BF1C-0B1C5611E004}" name="Column15411"/>
    <tableColumn id="15426" xr3:uid="{2FF4E23F-4456-4896-993B-5C5577C573A5}" name="Column15412"/>
    <tableColumn id="15427" xr3:uid="{E15E0732-4AC5-47DC-AE1E-1C3012D68C5B}" name="Column15413"/>
    <tableColumn id="15428" xr3:uid="{4ACA6343-1F6A-4935-BC4B-0ABCD8F72F20}" name="Column15414"/>
    <tableColumn id="15429" xr3:uid="{3F9767DE-3571-442B-9581-78A0ED2AC0BA}" name="Column15415"/>
    <tableColumn id="15430" xr3:uid="{CD2B7A4F-1D07-4C39-8524-AD12516632F6}" name="Column15416"/>
    <tableColumn id="15431" xr3:uid="{09D612E1-F9D4-4BD9-99BA-8C743B197D9F}" name="Column15417"/>
    <tableColumn id="15432" xr3:uid="{9D5D2E0C-6122-451A-A6D5-223445676767}" name="Column15418"/>
    <tableColumn id="15433" xr3:uid="{1FA20460-7732-407A-8FF2-BEDA9296559C}" name="Column15419"/>
    <tableColumn id="15434" xr3:uid="{00D7E7D3-E07A-4A27-8C94-56E09B5617FF}" name="Column15420"/>
    <tableColumn id="15435" xr3:uid="{B66C68B9-5304-4A9C-B19D-5EC740A39B88}" name="Column15421"/>
    <tableColumn id="15436" xr3:uid="{BE2D8FF5-BEB4-4ED7-81C6-070D6A793249}" name="Column15422"/>
    <tableColumn id="15437" xr3:uid="{9D93B138-37DF-45E2-AD35-03D57D40E9C3}" name="Column15423"/>
    <tableColumn id="15438" xr3:uid="{39157DC1-273E-4853-83C9-C71713D17BFB}" name="Column15424"/>
    <tableColumn id="15439" xr3:uid="{CE7070F7-55F3-4058-9FAA-AA7DF031E83F}" name="Column15425"/>
    <tableColumn id="15440" xr3:uid="{4C490014-FF8D-4CC6-A2ED-10D5E08FE476}" name="Column15426"/>
    <tableColumn id="15441" xr3:uid="{69CD30CA-9D37-44CE-BA0D-4678E4524DFD}" name="Column15427"/>
    <tableColumn id="15442" xr3:uid="{92EC37F4-736B-4502-A96B-14F38E6FEA8B}" name="Column15428"/>
    <tableColumn id="15443" xr3:uid="{D0D0C736-94F6-4800-83DB-DDB4D6A86CA3}" name="Column15429"/>
    <tableColumn id="15444" xr3:uid="{BA6F9208-1D5A-4784-AC2B-E2854AE3D91F}" name="Column15430"/>
    <tableColumn id="15445" xr3:uid="{566E5F96-AEE6-43FB-BBDA-F39C1BC93728}" name="Column15431"/>
    <tableColumn id="15446" xr3:uid="{F5397412-B74B-48B1-AE40-C3CE24A91DDD}" name="Column15432"/>
    <tableColumn id="15447" xr3:uid="{C3804BEC-2537-4916-A723-C488A9DE7294}" name="Column15433"/>
    <tableColumn id="15448" xr3:uid="{4E024128-55CA-47E3-9818-3B5A98D756BD}" name="Column15434"/>
    <tableColumn id="15449" xr3:uid="{9EDE24A3-69E0-4023-BE9B-40B9B041423C}" name="Column15435"/>
    <tableColumn id="15450" xr3:uid="{793919E7-262F-4369-979F-7CE060C6DDE8}" name="Column15436"/>
    <tableColumn id="15451" xr3:uid="{8A7A748B-D36C-4425-A056-03643D7EC8ED}" name="Column15437"/>
    <tableColumn id="15452" xr3:uid="{75BF4F4D-D8CE-4E7B-9864-CA926324B144}" name="Column15438"/>
    <tableColumn id="15453" xr3:uid="{6C80E8A7-B705-4A55-AD57-6D10C27A4571}" name="Column15439"/>
    <tableColumn id="15454" xr3:uid="{313229A7-F2CA-4E14-AA99-BB9AE28D07B1}" name="Column15440"/>
    <tableColumn id="15455" xr3:uid="{390A2FD4-680E-49ED-B9F0-BDE3CDCDE8D9}" name="Column15441"/>
    <tableColumn id="15456" xr3:uid="{A89435F0-BB10-4990-B85B-4AA9491C9C25}" name="Column15442"/>
    <tableColumn id="15457" xr3:uid="{F45E9E35-FCC3-4EA6-8B22-3041F845D188}" name="Column15443"/>
    <tableColumn id="15458" xr3:uid="{4F85D441-8DDC-4537-A889-E6C6363D12DC}" name="Column15444"/>
    <tableColumn id="15459" xr3:uid="{B2A18CC9-B862-4088-970D-0F95E1D12122}" name="Column15445"/>
    <tableColumn id="15460" xr3:uid="{F791CA2A-CDC8-4D87-8387-EBE64190C9D5}" name="Column15446"/>
    <tableColumn id="15461" xr3:uid="{F5177F0D-E09D-4CDC-B2C6-188DA5B5C666}" name="Column15447"/>
    <tableColumn id="15462" xr3:uid="{811FA079-7AEA-4D66-B969-5879F3F1662B}" name="Column15448"/>
    <tableColumn id="15463" xr3:uid="{FB7B1D94-0D50-4866-9BA3-DA023A0A8E83}" name="Column15449"/>
    <tableColumn id="15464" xr3:uid="{D000A461-CD26-4A53-9420-79486E7CFA61}" name="Column15450"/>
    <tableColumn id="15465" xr3:uid="{B524CA4D-B6C8-42AB-8761-F7F47E55C1A7}" name="Column15451"/>
    <tableColumn id="15466" xr3:uid="{86C6F637-249F-4D88-B616-8897F12695B0}" name="Column15452"/>
    <tableColumn id="15467" xr3:uid="{979E8F43-2145-40F2-8497-9EB11485BB49}" name="Column15453"/>
    <tableColumn id="15468" xr3:uid="{DC2F8FC8-6CE6-44AD-BFE7-3D62CAAAC592}" name="Column15454"/>
    <tableColumn id="15469" xr3:uid="{2C875D1A-7BC1-4A34-9418-0635B8BFF8F8}" name="Column15455"/>
    <tableColumn id="15470" xr3:uid="{F00C1D44-259F-4656-BB57-B2C815F2898A}" name="Column15456"/>
    <tableColumn id="15471" xr3:uid="{3285B108-37AD-4DCD-9F85-F0C8D310B32A}" name="Column15457"/>
    <tableColumn id="15472" xr3:uid="{5034A6E7-C269-4DDD-AFB1-81B6D88A67E0}" name="Column15458"/>
    <tableColumn id="15473" xr3:uid="{E661D74D-3338-452A-946D-5EFD33AE81C6}" name="Column15459"/>
    <tableColumn id="15474" xr3:uid="{168B4D89-9646-46AC-8179-497FA8F720A6}" name="Column15460"/>
    <tableColumn id="15475" xr3:uid="{AF44DF19-74A0-4236-AF46-C70067EE3611}" name="Column15461"/>
    <tableColumn id="15476" xr3:uid="{19F3CAEE-C5D1-49E5-8F57-3737921B7B0D}" name="Column15462"/>
    <tableColumn id="15477" xr3:uid="{60810A6C-1132-4E9F-922F-6F49FD87728B}" name="Column15463"/>
    <tableColumn id="15478" xr3:uid="{07C73C7D-C9CF-4921-8CBF-52A12DBB53E3}" name="Column15464"/>
    <tableColumn id="15479" xr3:uid="{70CF5E04-13CD-43AD-8C99-950C68A8F84D}" name="Column15465"/>
    <tableColumn id="15480" xr3:uid="{353375A3-461E-49ED-A929-8756F5914789}" name="Column15466"/>
    <tableColumn id="15481" xr3:uid="{B696981E-018D-4F5F-BDD6-DA1156F8D8C0}" name="Column15467"/>
    <tableColumn id="15482" xr3:uid="{2E20E9D4-285F-406D-87AB-D608C047FF5D}" name="Column15468"/>
    <tableColumn id="15483" xr3:uid="{6F43F158-5024-4DDB-83C0-A19CAB07ECEB}" name="Column15469"/>
    <tableColumn id="15484" xr3:uid="{1C8068A8-B87E-4DB6-A75E-1DF4AFB361B0}" name="Column15470"/>
    <tableColumn id="15485" xr3:uid="{5F6445AD-424E-47E7-BB35-B2400C3FAAA9}" name="Column15471"/>
    <tableColumn id="15486" xr3:uid="{4190D125-9DC0-4591-87FA-182D40F64ABE}" name="Column15472"/>
    <tableColumn id="15487" xr3:uid="{10530306-23D6-490C-AD80-CFC2E3D989BF}" name="Column15473"/>
    <tableColumn id="15488" xr3:uid="{FA6C8445-AD57-433B-8E2A-C48021D9B153}" name="Column15474"/>
    <tableColumn id="15489" xr3:uid="{4F2D8CA6-32A8-4FCE-AB0A-F54BEBCDFD0F}" name="Column15475"/>
    <tableColumn id="15490" xr3:uid="{BB6047DC-F9CE-4F15-A6EB-EB6C579FB421}" name="Column15476"/>
    <tableColumn id="15491" xr3:uid="{B7ADF417-069B-4481-A336-4499EC1C7E21}" name="Column15477"/>
    <tableColumn id="15492" xr3:uid="{40C7EB59-AC66-4D92-8158-5D1392693496}" name="Column15478"/>
    <tableColumn id="15493" xr3:uid="{1AF97A61-0068-475C-B51B-AB5F8D629425}" name="Column15479"/>
    <tableColumn id="15494" xr3:uid="{F41C9B45-6FBC-4C13-9067-3DD78A939A42}" name="Column15480"/>
    <tableColumn id="15495" xr3:uid="{238AF339-1C2B-4FF9-BA31-401F109DFF61}" name="Column15481"/>
    <tableColumn id="15496" xr3:uid="{F1EBFBF8-B5A3-4DB0-B5D0-164167C08349}" name="Column15482"/>
    <tableColumn id="15497" xr3:uid="{B60F57F7-D4BB-453D-9369-AC3002C94A6B}" name="Column15483"/>
    <tableColumn id="15498" xr3:uid="{6EB0FE44-8ADF-4403-A0E2-92B7767888CB}" name="Column15484"/>
    <tableColumn id="15499" xr3:uid="{8FE9FDEB-81A5-479F-A77C-9A5B3178A296}" name="Column15485"/>
    <tableColumn id="15500" xr3:uid="{9550A4F5-3491-4D4C-B0F4-6C62B699DC02}" name="Column15486"/>
    <tableColumn id="15501" xr3:uid="{9B30568A-3B98-4027-ADFB-46D00B60A8DC}" name="Column15487"/>
    <tableColumn id="15502" xr3:uid="{2D0511DE-25DD-4F90-84A6-DAE755D6E000}" name="Column15488"/>
    <tableColumn id="15503" xr3:uid="{5E1B7047-D205-492B-BA60-47641E689029}" name="Column15489"/>
    <tableColumn id="15504" xr3:uid="{35BE0784-B9BE-42E6-9365-444D8A06E750}" name="Column15490"/>
    <tableColumn id="15505" xr3:uid="{44AD1865-6B21-4349-B278-9EBF4B3832E9}" name="Column15491"/>
    <tableColumn id="15506" xr3:uid="{C61913FB-F92B-4E7F-B811-6B758D591394}" name="Column15492"/>
    <tableColumn id="15507" xr3:uid="{4BE0AD36-533B-4BBA-960A-4867C3F22DCC}" name="Column15493"/>
    <tableColumn id="15508" xr3:uid="{1D866BB7-2EFC-4500-9042-ABCE76D4A60E}" name="Column15494"/>
    <tableColumn id="15509" xr3:uid="{63CD7FDB-A2E9-44A2-A19D-6BD8F60E2A86}" name="Column15495"/>
    <tableColumn id="15510" xr3:uid="{DA7AB823-84A8-4E44-821A-FDE7B59D4A27}" name="Column15496"/>
    <tableColumn id="15511" xr3:uid="{577ADE62-4E9F-4E61-98ED-6B5E37928FBA}" name="Column15497"/>
    <tableColumn id="15512" xr3:uid="{1E0D144D-39DD-4BC2-BDCC-5C44734C5890}" name="Column15498"/>
    <tableColumn id="15513" xr3:uid="{784BE0B3-A475-4148-8F24-3FB88625FC57}" name="Column15499"/>
    <tableColumn id="15514" xr3:uid="{555910BF-5435-4052-91E6-E0C3BE3BE463}" name="Column15500"/>
    <tableColumn id="15515" xr3:uid="{8327FC2B-396E-47C3-8648-D5A3CCF826DE}" name="Column15501"/>
    <tableColumn id="15516" xr3:uid="{916F9E15-2725-4D39-AB6D-9C204A2653EB}" name="Column15502"/>
    <tableColumn id="15517" xr3:uid="{07280A10-B35A-43B3-8E7D-B6333D824C67}" name="Column15503"/>
    <tableColumn id="15518" xr3:uid="{C1301E50-708A-4522-88FA-8F5811D2EA9F}" name="Column15504"/>
    <tableColumn id="15519" xr3:uid="{787D1E05-FA72-4D39-97DD-2B8B1C5586DF}" name="Column15505"/>
    <tableColumn id="15520" xr3:uid="{C5C7DC82-812F-42A6-97F3-3A679FCE5AB2}" name="Column15506"/>
    <tableColumn id="15521" xr3:uid="{11FD1240-2E48-464C-A960-D0B174E45906}" name="Column15507"/>
    <tableColumn id="15522" xr3:uid="{2F1E3AB8-524D-4A92-B42E-B30A02551F3B}" name="Column15508"/>
    <tableColumn id="15523" xr3:uid="{4789541D-FB48-4DA5-9D05-4FAC9920A7C7}" name="Column15509"/>
    <tableColumn id="15524" xr3:uid="{BB25AEC6-5274-4464-95DB-28DD697D7409}" name="Column15510"/>
    <tableColumn id="15525" xr3:uid="{791FDBC9-681A-474F-AF5E-9D9C1851EA0B}" name="Column15511"/>
    <tableColumn id="15526" xr3:uid="{DCAF54E2-B6C4-40A5-90A3-9293F3C9808C}" name="Column15512"/>
    <tableColumn id="15527" xr3:uid="{1C904FD4-827F-48C2-BC9A-4E8780D03843}" name="Column15513"/>
    <tableColumn id="15528" xr3:uid="{9B2E5F57-E8DB-475B-BC76-BDA0BB415FAC}" name="Column15514"/>
    <tableColumn id="15529" xr3:uid="{138BFDA1-A297-4A7E-BC80-7B679264F6B4}" name="Column15515"/>
    <tableColumn id="15530" xr3:uid="{69F7C726-9A03-4640-8F86-2418945F7415}" name="Column15516"/>
    <tableColumn id="15531" xr3:uid="{022BF834-8EE7-4F78-A456-BBA76F63A618}" name="Column15517"/>
    <tableColumn id="15532" xr3:uid="{9E8750FE-74B0-461E-B079-650E163616B9}" name="Column15518"/>
    <tableColumn id="15533" xr3:uid="{7C07C88A-C5BA-47C4-8470-440796B5E3DB}" name="Column15519"/>
    <tableColumn id="15534" xr3:uid="{34E225B4-34CB-4162-A5BC-E2CB525A51B7}" name="Column15520"/>
    <tableColumn id="15535" xr3:uid="{42ED7D4B-0F34-4C87-AF04-FBA30551A90B}" name="Column15521"/>
    <tableColumn id="15536" xr3:uid="{4229AEB3-2E37-4728-910C-AFE9901DCCA6}" name="Column15522"/>
    <tableColumn id="15537" xr3:uid="{BD4176CC-6588-44EF-9281-D0156FA10B6B}" name="Column15523"/>
    <tableColumn id="15538" xr3:uid="{EA208340-AF13-4FFC-A524-D60AA7CE7F44}" name="Column15524"/>
    <tableColumn id="15539" xr3:uid="{F4A09E99-9CFF-456C-BAD6-6BA8E11EFAFF}" name="Column15525"/>
    <tableColumn id="15540" xr3:uid="{88D481D8-DA29-422D-B1AA-42A8F4426EFF}" name="Column15526"/>
    <tableColumn id="15541" xr3:uid="{91E4D018-CFB0-48D4-843C-96A332DC9697}" name="Column15527"/>
    <tableColumn id="15542" xr3:uid="{506218DA-8DB2-4B8B-93C9-4A882A58C018}" name="Column15528"/>
    <tableColumn id="15543" xr3:uid="{5ABC075F-8E98-44D4-BB89-1A784FC6AB0D}" name="Column15529"/>
    <tableColumn id="15544" xr3:uid="{FC60B2CA-7947-4387-A568-82ECAB602A44}" name="Column15530"/>
    <tableColumn id="15545" xr3:uid="{822F38F5-58C5-427D-A574-75424A516CF0}" name="Column15531"/>
    <tableColumn id="15546" xr3:uid="{BEACF2DB-8C37-4BB5-8CE2-5E75954EB661}" name="Column15532"/>
    <tableColumn id="15547" xr3:uid="{234EC33C-CCDC-439F-995B-FE7A348C14FC}" name="Column15533"/>
    <tableColumn id="15548" xr3:uid="{706B0088-05ED-402C-A9D2-536FA0A7875B}" name="Column15534"/>
    <tableColumn id="15549" xr3:uid="{E8956EA1-FBBC-46CD-83C4-D3B4687F93CB}" name="Column15535"/>
    <tableColumn id="15550" xr3:uid="{B97F5A8C-31D2-4869-9593-FA80966E6214}" name="Column15536"/>
    <tableColumn id="15551" xr3:uid="{7F4D88A9-2AD1-4DE9-AE00-CD36A9F47C4F}" name="Column15537"/>
    <tableColumn id="15552" xr3:uid="{866FD97A-64FD-46A5-9062-2707D044D9CE}" name="Column15538"/>
    <tableColumn id="15553" xr3:uid="{031F575E-67EA-40CD-B2D6-10B3B1723D48}" name="Column15539"/>
    <tableColumn id="15554" xr3:uid="{8E0E5A5B-CAA9-4565-B523-1C1420818B82}" name="Column15540"/>
    <tableColumn id="15555" xr3:uid="{ECC529FE-D922-43F5-A23F-2C899F9CDD0E}" name="Column15541"/>
    <tableColumn id="15556" xr3:uid="{67AD556B-361C-42A2-926F-F788675C8855}" name="Column15542"/>
    <tableColumn id="15557" xr3:uid="{8EC7E171-6BEE-4E08-8283-1D14BA5712C2}" name="Column15543"/>
    <tableColumn id="15558" xr3:uid="{FB152161-0232-4003-BC61-5B402CE68565}" name="Column15544"/>
    <tableColumn id="15559" xr3:uid="{D48FFE22-7B1A-4F09-9BBD-192F708D7131}" name="Column15545"/>
    <tableColumn id="15560" xr3:uid="{0642F5A0-7A83-41B2-8AE6-09F3BA682A10}" name="Column15546"/>
    <tableColumn id="15561" xr3:uid="{96EE69E2-1786-4C10-821A-ECDE655FAFC3}" name="Column15547"/>
    <tableColumn id="15562" xr3:uid="{98EEBF2A-3C33-4ED3-A891-EE391D2FCEC8}" name="Column15548"/>
    <tableColumn id="15563" xr3:uid="{BA2D0DDF-7A49-47AE-BB33-1271F4F03E65}" name="Column15549"/>
    <tableColumn id="15564" xr3:uid="{54F9981B-3326-4AB5-A6C5-9B624306F332}" name="Column15550"/>
    <tableColumn id="15565" xr3:uid="{B75DDCAE-95D9-4BDF-ABC6-AAB22BE21A3F}" name="Column15551"/>
    <tableColumn id="15566" xr3:uid="{7EA59890-C5E3-4823-818A-E46236D1584C}" name="Column15552"/>
    <tableColumn id="15567" xr3:uid="{7FEB33A3-C82A-4219-97DB-5A31F48F05FF}" name="Column15553"/>
    <tableColumn id="15568" xr3:uid="{4CBCE923-2384-4ABC-B5D8-1793B31E4850}" name="Column15554"/>
    <tableColumn id="15569" xr3:uid="{05747841-47FA-4B1B-B10A-F460D282BC7B}" name="Column15555"/>
    <tableColumn id="15570" xr3:uid="{E0CD5B6B-1854-49ED-9968-C9DDDDBF9561}" name="Column15556"/>
    <tableColumn id="15571" xr3:uid="{9144D957-04F5-48AD-AB7D-803C3ECA5692}" name="Column15557"/>
    <tableColumn id="15572" xr3:uid="{60B57148-DD3D-4AE7-AB9F-E13622E7E36A}" name="Column15558"/>
    <tableColumn id="15573" xr3:uid="{44EC39B5-A94C-49F5-B56F-46E75DF1BEA3}" name="Column15559"/>
    <tableColumn id="15574" xr3:uid="{56424588-ADC7-4896-B242-A72A750047FF}" name="Column15560"/>
    <tableColumn id="15575" xr3:uid="{BB2406BA-E9CC-449A-8DAD-A0FFF40C0228}" name="Column15561"/>
    <tableColumn id="15576" xr3:uid="{743193F7-F23C-49BF-ACAC-06297AAEC3EF}" name="Column15562"/>
    <tableColumn id="15577" xr3:uid="{B52D2A18-B01C-4BE6-93D0-4A84887ED73E}" name="Column15563"/>
    <tableColumn id="15578" xr3:uid="{6F5ED0FF-9D47-47FA-A0FA-BE6E22EE9205}" name="Column15564"/>
    <tableColumn id="15579" xr3:uid="{CAA36ECB-D527-450D-917A-10C47A74DD7A}" name="Column15565"/>
    <tableColumn id="15580" xr3:uid="{F96C043F-AF5D-4ACB-BDB4-E0D6F2AD0017}" name="Column15566"/>
    <tableColumn id="15581" xr3:uid="{4D618923-3C7E-4F5A-862F-31E91BBA15E3}" name="Column15567"/>
    <tableColumn id="15582" xr3:uid="{42A5E6E7-8EAC-4441-A277-CD94D0BA76BC}" name="Column15568"/>
    <tableColumn id="15583" xr3:uid="{30B1FB2A-A5F6-4661-88D0-7E337349C9D3}" name="Column15569"/>
    <tableColumn id="15584" xr3:uid="{B614228A-54C6-4832-B946-0337093898C3}" name="Column15570"/>
    <tableColumn id="15585" xr3:uid="{60AAA709-27FA-424B-A8AA-80831DA0C2B9}" name="Column15571"/>
    <tableColumn id="15586" xr3:uid="{2CDA0F22-2312-435A-976E-1D607C4469A9}" name="Column15572"/>
    <tableColumn id="15587" xr3:uid="{775186F5-AACF-40E7-9FC4-13BAEFBC2781}" name="Column15573"/>
    <tableColumn id="15588" xr3:uid="{975C1E5F-DC55-42A5-A46A-902799385884}" name="Column15574"/>
    <tableColumn id="15589" xr3:uid="{BD6801A7-EAE7-43DC-8BA2-1D65FF1B4A34}" name="Column15575"/>
    <tableColumn id="15590" xr3:uid="{2C2228CE-11EC-4F4A-9D8C-3A93A1316FCC}" name="Column15576"/>
    <tableColumn id="15591" xr3:uid="{96FDC2A8-E608-4BEC-9808-6160F3C9F815}" name="Column15577"/>
    <tableColumn id="15592" xr3:uid="{3F33E825-A729-4EBF-9E2D-69EC78F82700}" name="Column15578"/>
    <tableColumn id="15593" xr3:uid="{2B46A1F5-E387-4E45-8743-6FDCFA7BD89D}" name="Column15579"/>
    <tableColumn id="15594" xr3:uid="{B1CFE5D6-174C-4896-BB8C-6CA75FC095D5}" name="Column15580"/>
    <tableColumn id="15595" xr3:uid="{D335234E-8DDE-4E14-B0CF-B1BABC81CFF3}" name="Column15581"/>
    <tableColumn id="15596" xr3:uid="{055AA708-9FD4-4A85-BF7D-843C1A935380}" name="Column15582"/>
    <tableColumn id="15597" xr3:uid="{B9C99F04-A32A-41E6-85A2-2B02DCE975DE}" name="Column15583"/>
    <tableColumn id="15598" xr3:uid="{DE4D027E-1654-4DEA-A80F-B0ED6EE4FA62}" name="Column15584"/>
    <tableColumn id="15599" xr3:uid="{A410C6FC-C315-4964-8335-05339946718C}" name="Column15585"/>
    <tableColumn id="15600" xr3:uid="{A8DD290C-DD61-43D4-A0E6-0ED03D1C605D}" name="Column15586"/>
    <tableColumn id="15601" xr3:uid="{B9BAC95F-EA39-436A-855A-268367F03268}" name="Column15587"/>
    <tableColumn id="15602" xr3:uid="{A1A4A92B-B7A2-458B-B688-5781D08A98F9}" name="Column15588"/>
    <tableColumn id="15603" xr3:uid="{684E0B0B-2742-4775-AC06-F1261D7A0126}" name="Column15589"/>
    <tableColumn id="15604" xr3:uid="{1126047B-100A-46AA-8487-D87F53F1A2E8}" name="Column15590"/>
    <tableColumn id="15605" xr3:uid="{2391B37C-C3B9-4915-93ED-11C80913025F}" name="Column15591"/>
    <tableColumn id="15606" xr3:uid="{6EBE7359-8367-4DD5-B8CB-442A6D6F7EEA}" name="Column15592"/>
    <tableColumn id="15607" xr3:uid="{0637D3D4-FFFD-4CE5-BAB5-6ED41052D1B5}" name="Column15593"/>
    <tableColumn id="15608" xr3:uid="{F51A2803-4451-431C-AAF4-9D9F1BF44696}" name="Column15594"/>
    <tableColumn id="15609" xr3:uid="{88B591EF-3289-4A9E-A4F0-5A12FD573930}" name="Column15595"/>
    <tableColumn id="15610" xr3:uid="{6BC10EB0-B039-41C5-9802-F22EA91BC011}" name="Column15596"/>
    <tableColumn id="15611" xr3:uid="{C8CEF2B9-A496-4324-9751-FCEF42BEFF76}" name="Column15597"/>
    <tableColumn id="15612" xr3:uid="{AFF5235C-2AA0-4802-8549-73DAD192F95E}" name="Column15598"/>
    <tableColumn id="15613" xr3:uid="{0814CD74-876A-4990-9216-949DEFD099AB}" name="Column15599"/>
    <tableColumn id="15614" xr3:uid="{CD36C645-3926-4B00-B89E-CDED449A34E5}" name="Column15600"/>
    <tableColumn id="15615" xr3:uid="{E1F4D2B2-2BFA-441F-B1AC-FF58E16DAE3F}" name="Column15601"/>
    <tableColumn id="15616" xr3:uid="{7C2133BB-4D70-4D78-97FC-43641D80350E}" name="Column15602"/>
    <tableColumn id="15617" xr3:uid="{0DA94C4F-3414-4434-B40A-075F4203F586}" name="Column15603"/>
    <tableColumn id="15618" xr3:uid="{4F4BC5E7-7487-4FCE-B302-A40A590B35B4}" name="Column15604"/>
    <tableColumn id="15619" xr3:uid="{9EA809A1-11DD-4602-B545-454B166497D3}" name="Column15605"/>
    <tableColumn id="15620" xr3:uid="{85CF4645-18D2-493F-9751-7A04C3AA5DD8}" name="Column15606"/>
    <tableColumn id="15621" xr3:uid="{EA6BC82D-E0F5-4082-8144-914EF6491DD8}" name="Column15607"/>
    <tableColumn id="15622" xr3:uid="{44A5E995-EA4B-470A-A697-BA82016A3380}" name="Column15608"/>
    <tableColumn id="15623" xr3:uid="{9A323B10-3BD5-4A8A-B9EF-53B54E84BE48}" name="Column15609"/>
    <tableColumn id="15624" xr3:uid="{923073DD-8526-4903-9813-2DFD53404698}" name="Column15610"/>
    <tableColumn id="15625" xr3:uid="{3AE90C7F-7D41-495A-AA63-0128C22E469E}" name="Column15611"/>
    <tableColumn id="15626" xr3:uid="{EB915F16-E73B-44AC-8079-BE3AE01F4B2C}" name="Column15612"/>
    <tableColumn id="15627" xr3:uid="{096E7A8B-EFF0-4969-90C4-D99476FDE11D}" name="Column15613"/>
    <tableColumn id="15628" xr3:uid="{8F76BE47-AC5C-4817-9151-908D914BD647}" name="Column15614"/>
    <tableColumn id="15629" xr3:uid="{96A83086-C45C-4AB1-AD88-C639B8A630D8}" name="Column15615"/>
    <tableColumn id="15630" xr3:uid="{6DD442DC-58A7-4393-9846-D54B6EBD82BE}" name="Column15616"/>
    <tableColumn id="15631" xr3:uid="{92FB58D0-17B7-40E4-8E13-5D2BB0F3476B}" name="Column15617"/>
    <tableColumn id="15632" xr3:uid="{40B75CD2-F9BC-42B6-9334-A707BC6FD8BC}" name="Column15618"/>
    <tableColumn id="15633" xr3:uid="{279150CF-3FAA-49FF-8708-6E574AB64242}" name="Column15619"/>
    <tableColumn id="15634" xr3:uid="{ED72E219-5252-4468-AF90-585D99D88AED}" name="Column15620"/>
    <tableColumn id="15635" xr3:uid="{BE477D2D-0A67-46F1-9067-696E97E56C0D}" name="Column15621"/>
    <tableColumn id="15636" xr3:uid="{60017AC6-549B-4C8D-A677-68C0A7BF1182}" name="Column15622"/>
    <tableColumn id="15637" xr3:uid="{FE7A517D-E821-4010-9E17-35BFEBD758F5}" name="Column15623"/>
    <tableColumn id="15638" xr3:uid="{4E1D8C53-51CE-4077-A600-1B055DA3470F}" name="Column15624"/>
    <tableColumn id="15639" xr3:uid="{9EDF47C7-2395-49A5-A236-5A705D052BD1}" name="Column15625"/>
    <tableColumn id="15640" xr3:uid="{B8978452-1E12-4A51-A95F-0A824360D9F8}" name="Column15626"/>
    <tableColumn id="15641" xr3:uid="{179CBF12-9221-4DCE-A402-7721C8DF2141}" name="Column15627"/>
    <tableColumn id="15642" xr3:uid="{7A54B48E-1891-455A-8C20-9C7C59C0491C}" name="Column15628"/>
    <tableColumn id="15643" xr3:uid="{BC777D7B-4A81-4AFF-AAA2-46C1540B2738}" name="Column15629"/>
    <tableColumn id="15644" xr3:uid="{D6051D3B-46EF-4D1E-A92C-40F80A6B2AB5}" name="Column15630"/>
    <tableColumn id="15645" xr3:uid="{1640BA21-9F7E-4BDA-AABC-861318767BF9}" name="Column15631"/>
    <tableColumn id="15646" xr3:uid="{3CB2B160-9EB8-4C8A-8377-C89C5BE8278A}" name="Column15632"/>
    <tableColumn id="15647" xr3:uid="{92ADF12F-77AC-4571-9C3F-6599BEE2AA0F}" name="Column15633"/>
    <tableColumn id="15648" xr3:uid="{68EEE652-AE9E-4171-8E79-892D64413313}" name="Column15634"/>
    <tableColumn id="15649" xr3:uid="{64B3371B-EEEB-4128-AD4B-724E82E3922C}" name="Column15635"/>
    <tableColumn id="15650" xr3:uid="{3B66FB54-2DD9-40BF-802C-F4FA3ADA51C7}" name="Column15636"/>
    <tableColumn id="15651" xr3:uid="{24BEB697-C1C1-4080-BDE9-9B22FD01F4F6}" name="Column15637"/>
    <tableColumn id="15652" xr3:uid="{46286BF3-1850-4FC5-B940-7851D3FDBE53}" name="Column15638"/>
    <tableColumn id="15653" xr3:uid="{09F3A488-6DBC-448D-AC75-37293BFAAF0B}" name="Column15639"/>
    <tableColumn id="15654" xr3:uid="{9E87FCC9-02F9-4890-94F3-2015EDF4A8A9}" name="Column15640"/>
    <tableColumn id="15655" xr3:uid="{90C25FAF-BA9B-49DD-A423-CAB8672A7872}" name="Column15641"/>
    <tableColumn id="15656" xr3:uid="{DA7818DB-904F-4212-A566-9483E5C3C85B}" name="Column15642"/>
    <tableColumn id="15657" xr3:uid="{8128023C-6850-4896-8D12-08BF26598A56}" name="Column15643"/>
    <tableColumn id="15658" xr3:uid="{C08616CC-FAAA-48BC-B094-B1003B0E4B7F}" name="Column15644"/>
    <tableColumn id="15659" xr3:uid="{B8374D57-7389-4624-954F-B04EE96E3CFB}" name="Column15645"/>
    <tableColumn id="15660" xr3:uid="{1A9CB38E-B69B-4EBE-BC04-6DD1ABAA5474}" name="Column15646"/>
    <tableColumn id="15661" xr3:uid="{B315AE62-DF8F-459C-B5BF-DEAF4D0DC001}" name="Column15647"/>
    <tableColumn id="15662" xr3:uid="{23E85141-25EB-4537-87C1-87E50ABF5119}" name="Column15648"/>
    <tableColumn id="15663" xr3:uid="{A52F2602-9E83-4D93-83A5-45F0E7D924FA}" name="Column15649"/>
    <tableColumn id="15664" xr3:uid="{C051E60D-8D9F-4B6A-B6B7-31E638E782CF}" name="Column15650"/>
    <tableColumn id="15665" xr3:uid="{89EC3D46-B1D8-4A7D-9F5C-B64EB7F7501A}" name="Column15651"/>
    <tableColumn id="15666" xr3:uid="{061F45CE-D15B-4DC8-8EA7-820B3E1D6995}" name="Column15652"/>
    <tableColumn id="15667" xr3:uid="{CCD82A2E-C140-49E0-A706-65CE623EFA61}" name="Column15653"/>
    <tableColumn id="15668" xr3:uid="{1E145B88-C7EB-45FD-B82C-42D7A488D082}" name="Column15654"/>
    <tableColumn id="15669" xr3:uid="{1C1907AD-2FBC-4950-AE52-FA0B8AF93E4F}" name="Column15655"/>
    <tableColumn id="15670" xr3:uid="{8753D0FD-A6D5-4B28-9A41-B7DC6154D7C7}" name="Column15656"/>
    <tableColumn id="15671" xr3:uid="{22ADA2C1-4A7B-4834-82A3-7C238F90BC0D}" name="Column15657"/>
    <tableColumn id="15672" xr3:uid="{764E1D7B-7D75-4CB4-81C8-B9661B5E18FD}" name="Column15658"/>
    <tableColumn id="15673" xr3:uid="{9E8DFC0E-74C9-4B2D-9AC5-0361E940B737}" name="Column15659"/>
    <tableColumn id="15674" xr3:uid="{516E35D6-C68D-452B-BAFA-E6A9F1B773F7}" name="Column15660"/>
    <tableColumn id="15675" xr3:uid="{59D36BBF-F82E-40A6-BDAB-A98532924685}" name="Column15661"/>
    <tableColumn id="15676" xr3:uid="{C65F5B62-055E-46BD-AFF3-D608182ACB17}" name="Column15662"/>
    <tableColumn id="15677" xr3:uid="{FD16F649-A366-4FD9-B0A3-E7F0110AE5A8}" name="Column15663"/>
    <tableColumn id="15678" xr3:uid="{0D69F7C3-5F37-4413-BD81-681FADA3368B}" name="Column15664"/>
    <tableColumn id="15679" xr3:uid="{9F749148-3867-4D82-9C1B-13CBE9645632}" name="Column15665"/>
    <tableColumn id="15680" xr3:uid="{93D8EEFF-3270-4119-BD3A-879A02EFF6F3}" name="Column15666"/>
    <tableColumn id="15681" xr3:uid="{A660EC7C-41A3-49C9-B4CC-D6323329FF3B}" name="Column15667"/>
    <tableColumn id="15682" xr3:uid="{4CB5A026-E6FC-4477-A759-23BC519502FD}" name="Column15668"/>
    <tableColumn id="15683" xr3:uid="{4B9F2F34-8037-4D2E-93C4-2DBB6EFB50F8}" name="Column15669"/>
    <tableColumn id="15684" xr3:uid="{7CB4E7AB-1A42-4F41-8780-AC2A10FB1ADB}" name="Column15670"/>
    <tableColumn id="15685" xr3:uid="{FFA0F43D-B4E8-438A-840A-51A4308F42E0}" name="Column15671"/>
    <tableColumn id="15686" xr3:uid="{8EBF3D94-36D7-4CB1-8D2E-BC1F24612F8E}" name="Column15672"/>
    <tableColumn id="15687" xr3:uid="{29A590C8-0FE5-459E-AEC5-BFADAD7D2236}" name="Column15673"/>
    <tableColumn id="15688" xr3:uid="{1B3D190B-BC0D-47BF-BD10-D5F1597DDAA1}" name="Column15674"/>
    <tableColumn id="15689" xr3:uid="{BE17663C-7B4F-493B-AD5F-E678E11018F7}" name="Column15675"/>
    <tableColumn id="15690" xr3:uid="{1AEC8AA3-48EE-40DC-95BF-4675E4BDAEA0}" name="Column15676"/>
    <tableColumn id="15691" xr3:uid="{913F0D03-E7EF-4AE3-B2EE-7D600522429A}" name="Column15677"/>
    <tableColumn id="15692" xr3:uid="{8CAE4BE7-10B0-4C9C-866A-638621FA5B92}" name="Column15678"/>
    <tableColumn id="15693" xr3:uid="{D7A2FE3F-3D2C-45FE-A367-7F82545C05A6}" name="Column15679"/>
    <tableColumn id="15694" xr3:uid="{74CD211D-5A96-45C2-A104-712D8D8022DD}" name="Column15680"/>
    <tableColumn id="15695" xr3:uid="{9D6F94CC-751B-4174-A794-911E6963404B}" name="Column15681"/>
    <tableColumn id="15696" xr3:uid="{7DAB8F97-99A7-40B8-902C-B9C68048EE07}" name="Column15682"/>
    <tableColumn id="15697" xr3:uid="{E35262C3-960A-4728-A413-D071DAF43F2C}" name="Column15683"/>
    <tableColumn id="15698" xr3:uid="{250716F3-BDFF-41B8-A3A5-9A2DE966652E}" name="Column15684"/>
    <tableColumn id="15699" xr3:uid="{B8D2CCDE-3D95-4BB1-B664-8EE9A517A54C}" name="Column15685"/>
    <tableColumn id="15700" xr3:uid="{A3507097-57C7-4655-BC53-644686694ADA}" name="Column15686"/>
    <tableColumn id="15701" xr3:uid="{3BE9DFF2-2D90-425B-AD15-E0095D198A00}" name="Column15687"/>
    <tableColumn id="15702" xr3:uid="{1952DAA1-EF14-4391-8036-10A042706A85}" name="Column15688"/>
    <tableColumn id="15703" xr3:uid="{51748416-7628-428F-B33B-DE25986E32F0}" name="Column15689"/>
    <tableColumn id="15704" xr3:uid="{266306E6-B02F-479A-AE39-C535857CA31F}" name="Column15690"/>
    <tableColumn id="15705" xr3:uid="{3155C4B3-B99A-4A19-BC8B-2A24BEC67B94}" name="Column15691"/>
    <tableColumn id="15706" xr3:uid="{01DC68A8-174E-4DC9-8207-65DD40AA49CD}" name="Column15692"/>
    <tableColumn id="15707" xr3:uid="{0F23EDE3-8E55-4997-AB3D-51202A05F4A6}" name="Column15693"/>
    <tableColumn id="15708" xr3:uid="{A5CE3A77-8CB4-48AA-9879-8CF970FA5AE1}" name="Column15694"/>
    <tableColumn id="15709" xr3:uid="{DEE4BBE2-55A2-48CB-99BC-FE80FE2F75BA}" name="Column15695"/>
    <tableColumn id="15710" xr3:uid="{1AFE02EE-6189-4157-930A-E6ED134F6610}" name="Column15696"/>
    <tableColumn id="15711" xr3:uid="{D2D88785-D59D-45B1-ABE5-04ED7053CC60}" name="Column15697"/>
    <tableColumn id="15712" xr3:uid="{95B84B5B-4CF6-4C21-9E62-113CE78391D7}" name="Column15698"/>
    <tableColumn id="15713" xr3:uid="{33AD3D63-5483-41BD-A338-BA8A431A9F56}" name="Column15699"/>
    <tableColumn id="15714" xr3:uid="{2C64AD28-A4C9-4756-9D96-BB7F9EE2AFAB}" name="Column15700"/>
    <tableColumn id="15715" xr3:uid="{47862B16-B12C-4DC3-9A38-BB59D2C3136A}" name="Column15701"/>
    <tableColumn id="15716" xr3:uid="{F01AE466-F9A4-494C-85AE-F4A344075A4C}" name="Column15702"/>
    <tableColumn id="15717" xr3:uid="{955F853D-EEE5-4EAE-9C7C-580601F6B574}" name="Column15703"/>
    <tableColumn id="15718" xr3:uid="{F333B60C-E784-4024-8472-DF4809EBDFC0}" name="Column15704"/>
    <tableColumn id="15719" xr3:uid="{F99F5C2E-2DDE-4186-AE7B-48818B925BA2}" name="Column15705"/>
    <tableColumn id="15720" xr3:uid="{8C38F259-E28A-4267-8A11-7235BF2A87D3}" name="Column15706"/>
    <tableColumn id="15721" xr3:uid="{FED864D9-3092-4237-B6E5-90BE740FE9F6}" name="Column15707"/>
    <tableColumn id="15722" xr3:uid="{43A7BF58-0734-48E2-A29C-B7104437CE47}" name="Column15708"/>
    <tableColumn id="15723" xr3:uid="{5DF91416-B3D2-4CAC-9D3E-9DAF7182B22C}" name="Column15709"/>
    <tableColumn id="15724" xr3:uid="{EB91EDC4-8BB3-486C-9AE5-966FBDFE6FA1}" name="Column15710"/>
    <tableColumn id="15725" xr3:uid="{659B6C8E-E953-4B75-93C8-5A0EA2FA6335}" name="Column15711"/>
    <tableColumn id="15726" xr3:uid="{9267EBC9-92EE-4BC2-9079-FB40C8330FA3}" name="Column15712"/>
    <tableColumn id="15727" xr3:uid="{3260F450-31B7-4F16-B374-16AFA77BF7CD}" name="Column15713"/>
    <tableColumn id="15728" xr3:uid="{E8B96EC8-1684-49CD-B1AA-BBD25546730E}" name="Column15714"/>
    <tableColumn id="15729" xr3:uid="{FEC3A63E-8419-4F03-BF54-61E99726AF33}" name="Column15715"/>
    <tableColumn id="15730" xr3:uid="{DDCB0BF7-EC68-4777-A085-1E6603AE8FAC}" name="Column15716"/>
    <tableColumn id="15731" xr3:uid="{9A2DD865-BB26-499E-B530-65743FE9216E}" name="Column15717"/>
    <tableColumn id="15732" xr3:uid="{4DAF2B3F-D5B3-4F12-81C9-EB25ACE54329}" name="Column15718"/>
    <tableColumn id="15733" xr3:uid="{57F0C09B-4754-4F4B-BC56-B1726FAC8013}" name="Column15719"/>
    <tableColumn id="15734" xr3:uid="{BC83B583-E187-4435-A33D-B419968430D7}" name="Column15720"/>
    <tableColumn id="15735" xr3:uid="{54C23F11-CEE1-49EA-BC6E-2815C38273A9}" name="Column15721"/>
    <tableColumn id="15736" xr3:uid="{687DBCEE-FA81-40E7-A41A-5C4DF11A7930}" name="Column15722"/>
    <tableColumn id="15737" xr3:uid="{46A4A3A7-58D2-4F9B-952A-D05E93401862}" name="Column15723"/>
    <tableColumn id="15738" xr3:uid="{81A49EF8-B956-4320-9542-8017E9426FA9}" name="Column15724"/>
    <tableColumn id="15739" xr3:uid="{E2EED454-7364-490B-B22E-CB3B61F3C56B}" name="Column15725"/>
    <tableColumn id="15740" xr3:uid="{0C1C08DC-5B47-4BA6-97CD-CA1AB0E8F462}" name="Column15726"/>
    <tableColumn id="15741" xr3:uid="{457E696A-ADAF-43DD-9DC3-F7482D8CAA5B}" name="Column15727"/>
    <tableColumn id="15742" xr3:uid="{40C21562-63BC-4F1B-992C-D55D430F126F}" name="Column15728"/>
    <tableColumn id="15743" xr3:uid="{8C781970-77C9-4485-8CDA-8B322AA3F2E6}" name="Column15729"/>
    <tableColumn id="15744" xr3:uid="{13930321-388F-4508-B886-5AB460A4ED09}" name="Column15730"/>
    <tableColumn id="15745" xr3:uid="{7DDEE3C9-D4A3-4B13-AA4F-9AE27F70EAEF}" name="Column15731"/>
    <tableColumn id="15746" xr3:uid="{8417C07C-9CEF-4829-9B87-E4675F2FB846}" name="Column15732"/>
    <tableColumn id="15747" xr3:uid="{0109E7BC-4276-496F-BE27-9B97FAAD7B00}" name="Column15733"/>
    <tableColumn id="15748" xr3:uid="{3921994E-F2E7-467A-9978-B14B8DA8BBE8}" name="Column15734"/>
    <tableColumn id="15749" xr3:uid="{9D8DA37E-829B-4E85-9F9B-A35E678F4495}" name="Column15735"/>
    <tableColumn id="15750" xr3:uid="{9991625F-DF93-4FF2-BC7A-4C617BFB0958}" name="Column15736"/>
    <tableColumn id="15751" xr3:uid="{16099411-32F7-4211-9BAC-A628D7943917}" name="Column15737"/>
    <tableColumn id="15752" xr3:uid="{78CE5C83-A5C3-455B-AE97-74DB993CF093}" name="Column15738"/>
    <tableColumn id="15753" xr3:uid="{F1D39BEB-0296-4D16-9589-38F2D4D84CF0}" name="Column15739"/>
    <tableColumn id="15754" xr3:uid="{AA57D8A7-6318-4539-9442-29E934A3AC50}" name="Column15740"/>
    <tableColumn id="15755" xr3:uid="{1D67C88A-E3C4-4C4B-8064-207933F7208D}" name="Column15741"/>
    <tableColumn id="15756" xr3:uid="{6BEB30BA-A63E-4C22-8EBC-A837DB797659}" name="Column15742"/>
    <tableColumn id="15757" xr3:uid="{91A92A6F-FF3A-4527-BEB9-D8160B4F5532}" name="Column15743"/>
    <tableColumn id="15758" xr3:uid="{FA658192-7495-4A58-915B-050479A49AAC}" name="Column15744"/>
    <tableColumn id="15759" xr3:uid="{AA846A15-30EF-4D16-9D38-4FC335AC2912}" name="Column15745"/>
    <tableColumn id="15760" xr3:uid="{C24D86CC-B9E2-4248-96F5-1BF837416ABF}" name="Column15746"/>
    <tableColumn id="15761" xr3:uid="{81D77649-A10E-422E-B041-72C407244296}" name="Column15747"/>
    <tableColumn id="15762" xr3:uid="{4751DF31-AD8D-4FE8-B223-41164A889D1E}" name="Column15748"/>
    <tableColumn id="15763" xr3:uid="{7FB4BB97-E1D6-49E0-9F4B-464C2BBADA98}" name="Column15749"/>
    <tableColumn id="15764" xr3:uid="{D60E4DFF-83ED-4ABC-A8FF-33BAD722DC3F}" name="Column15750"/>
    <tableColumn id="15765" xr3:uid="{F61B4948-E51D-4E53-8F0D-F51D147EFBF2}" name="Column15751"/>
    <tableColumn id="15766" xr3:uid="{8EAE1D6C-BFEE-424B-BD3A-81E53A9EDCC3}" name="Column15752"/>
    <tableColumn id="15767" xr3:uid="{6D48D870-CAAB-4187-BD6C-AA843415BDB3}" name="Column15753"/>
    <tableColumn id="15768" xr3:uid="{A5F8D715-E7C5-4858-8908-77B9989E284E}" name="Column15754"/>
    <tableColumn id="15769" xr3:uid="{981B667E-79A9-4FC7-8B00-1B1F4A3B2156}" name="Column15755"/>
    <tableColumn id="15770" xr3:uid="{446C1A41-1144-45C2-9440-3AE211CBB464}" name="Column15756"/>
    <tableColumn id="15771" xr3:uid="{09957F6D-F205-4CDE-933C-EAC46ACF453B}" name="Column15757"/>
    <tableColumn id="15772" xr3:uid="{5FD1B169-7A9A-4154-9062-3340DC2E5778}" name="Column15758"/>
    <tableColumn id="15773" xr3:uid="{1D126055-CC8E-4820-8658-73EA2EADB40C}" name="Column15759"/>
    <tableColumn id="15774" xr3:uid="{F4FEFB58-0559-48A5-9A69-058C75B776DC}" name="Column15760"/>
    <tableColumn id="15775" xr3:uid="{17A98A72-92B6-4CA3-89E0-C36C97AACAEC}" name="Column15761"/>
    <tableColumn id="15776" xr3:uid="{AAFD99DF-BD18-4773-B775-266E75331CF3}" name="Column15762"/>
    <tableColumn id="15777" xr3:uid="{91B915FA-BA39-4021-B690-3197E36779A0}" name="Column15763"/>
    <tableColumn id="15778" xr3:uid="{F90207D5-8174-47CF-A153-34A6ECA1A5AB}" name="Column15764"/>
    <tableColumn id="15779" xr3:uid="{F3378C26-A171-439D-B086-A62EC1E5F231}" name="Column15765"/>
    <tableColumn id="15780" xr3:uid="{690C7ABD-6432-4F91-9EBD-611BEE275353}" name="Column15766"/>
    <tableColumn id="15781" xr3:uid="{65D44A50-6603-48B2-9092-A344011AFA2F}" name="Column15767"/>
    <tableColumn id="15782" xr3:uid="{54C7E357-BA12-4E9B-8992-EB66781CBA63}" name="Column15768"/>
    <tableColumn id="15783" xr3:uid="{12D70137-C650-4796-9119-E151050AB570}" name="Column15769"/>
    <tableColumn id="15784" xr3:uid="{17044F69-015A-4143-8B60-86287705FA11}" name="Column15770"/>
    <tableColumn id="15785" xr3:uid="{5E783776-43BF-4B72-B7D2-5C4E22C3A3CF}" name="Column15771"/>
    <tableColumn id="15786" xr3:uid="{DF50DED0-3B3E-4B0C-AB69-331A2BADBF4B}" name="Column15772"/>
    <tableColumn id="15787" xr3:uid="{FD7E51AF-B9C7-4EC1-8E43-28B8C3DB45D5}" name="Column15773"/>
    <tableColumn id="15788" xr3:uid="{D4412E34-656A-49B5-933A-F210368C3315}" name="Column15774"/>
    <tableColumn id="15789" xr3:uid="{9C5ED642-3E71-4A1A-908D-0318142A4147}" name="Column15775"/>
    <tableColumn id="15790" xr3:uid="{73BB9BD1-A500-4CF2-AB2E-33DF147FBE11}" name="Column15776"/>
    <tableColumn id="15791" xr3:uid="{E1F09BC3-2444-4999-B5A4-DF2E581B7AB0}" name="Column15777"/>
    <tableColumn id="15792" xr3:uid="{1EA02232-0841-4070-BC58-D5948505F9F5}" name="Column15778"/>
    <tableColumn id="15793" xr3:uid="{B72FD443-7732-4762-80F0-2CB83E0B4F2E}" name="Column15779"/>
    <tableColumn id="15794" xr3:uid="{9E5DEDB0-F615-4C34-9A3B-946C48333320}" name="Column15780"/>
    <tableColumn id="15795" xr3:uid="{9D22B76D-1166-49B1-894C-B763AD44336C}" name="Column15781"/>
    <tableColumn id="15796" xr3:uid="{D9CFC7FF-79F1-417A-9C7B-5ECB7F7FA246}" name="Column15782"/>
    <tableColumn id="15797" xr3:uid="{D4522534-55BB-4076-A2D1-32ACDF5CED5D}" name="Column15783"/>
    <tableColumn id="15798" xr3:uid="{3007DA3D-DB4D-404F-92FD-D4A381381FAD}" name="Column15784"/>
    <tableColumn id="15799" xr3:uid="{690CE514-A81E-4306-A074-4EEE559F31DA}" name="Column15785"/>
    <tableColumn id="15800" xr3:uid="{EA735072-0C43-461D-BFEF-D3005A658AF0}" name="Column15786"/>
    <tableColumn id="15801" xr3:uid="{AE57E746-54EC-440C-AF08-2082A6B02C59}" name="Column15787"/>
    <tableColumn id="15802" xr3:uid="{71D3C81D-6EF2-499F-BFB2-FE2EB7C9B361}" name="Column15788"/>
    <tableColumn id="15803" xr3:uid="{CFA549C4-DF66-458A-B8F1-37DBBBC83EBF}" name="Column15789"/>
    <tableColumn id="15804" xr3:uid="{8590C592-A511-4F4A-A334-6756A23E78C5}" name="Column15790"/>
    <tableColumn id="15805" xr3:uid="{7D3574CF-61C9-44C8-8A62-1442483DD93D}" name="Column15791"/>
    <tableColumn id="15806" xr3:uid="{A521B235-C190-4F20-9AB9-6970E5257B2B}" name="Column15792"/>
    <tableColumn id="15807" xr3:uid="{9797C273-34B1-477A-B23C-BA87D5C72284}" name="Column15793"/>
    <tableColumn id="15808" xr3:uid="{CB176F3D-1A49-45B5-9209-CB3C6A425833}" name="Column15794"/>
    <tableColumn id="15809" xr3:uid="{5D45BE38-B0DB-4671-A1E5-29FCC321F445}" name="Column15795"/>
    <tableColumn id="15810" xr3:uid="{572C2AC9-6BB9-4475-9264-992EF1018A2E}" name="Column15796"/>
    <tableColumn id="15811" xr3:uid="{F7423974-BDC7-4AB1-AA70-81C7550E80E7}" name="Column15797"/>
    <tableColumn id="15812" xr3:uid="{EF218E74-FB84-4572-8605-4E84B3F71860}" name="Column15798"/>
    <tableColumn id="15813" xr3:uid="{6B0ACC08-EC72-4A0D-A6D8-268E4F7A8A0B}" name="Column15799"/>
    <tableColumn id="15814" xr3:uid="{DE8AFE01-B636-4904-B6FA-5A1D6CCD5284}" name="Column15800"/>
    <tableColumn id="15815" xr3:uid="{EE9F8787-EEEA-4D77-96AF-2E0CCA8AEBAA}" name="Column15801"/>
    <tableColumn id="15816" xr3:uid="{4DDF666C-7032-4EDC-AAE4-1BF475049778}" name="Column15802"/>
    <tableColumn id="15817" xr3:uid="{C29DC0FB-72CE-4C19-ABA6-C5B8EC48EF9D}" name="Column15803"/>
    <tableColumn id="15818" xr3:uid="{A2EA4E9F-0CE8-495C-BA34-54D70B5E0DF8}" name="Column15804"/>
    <tableColumn id="15819" xr3:uid="{EDA4075A-B2D0-4A0F-931C-07B34EB1F77C}" name="Column15805"/>
    <tableColumn id="15820" xr3:uid="{0334995D-02B1-4974-9E15-AD361B9F94A8}" name="Column15806"/>
    <tableColumn id="15821" xr3:uid="{320F98D4-FCA9-4A2D-8881-1B1271AEE242}" name="Column15807"/>
    <tableColumn id="15822" xr3:uid="{7E4D8258-02AB-4FF9-96C0-4A5307FEA492}" name="Column15808"/>
    <tableColumn id="15823" xr3:uid="{F8ED1414-96C4-4BA2-A7C4-D677AE96EEA1}" name="Column15809"/>
    <tableColumn id="15824" xr3:uid="{39C517BA-B857-4A60-B0E4-82F10244DCC0}" name="Column15810"/>
    <tableColumn id="15825" xr3:uid="{D2E64080-EB70-4B62-BF77-B94D18F5249B}" name="Column15811"/>
    <tableColumn id="15826" xr3:uid="{33AA0686-49A4-4B9B-810C-3DBF764F9839}" name="Column15812"/>
    <tableColumn id="15827" xr3:uid="{F7809E1C-DBD0-4C65-BBE3-179BF73A579D}" name="Column15813"/>
    <tableColumn id="15828" xr3:uid="{C8C252B2-EDBC-498D-A66A-3FDD580ACC69}" name="Column15814"/>
    <tableColumn id="15829" xr3:uid="{8A8BEBC0-B8DA-4B77-B8EA-98A3A7366CA6}" name="Column15815"/>
    <tableColumn id="15830" xr3:uid="{F8207177-1DE4-4964-BDEA-3EBCA33BB637}" name="Column15816"/>
    <tableColumn id="15831" xr3:uid="{278C6C9C-4A57-4CBC-88DA-CCC45A896DDA}" name="Column15817"/>
    <tableColumn id="15832" xr3:uid="{8553F36A-183B-4E24-B327-52CB0579A9AA}" name="Column15818"/>
    <tableColumn id="15833" xr3:uid="{CEB36BE8-D8B9-494B-8117-386A78FD1E89}" name="Column15819"/>
    <tableColumn id="15834" xr3:uid="{61CE8ABF-51ED-4640-9D05-9DB2F80D1C3A}" name="Column15820"/>
    <tableColumn id="15835" xr3:uid="{38A8ED43-5D7E-4022-8134-FFFAE10F1F57}" name="Column15821"/>
    <tableColumn id="15836" xr3:uid="{002728A6-7431-492F-A4F8-AF1311BD944B}" name="Column15822"/>
    <tableColumn id="15837" xr3:uid="{F43EF37A-836F-4DE9-8EA5-244741027A07}" name="Column15823"/>
    <tableColumn id="15838" xr3:uid="{2515A67A-6057-42B1-B8A9-93719D85791C}" name="Column15824"/>
    <tableColumn id="15839" xr3:uid="{93B1EBEB-FFBD-4253-AD87-4345940F967F}" name="Column15825"/>
    <tableColumn id="15840" xr3:uid="{6708AF2E-DE10-4372-B3D8-0096A0F6D1AF}" name="Column15826"/>
    <tableColumn id="15841" xr3:uid="{FB42590A-A877-487D-A69A-FBB6D97FEE1D}" name="Column15827"/>
    <tableColumn id="15842" xr3:uid="{6BBC6273-AA37-4735-9065-F830361E0EEF}" name="Column15828"/>
    <tableColumn id="15843" xr3:uid="{F994EBC2-76F0-48D6-90F3-D1879A004624}" name="Column15829"/>
    <tableColumn id="15844" xr3:uid="{421011B1-0990-4102-8CD8-C2D8EE77B52F}" name="Column15830"/>
    <tableColumn id="15845" xr3:uid="{6C4CE7D8-8B38-4CF1-9FC3-67E3D97778BC}" name="Column15831"/>
    <tableColumn id="15846" xr3:uid="{84AB569F-A790-4CDA-B665-57F32C14ACDA}" name="Column15832"/>
    <tableColumn id="15847" xr3:uid="{181288D2-27F3-462E-A9F5-1BA20DDF44EF}" name="Column15833"/>
    <tableColumn id="15848" xr3:uid="{030F9AF6-6A16-4036-A489-E7274E9F69AC}" name="Column15834"/>
    <tableColumn id="15849" xr3:uid="{2C5BAACF-C42B-4462-8297-40156320E044}" name="Column15835"/>
    <tableColumn id="15850" xr3:uid="{BD99C13A-BA83-4B5D-AD66-D85F4D07478F}" name="Column15836"/>
    <tableColumn id="15851" xr3:uid="{4E70B63F-7DF7-47B7-8CAF-EFAB3166FFCC}" name="Column15837"/>
    <tableColumn id="15852" xr3:uid="{35E422DD-223D-4833-9733-DAE5AC2E82E3}" name="Column15838"/>
    <tableColumn id="15853" xr3:uid="{5BBF65BA-B9CD-4746-B323-BB4E32026B3F}" name="Column15839"/>
    <tableColumn id="15854" xr3:uid="{B48F6D14-6DC4-412B-8FFF-D445012D4528}" name="Column15840"/>
    <tableColumn id="15855" xr3:uid="{325F7078-8E77-4DB3-8B8E-312B9146AFB9}" name="Column15841"/>
    <tableColumn id="15856" xr3:uid="{4BA9BAA1-FA42-4AF7-B345-70229C8AABA6}" name="Column15842"/>
    <tableColumn id="15857" xr3:uid="{0E8A8BE2-9C60-422D-BA40-B3C94E5EC745}" name="Column15843"/>
    <tableColumn id="15858" xr3:uid="{9065D206-9455-470B-8D56-38CACFC52DB3}" name="Column15844"/>
    <tableColumn id="15859" xr3:uid="{4724833C-E83E-4731-97D8-6F5A41AC1043}" name="Column15845"/>
    <tableColumn id="15860" xr3:uid="{61957BAB-6E45-45BA-8321-CAB94E1BA0DE}" name="Column15846"/>
    <tableColumn id="15861" xr3:uid="{EA49F803-E406-4FF7-801D-AEA8E2F1790A}" name="Column15847"/>
    <tableColumn id="15862" xr3:uid="{E39B5B0F-3156-4AFD-8053-3F910D383F4F}" name="Column15848"/>
    <tableColumn id="15863" xr3:uid="{90E7827F-C002-4A89-B97B-E4D13F96271F}" name="Column15849"/>
    <tableColumn id="15864" xr3:uid="{B28BEAD4-3716-40A6-9C88-7D49DBD6231C}" name="Column15850"/>
    <tableColumn id="15865" xr3:uid="{9640AE85-2519-4564-81D6-3F741F6FF213}" name="Column15851"/>
    <tableColumn id="15866" xr3:uid="{BC9DD0FD-14D5-4EA3-B50C-94CC5C67AE11}" name="Column15852"/>
    <tableColumn id="15867" xr3:uid="{7251C530-2B8B-4B16-933A-7D2518BB8F08}" name="Column15853"/>
    <tableColumn id="15868" xr3:uid="{44EB8DE4-CF74-4C1C-940E-EC3EE354EB7C}" name="Column15854"/>
    <tableColumn id="15869" xr3:uid="{36BE7B99-CE7A-48F7-8BB8-C136E1B1942B}" name="Column15855"/>
    <tableColumn id="15870" xr3:uid="{5A028145-BD9E-49A4-99E4-8A0814598DFD}" name="Column15856"/>
    <tableColumn id="15871" xr3:uid="{A134E61E-6B13-4BCA-84CB-E526F64F1300}" name="Column15857"/>
    <tableColumn id="15872" xr3:uid="{69AA8E84-A8A8-4C8C-B6C1-B52E2862BAC8}" name="Column15858"/>
    <tableColumn id="15873" xr3:uid="{54400AA4-5EDF-4D4D-81E8-F86CB6EDC7A3}" name="Column15859"/>
    <tableColumn id="15874" xr3:uid="{777B6A78-6845-4335-8244-710A07A1DF3F}" name="Column15860"/>
    <tableColumn id="15875" xr3:uid="{B2D26B02-0F1B-46BE-8B65-74ADAB6B6457}" name="Column15861"/>
    <tableColumn id="15876" xr3:uid="{1B22EC72-3C91-4A3E-9187-CF46AC45E847}" name="Column15862"/>
    <tableColumn id="15877" xr3:uid="{AE7EC72A-39B2-40C8-9A4C-B7081A620A55}" name="Column15863"/>
    <tableColumn id="15878" xr3:uid="{E1846CB1-BDC8-47DD-9F68-53FD5BDA8305}" name="Column15864"/>
    <tableColumn id="15879" xr3:uid="{0B30B3D9-BC06-4795-8F2D-13D81C64055D}" name="Column15865"/>
    <tableColumn id="15880" xr3:uid="{E2190D56-11DB-49DA-AB62-8FECBE0E7E44}" name="Column15866"/>
    <tableColumn id="15881" xr3:uid="{CD00DD31-D1C7-41E3-8E5A-A9D11ED8497F}" name="Column15867"/>
    <tableColumn id="15882" xr3:uid="{69AD6741-3AF0-4209-B2AC-B1FC90117B14}" name="Column15868"/>
    <tableColumn id="15883" xr3:uid="{347D2B6B-5B7A-46CD-8F4A-A1DAB37C545D}" name="Column15869"/>
    <tableColumn id="15884" xr3:uid="{F8929FED-BF9F-4442-9D49-CB48D469159D}" name="Column15870"/>
    <tableColumn id="15885" xr3:uid="{F89F1566-5FC8-4342-9190-D25E6EAA0ABE}" name="Column15871"/>
    <tableColumn id="15886" xr3:uid="{177C996C-0785-4A72-8AC4-3429534042CB}" name="Column15872"/>
    <tableColumn id="15887" xr3:uid="{5E1F90D7-6ED9-4409-A5D6-BF6F7F0E152E}" name="Column15873"/>
    <tableColumn id="15888" xr3:uid="{F6AF0FAD-9258-41CA-971F-0C6C73DD3F4F}" name="Column15874"/>
    <tableColumn id="15889" xr3:uid="{9A111B8A-2DD3-46B7-B420-F6E23FDBD86D}" name="Column15875"/>
    <tableColumn id="15890" xr3:uid="{7808F5D3-2DAF-4E9A-9079-66B66EE7C5BD}" name="Column15876"/>
    <tableColumn id="15891" xr3:uid="{A83CFF1C-F14A-467D-94E8-D8C7D1DCCC85}" name="Column15877"/>
    <tableColumn id="15892" xr3:uid="{D1BEF60A-97FA-4EFA-A5B3-6E4CE7321579}" name="Column15878"/>
    <tableColumn id="15893" xr3:uid="{D2D52131-3E43-45A1-821B-1DABD82ADF02}" name="Column15879"/>
    <tableColumn id="15894" xr3:uid="{26489C2A-E0C9-4D3C-9E60-3BCC2B75A7FC}" name="Column15880"/>
    <tableColumn id="15895" xr3:uid="{DF9E275F-4FED-4ACC-83DF-FC1547E6C714}" name="Column15881"/>
    <tableColumn id="15896" xr3:uid="{304BD36E-BBE3-40F4-AA0E-8E77264DBEBF}" name="Column15882"/>
    <tableColumn id="15897" xr3:uid="{DD199F54-1EA5-4802-BAAF-315023B89FA7}" name="Column15883"/>
    <tableColumn id="15898" xr3:uid="{1D406192-0525-4C28-B9B7-6D37B44DD967}" name="Column15884"/>
    <tableColumn id="15899" xr3:uid="{46F1C256-FF3E-453A-A64A-001E558F7A19}" name="Column15885"/>
    <tableColumn id="15900" xr3:uid="{964BB3B5-227F-482C-89D2-20B2968DB5DF}" name="Column15886"/>
    <tableColumn id="15901" xr3:uid="{FC2895A2-B5C9-413C-B40A-1A7D04BD8076}" name="Column15887"/>
    <tableColumn id="15902" xr3:uid="{14009974-4EE7-4EAB-8D83-52F499AB23C6}" name="Column15888"/>
    <tableColumn id="15903" xr3:uid="{F068DA3B-633D-45BD-8675-9436F634025A}" name="Column15889"/>
    <tableColumn id="15904" xr3:uid="{DA007240-BB50-4A01-801D-0BC23AE45AB3}" name="Column15890"/>
    <tableColumn id="15905" xr3:uid="{0DCCF8BB-FEC5-4987-B301-0D1581381F9F}" name="Column15891"/>
    <tableColumn id="15906" xr3:uid="{7E1FEBEB-3F81-40D7-A38F-2081C8C0F891}" name="Column15892"/>
    <tableColumn id="15907" xr3:uid="{0CD45229-9978-44D0-850F-6E6BAEA08C8D}" name="Column15893"/>
    <tableColumn id="15908" xr3:uid="{964FB2E3-425B-4866-A463-5EB781786E5B}" name="Column15894"/>
    <tableColumn id="15909" xr3:uid="{72A32EB0-1C9C-4210-B58E-17A4ABA379B9}" name="Column15895"/>
    <tableColumn id="15910" xr3:uid="{6CC23535-10C5-40F6-8FBC-424AA104A119}" name="Column15896"/>
    <tableColumn id="15911" xr3:uid="{858F613C-8ECD-405F-AED2-B862C0818DBD}" name="Column15897"/>
    <tableColumn id="15912" xr3:uid="{0ED34476-CB18-425F-A699-791F879D711F}" name="Column15898"/>
    <tableColumn id="15913" xr3:uid="{BB477BCD-568E-4B27-AFD6-6659751D4D70}" name="Column15899"/>
    <tableColumn id="15914" xr3:uid="{40ACC4A2-5B48-4E68-BCE5-81DDE315FAF4}" name="Column15900"/>
    <tableColumn id="15915" xr3:uid="{8EDF4A65-F157-49F2-9029-2F022F6B1EB8}" name="Column15901"/>
    <tableColumn id="15916" xr3:uid="{BAED75EA-7AF7-48E2-8D87-6FA0FC7708B3}" name="Column15902"/>
    <tableColumn id="15917" xr3:uid="{D9EA693D-24BD-4CFA-8459-7BBC24C2988E}" name="Column15903"/>
    <tableColumn id="15918" xr3:uid="{33D8E312-E94B-49BB-86AF-079135CCE7FC}" name="Column15904"/>
    <tableColumn id="15919" xr3:uid="{F7539744-8635-4F8E-8983-99C58E66A367}" name="Column15905"/>
    <tableColumn id="15920" xr3:uid="{61704E76-F06B-4C1C-8199-289A2B21B8E6}" name="Column15906"/>
    <tableColumn id="15921" xr3:uid="{1CC8A3D2-4E1D-4421-9FB2-F266382C7236}" name="Column15907"/>
    <tableColumn id="15922" xr3:uid="{CB10F36D-541F-4A3B-9D2F-B2455675586C}" name="Column15908"/>
    <tableColumn id="15923" xr3:uid="{30A5CEB7-4ACF-4732-958F-DFE4FE4F4CDE}" name="Column15909"/>
    <tableColumn id="15924" xr3:uid="{9BDC2A0C-3C7B-45E3-A0FD-BE48940DD376}" name="Column15910"/>
    <tableColumn id="15925" xr3:uid="{F999DF2A-47A7-40AB-BAD3-B21ABB40D8AF}" name="Column15911"/>
    <tableColumn id="15926" xr3:uid="{96BB2204-120C-4D9C-87C1-78653B499F75}" name="Column15912"/>
    <tableColumn id="15927" xr3:uid="{658CD337-D287-4431-96A4-3D02622992DE}" name="Column15913"/>
    <tableColumn id="15928" xr3:uid="{59487EE4-24CA-447F-95AB-1115BFFA0916}" name="Column15914"/>
    <tableColumn id="15929" xr3:uid="{31E990BF-C373-4B7A-81F1-131D184A11E3}" name="Column15915"/>
    <tableColumn id="15930" xr3:uid="{A772F08D-411C-4085-B1CC-D19BBDF5D88D}" name="Column15916"/>
    <tableColumn id="15931" xr3:uid="{617E9227-E8EB-41EC-8CDB-ED93449575AD}" name="Column15917"/>
    <tableColumn id="15932" xr3:uid="{879C8D92-9666-4BD6-A0BD-F6E37F9AC36E}" name="Column15918"/>
    <tableColumn id="15933" xr3:uid="{F9E4B443-7DBF-4A4A-AFC9-35F5C962AC28}" name="Column15919"/>
    <tableColumn id="15934" xr3:uid="{989A004B-7A2F-4306-852B-0C91B22E500E}" name="Column15920"/>
    <tableColumn id="15935" xr3:uid="{4C5B6FB5-DB57-4B56-9958-CFEEE8C6A869}" name="Column15921"/>
    <tableColumn id="15936" xr3:uid="{B267C761-632F-47A0-9CE7-85F7028CDE9E}" name="Column15922"/>
    <tableColumn id="15937" xr3:uid="{EC56F602-40AD-4595-98D4-5764CE0BE746}" name="Column15923"/>
    <tableColumn id="15938" xr3:uid="{24099E56-B6B9-4FDB-A147-003A32412776}" name="Column15924"/>
    <tableColumn id="15939" xr3:uid="{3DE083A0-5243-416A-85A2-B0F221921E70}" name="Column15925"/>
    <tableColumn id="15940" xr3:uid="{8B06FF95-94A8-4AEE-A4C1-39789EEB8295}" name="Column15926"/>
    <tableColumn id="15941" xr3:uid="{2C294A4D-0B37-4336-B3AB-D8EC4165B097}" name="Column15927"/>
    <tableColumn id="15942" xr3:uid="{D57196C4-EF05-40C2-8B91-207B2E6EFFBC}" name="Column15928"/>
    <tableColumn id="15943" xr3:uid="{DC75CC31-8A7D-4706-AAF7-75C18D2C2081}" name="Column15929"/>
    <tableColumn id="15944" xr3:uid="{B52A5CB5-938F-4721-9D6E-6E1B507CD409}" name="Column15930"/>
    <tableColumn id="15945" xr3:uid="{5C22F6E5-4267-40AE-9F30-D745A63DE381}" name="Column15931"/>
    <tableColumn id="15946" xr3:uid="{CFDDA554-F6D6-4D82-B82D-99A77C90CF16}" name="Column15932"/>
    <tableColumn id="15947" xr3:uid="{59E88848-EEE2-4B26-A3D7-02546A0A9D08}" name="Column15933"/>
    <tableColumn id="15948" xr3:uid="{CA235656-5D45-4AEA-AA98-BC7777C87C1C}" name="Column15934"/>
    <tableColumn id="15949" xr3:uid="{7DC193A9-ADFE-44B9-8EC3-63BE9F3F434E}" name="Column15935"/>
    <tableColumn id="15950" xr3:uid="{353BAFBA-9E1F-401E-BFA7-5D38CD5E7B2C}" name="Column15936"/>
    <tableColumn id="15951" xr3:uid="{F764856C-5783-4A8C-A8E5-7DE65F0149EB}" name="Column15937"/>
    <tableColumn id="15952" xr3:uid="{C30076D9-FD2C-498E-A1F0-560760D7C77E}" name="Column15938"/>
    <tableColumn id="15953" xr3:uid="{1ECDE7CF-22D4-431C-9A8B-8EAFE544E791}" name="Column15939"/>
    <tableColumn id="15954" xr3:uid="{77D81450-C992-40B6-B37E-0B8C99B0A32B}" name="Column15940"/>
    <tableColumn id="15955" xr3:uid="{689D52C7-79E3-4DB0-9273-5EB8F3BC32A4}" name="Column15941"/>
    <tableColumn id="15956" xr3:uid="{D6ADF1B9-9B8C-49BC-A55A-1E4CB05E0518}" name="Column15942"/>
    <tableColumn id="15957" xr3:uid="{F63D123F-4639-41A4-B380-8DCEE207A700}" name="Column15943"/>
    <tableColumn id="15958" xr3:uid="{E3E4E006-4C82-4FF9-9648-15EF66A4C9CB}" name="Column15944"/>
    <tableColumn id="15959" xr3:uid="{A6751928-81F7-4921-8E34-3834DACAB7EC}" name="Column15945"/>
    <tableColumn id="15960" xr3:uid="{C595A136-827F-4DBD-97ED-D4C17D76A660}" name="Column15946"/>
    <tableColumn id="15961" xr3:uid="{446E8D85-6D7F-4EBC-92C6-40CE81B553F6}" name="Column15947"/>
    <tableColumn id="15962" xr3:uid="{CAA60204-01C4-4C6A-B2C0-04ADF850B611}" name="Column15948"/>
    <tableColumn id="15963" xr3:uid="{6B8D91B6-DA50-40B5-BBB9-62662C9536B4}" name="Column15949"/>
    <tableColumn id="15964" xr3:uid="{D59EDAD2-5355-4E74-8E06-E8C50A4C68C4}" name="Column15950"/>
    <tableColumn id="15965" xr3:uid="{34EE752B-CE9E-4B3A-8417-075FAF2C2A7A}" name="Column15951"/>
    <tableColumn id="15966" xr3:uid="{E365443C-B0C7-44F5-B0C3-C3E27CE41B3E}" name="Column15952"/>
    <tableColumn id="15967" xr3:uid="{1EA84EB3-1084-4373-9962-3AF454A1B498}" name="Column15953"/>
    <tableColumn id="15968" xr3:uid="{06E3AFC9-6CEF-41DE-9FD8-9DDE0CD5DE0D}" name="Column15954"/>
    <tableColumn id="15969" xr3:uid="{522BA354-7557-4667-B623-7843DE585170}" name="Column15955"/>
    <tableColumn id="15970" xr3:uid="{9E4FD417-AD05-4662-8AF7-C8033D1C610A}" name="Column15956"/>
    <tableColumn id="15971" xr3:uid="{59CE25B5-55D5-4433-A23E-F60962B61A5D}" name="Column15957"/>
    <tableColumn id="15972" xr3:uid="{41B95301-32A2-4711-863C-3DAA315BF7FB}" name="Column15958"/>
    <tableColumn id="15973" xr3:uid="{060B408E-5F84-4820-A8FD-E24123927CBA}" name="Column15959"/>
    <tableColumn id="15974" xr3:uid="{1E3279D6-5925-4CFB-B3BF-1A97DF95A647}" name="Column15960"/>
    <tableColumn id="15975" xr3:uid="{41E274FB-8076-419C-A558-E434CEA11D43}" name="Column15961"/>
    <tableColumn id="15976" xr3:uid="{41792718-6BF9-41A3-A10C-2708C8148CF6}" name="Column15962"/>
    <tableColumn id="15977" xr3:uid="{F34C2094-F229-4F90-8515-6E9AA3876951}" name="Column15963"/>
    <tableColumn id="15978" xr3:uid="{EC787D51-A5C3-4157-B0DF-42E142C9C733}" name="Column15964"/>
    <tableColumn id="15979" xr3:uid="{3FA7A580-2B49-44CB-9379-D31C6B273250}" name="Column15965"/>
    <tableColumn id="15980" xr3:uid="{5F570247-B824-4487-A18B-CEC1D0F80EA3}" name="Column15966"/>
    <tableColumn id="15981" xr3:uid="{E1CD7D03-2951-4FC2-922D-3E1EDE115731}" name="Column15967"/>
    <tableColumn id="15982" xr3:uid="{D8D20D71-15E1-48FD-85E1-029D4D7A15E5}" name="Column15968"/>
    <tableColumn id="15983" xr3:uid="{829D4B3E-33D7-4A51-8AC4-C23B91E1B03E}" name="Column15969"/>
    <tableColumn id="15984" xr3:uid="{E5B9523A-D7E3-427F-8235-3FA0CBB997DF}" name="Column15970"/>
    <tableColumn id="15985" xr3:uid="{38355C71-AD33-4BC0-AF46-B8310984E714}" name="Column15971"/>
    <tableColumn id="15986" xr3:uid="{B4A9F909-801A-4C5D-A59F-601480B255FA}" name="Column15972"/>
    <tableColumn id="15987" xr3:uid="{F968C259-E52B-4347-8393-E7D1A83199D2}" name="Column15973"/>
    <tableColumn id="15988" xr3:uid="{EAAF9A8D-88D4-479E-867C-9ECFED0CF6A4}" name="Column15974"/>
    <tableColumn id="15989" xr3:uid="{6A206660-EE1B-4CCD-80D8-5B238A466BB0}" name="Column15975"/>
    <tableColumn id="15990" xr3:uid="{4B2A40E2-5C2F-4A64-A64C-8D43C2D9C718}" name="Column15976"/>
    <tableColumn id="15991" xr3:uid="{FC3B96D8-B4A2-4088-B984-63CCFABEE8AD}" name="Column15977"/>
    <tableColumn id="15992" xr3:uid="{0F145599-F6EC-4A92-AA4C-A3CFE355ADAE}" name="Column15978"/>
    <tableColumn id="15993" xr3:uid="{8382A5BE-C01A-4A31-9EEF-DF5E861DED91}" name="Column15979"/>
    <tableColumn id="15994" xr3:uid="{F29E2123-B048-4B4A-BEA6-0B0D9565E73D}" name="Column15980"/>
    <tableColumn id="15995" xr3:uid="{165DCBB8-AEE3-4D9B-BEEC-CCA17D8E7A9B}" name="Column15981"/>
    <tableColumn id="15996" xr3:uid="{F2B54AB1-E5DC-40BC-A245-5597F74F9453}" name="Column15982"/>
    <tableColumn id="15997" xr3:uid="{93006841-52C1-4A4B-89C8-07483A6D94F6}" name="Column15983"/>
    <tableColumn id="15998" xr3:uid="{432B5A82-A53C-4895-9374-5881A46907FC}" name="Column15984"/>
    <tableColumn id="15999" xr3:uid="{15A85068-C97D-45A1-AD2F-99A122351271}" name="Column15985"/>
    <tableColumn id="16000" xr3:uid="{30432C5C-BA3E-4AFC-9F76-3387430055C7}" name="Column15986"/>
    <tableColumn id="16001" xr3:uid="{584E4CA5-1CA2-40AC-9D6E-8F325E75ABCD}" name="Column15987"/>
    <tableColumn id="16002" xr3:uid="{77979AB8-FE05-4DC9-9F6D-AD5B56DA1B67}" name="Column15988"/>
    <tableColumn id="16003" xr3:uid="{FA2183AD-1F7E-45EB-B43A-DDF47D355975}" name="Column15989"/>
    <tableColumn id="16004" xr3:uid="{3A0A3C37-98FD-4B45-9CDF-C968DBCD76FC}" name="Column15990"/>
    <tableColumn id="16005" xr3:uid="{4A69657C-29B4-436D-8DC0-E910EB9B807F}" name="Column15991"/>
    <tableColumn id="16006" xr3:uid="{32D7721C-BC34-4450-979C-F9D037D885FE}" name="Column15992"/>
    <tableColumn id="16007" xr3:uid="{A202CDD5-5FDB-4C94-9A2E-901CF18FC018}" name="Column15993"/>
    <tableColumn id="16008" xr3:uid="{7E8D2DEE-9BC5-450F-B03A-D04F1A67F359}" name="Column15994"/>
    <tableColumn id="16009" xr3:uid="{64851BD4-EF66-4C0A-9814-58B7AD820EE7}" name="Column15995"/>
    <tableColumn id="16010" xr3:uid="{EC886AEB-F2F4-48EB-94FE-3003F30C8C70}" name="Column15996"/>
    <tableColumn id="16011" xr3:uid="{29B62174-0577-4DB1-893F-9073ECA26D39}" name="Column15997"/>
    <tableColumn id="16012" xr3:uid="{8BB74019-D7E6-4A8E-8ED4-AE5FA423D54F}" name="Column15998"/>
    <tableColumn id="16013" xr3:uid="{8DFA99BD-66B2-4893-9571-436F5EA38B93}" name="Column15999"/>
    <tableColumn id="16014" xr3:uid="{D7F5D2B8-0591-4230-8A8E-EB61E2C68798}" name="Column16000"/>
    <tableColumn id="16015" xr3:uid="{4AC61140-EDEB-4353-9684-976C6C1A13C1}" name="Column16001"/>
    <tableColumn id="16016" xr3:uid="{2CBEE714-A1FE-4514-AFB1-D611A4FB0885}" name="Column16002"/>
    <tableColumn id="16017" xr3:uid="{90A2E8E7-9503-4F13-BEB8-4D6E6C673C9D}" name="Column16003"/>
    <tableColumn id="16018" xr3:uid="{0738B89F-33B6-4022-99D0-0D4AF45409E9}" name="Column16004"/>
    <tableColumn id="16019" xr3:uid="{5BFDE7E8-9DE3-4CCD-9C48-59ADA182E037}" name="Column16005"/>
    <tableColumn id="16020" xr3:uid="{B1B2D46E-FA93-4D3B-99F2-EEC05AA49030}" name="Column16006"/>
    <tableColumn id="16021" xr3:uid="{AE746F56-031B-49DF-8EA3-55A6D9D1998B}" name="Column16007"/>
    <tableColumn id="16022" xr3:uid="{B0AB628B-35BB-41E0-B524-6C8C023A06E5}" name="Column16008"/>
    <tableColumn id="16023" xr3:uid="{74800D57-9EF9-41C2-A72B-6A86E4D15B2D}" name="Column16009"/>
    <tableColumn id="16024" xr3:uid="{137F4395-B601-4AD3-9A4B-0B4229F28BF2}" name="Column16010"/>
    <tableColumn id="16025" xr3:uid="{B36A14DE-1456-459A-B45A-86FE55138163}" name="Column16011"/>
    <tableColumn id="16026" xr3:uid="{B627E091-148E-4DB6-943F-D79C48780E7B}" name="Column16012"/>
    <tableColumn id="16027" xr3:uid="{7A3FC90B-D3A8-45C8-9ADA-D827FBFC0A94}" name="Column16013"/>
    <tableColumn id="16028" xr3:uid="{9B33E791-7C28-46C3-8AE8-D4CB6F63425D}" name="Column16014"/>
    <tableColumn id="16029" xr3:uid="{FCFE3B86-4FEE-440D-9EE4-63DECD7D4C24}" name="Column16015"/>
    <tableColumn id="16030" xr3:uid="{E7E64CB8-6E57-4FB1-8615-BE41FAF6C668}" name="Column16016"/>
    <tableColumn id="16031" xr3:uid="{59018B90-A5FC-474D-9D68-9E5D41F415F3}" name="Column16017"/>
    <tableColumn id="16032" xr3:uid="{4FBF13EC-F464-42A2-AF65-1AB6C0B1A362}" name="Column16018"/>
    <tableColumn id="16033" xr3:uid="{183840C7-EB18-43D2-93F1-1AAD53618108}" name="Column16019"/>
    <tableColumn id="16034" xr3:uid="{EB5D822C-854A-41CC-8887-8C9E16154322}" name="Column16020"/>
    <tableColumn id="16035" xr3:uid="{B464DDAE-9509-49E0-9B4A-E01CD4A1A0A7}" name="Column16021"/>
    <tableColumn id="16036" xr3:uid="{0DD5F001-A5FB-4828-9278-974A23E9B074}" name="Column16022"/>
    <tableColumn id="16037" xr3:uid="{8AD8C42C-3B89-4F97-83BC-2D29F9C9826E}" name="Column16023"/>
    <tableColumn id="16038" xr3:uid="{63494150-AD54-482E-B49D-D8861FCEB146}" name="Column16024"/>
    <tableColumn id="16039" xr3:uid="{F82091A7-76B2-4931-8BEE-4BDEA8B89D41}" name="Column16025"/>
    <tableColumn id="16040" xr3:uid="{3F3D2D0B-91AE-471C-9BA3-B6FBA8B67851}" name="Column16026"/>
    <tableColumn id="16041" xr3:uid="{925F4FBF-DD9D-49F6-8F93-A12625868A60}" name="Column16027"/>
    <tableColumn id="16042" xr3:uid="{FF23CC9A-0341-4525-BA89-59BB5D8E0977}" name="Column16028"/>
    <tableColumn id="16043" xr3:uid="{37EAB95F-9B93-4069-B1AE-D50623CDBC84}" name="Column16029"/>
    <tableColumn id="16044" xr3:uid="{DB801BFC-9513-499D-B49C-EBC618283B87}" name="Column16030"/>
    <tableColumn id="16045" xr3:uid="{7FE5EBC7-7992-43D4-B6C8-8909310C76F6}" name="Column16031"/>
    <tableColumn id="16046" xr3:uid="{E0D7478E-D5FF-4E25-9310-25698AA790D1}" name="Column16032"/>
    <tableColumn id="16047" xr3:uid="{5E614567-73C0-449E-9EDC-1A8EC1BF2E42}" name="Column16033"/>
    <tableColumn id="16048" xr3:uid="{848A1687-006C-4838-A583-C18B216E2475}" name="Column16034"/>
    <tableColumn id="16049" xr3:uid="{75838867-F1A7-4F80-8DFA-5B2F005E9CCF}" name="Column16035"/>
    <tableColumn id="16050" xr3:uid="{ABCDDB75-1185-4A28-827C-1ABABA4EBA69}" name="Column16036"/>
    <tableColumn id="16051" xr3:uid="{3E92F0BF-1FF5-42F4-8145-E76C04278A4E}" name="Column16037"/>
    <tableColumn id="16052" xr3:uid="{AF03C228-52A1-474A-8E93-D3830589C9B8}" name="Column16038"/>
    <tableColumn id="16053" xr3:uid="{B56B3DBA-2527-4C09-9C4F-C5D561E04B3E}" name="Column16039"/>
    <tableColumn id="16054" xr3:uid="{BF3C368C-D66D-41F4-8C0A-DF1EF005B272}" name="Column16040"/>
    <tableColumn id="16055" xr3:uid="{24328FF2-6C9D-405C-B786-87D3D75E337C}" name="Column16041"/>
    <tableColumn id="16056" xr3:uid="{C3E6DF23-A4FB-44D4-BD42-A5EDA59A58A9}" name="Column16042"/>
    <tableColumn id="16057" xr3:uid="{CD2AD91E-0DF7-4B54-98F9-3B2703572519}" name="Column16043"/>
    <tableColumn id="16058" xr3:uid="{09B165DA-71E7-4DA5-937F-B3B17B91DA79}" name="Column16044"/>
    <tableColumn id="16059" xr3:uid="{A8953414-CCF5-4FD3-905C-65AA35646667}" name="Column16045"/>
    <tableColumn id="16060" xr3:uid="{9208035A-D5CF-4BDC-A26A-5CFA0035A236}" name="Column16046"/>
    <tableColumn id="16061" xr3:uid="{2BF4B0ED-7065-4785-98DE-DCE530A3E556}" name="Column16047"/>
    <tableColumn id="16062" xr3:uid="{40E13146-DB07-46D1-86FE-B8F2584E758B}" name="Column16048"/>
    <tableColumn id="16063" xr3:uid="{35FC8E75-A843-431D-9B84-332448896BB2}" name="Column16049"/>
    <tableColumn id="16064" xr3:uid="{859527C8-456F-4F85-8323-45E59377BB4B}" name="Column16050"/>
    <tableColumn id="16065" xr3:uid="{C9EE55EE-8267-43FB-946E-8E8A6E44EE9E}" name="Column16051"/>
    <tableColumn id="16066" xr3:uid="{FE0FF039-B835-4DC5-BAE1-1EE4E0745574}" name="Column16052"/>
    <tableColumn id="16067" xr3:uid="{3A845825-195A-4A7C-9AFC-B481D8C812C7}" name="Column16053"/>
    <tableColumn id="16068" xr3:uid="{999DE6E9-3580-45C9-A309-0C3ACB4778BB}" name="Column16054"/>
    <tableColumn id="16069" xr3:uid="{2F527DB2-A1F6-4670-BEC1-EA955E69D09F}" name="Column16055"/>
    <tableColumn id="16070" xr3:uid="{AC1BA749-1A85-49C5-A98E-ECF0F9E416D9}" name="Column16056"/>
    <tableColumn id="16071" xr3:uid="{B3DF47F1-E0FC-47EE-9A14-C561079F9A1C}" name="Column16057"/>
    <tableColumn id="16072" xr3:uid="{24A65CBD-F46D-4208-AE9F-C8EEBB7760E2}" name="Column16058"/>
    <tableColumn id="16073" xr3:uid="{1CED7F4D-6490-4818-86B2-441BD7118965}" name="Column16059"/>
    <tableColumn id="16074" xr3:uid="{F4E7602F-4D11-40CE-89D5-1D790ED0D741}" name="Column16060"/>
    <tableColumn id="16075" xr3:uid="{2A1F50B1-629C-4918-88D2-A0DC5022BDB2}" name="Column16061"/>
    <tableColumn id="16076" xr3:uid="{119D45F5-5137-4D0E-9598-6AE935BD554F}" name="Column16062"/>
    <tableColumn id="16077" xr3:uid="{C992E626-B3F6-4595-91D4-162C06ED9041}" name="Column16063"/>
    <tableColumn id="16078" xr3:uid="{6E1D9D97-0480-4D5C-9DF1-C146A56674DF}" name="Column16064"/>
    <tableColumn id="16079" xr3:uid="{93769C17-8BC7-453E-B210-A3769D371D11}" name="Column16065"/>
    <tableColumn id="16080" xr3:uid="{2F4D9731-35FA-45FD-85B8-3836EE630DC2}" name="Column16066"/>
    <tableColumn id="16081" xr3:uid="{B361BFCE-C937-4DCA-ACBA-93726869A520}" name="Column16067"/>
    <tableColumn id="16082" xr3:uid="{999B59FD-ECAD-40A8-8169-05A5FFD97CB0}" name="Column16068"/>
    <tableColumn id="16083" xr3:uid="{37B74FE0-4D95-4FDC-86E7-8C09CF71C007}" name="Column16069"/>
    <tableColumn id="16084" xr3:uid="{0E826E11-7504-43C6-95DD-9E0C9EEEC5F4}" name="Column16070"/>
    <tableColumn id="16085" xr3:uid="{A659988F-B867-44C3-84CB-6A2821A47943}" name="Column16071"/>
    <tableColumn id="16086" xr3:uid="{AF2EBC8C-4068-4980-9875-B7825A327A83}" name="Column16072"/>
    <tableColumn id="16087" xr3:uid="{F05B0083-0FEF-423E-A63A-799A8C725C46}" name="Column16073"/>
    <tableColumn id="16088" xr3:uid="{6487556C-8EDE-473C-A30A-7B71716175BE}" name="Column16074"/>
    <tableColumn id="16089" xr3:uid="{0012FAD9-F4A4-488E-B977-579762A6D0BC}" name="Column16075"/>
    <tableColumn id="16090" xr3:uid="{FD4F018C-2FF3-4B21-832F-3A3B20B6C7FC}" name="Column16076"/>
    <tableColumn id="16091" xr3:uid="{AF8C3BCF-6F1A-4B92-8D27-8FF1A96271BC}" name="Column16077"/>
    <tableColumn id="16092" xr3:uid="{5E207627-AAB4-4482-B67F-8816C01E74AA}" name="Column16078"/>
    <tableColumn id="16093" xr3:uid="{96414F7A-13A9-49AC-AD6F-23DFE80CA27B}" name="Column16079"/>
    <tableColumn id="16094" xr3:uid="{D36283A0-3EDB-4C59-BD20-868481FB2F1C}" name="Column16080"/>
    <tableColumn id="16095" xr3:uid="{195CD933-E421-4031-A24E-75C5C6C772DE}" name="Column16081"/>
    <tableColumn id="16096" xr3:uid="{12C70F8A-4817-4B7C-9D78-D153F38B1400}" name="Column16082"/>
    <tableColumn id="16097" xr3:uid="{9D307350-29E6-4144-A44D-06A3C6E7CFCE}" name="Column16083"/>
    <tableColumn id="16098" xr3:uid="{C1A4A051-510A-49E3-A9E9-CE33DD461966}" name="Column16084"/>
    <tableColumn id="16099" xr3:uid="{CA5D0B2E-2D7B-4C20-AE31-AFA7EE3E5CF9}" name="Column16085"/>
    <tableColumn id="16100" xr3:uid="{39B8520D-4A62-47C0-8623-FFADA27B036D}" name="Column16086"/>
    <tableColumn id="16101" xr3:uid="{E20771E9-F11D-4FD8-9675-30D3ABF935FE}" name="Column16087"/>
    <tableColumn id="16102" xr3:uid="{E2EED8E3-C97F-4299-A880-DE44F8A0E0AE}" name="Column16088"/>
    <tableColumn id="16103" xr3:uid="{BC6D58A6-EE5F-4830-85E8-4B0DB783ABF3}" name="Column16089"/>
    <tableColumn id="16104" xr3:uid="{871E80BA-7F95-48CE-A2E9-E624AC95D498}" name="Column16090"/>
    <tableColumn id="16105" xr3:uid="{6291B150-5B9F-4AB7-AD99-715ED9979ED5}" name="Column16091"/>
    <tableColumn id="16106" xr3:uid="{AD32CB96-8D2F-4AFD-B1BC-186AD103B59C}" name="Column16092"/>
    <tableColumn id="16107" xr3:uid="{3FA36D87-53EC-4410-A328-D5305F144B92}" name="Column16093"/>
    <tableColumn id="16108" xr3:uid="{7CE5A4CD-F21D-4A40-B28F-34D9E5BC0740}" name="Column16094"/>
    <tableColumn id="16109" xr3:uid="{84302519-72D9-4657-B9F4-36E3943F08CE}" name="Column16095"/>
    <tableColumn id="16110" xr3:uid="{B29BCA49-E722-485C-BF94-32581FF3A0A1}" name="Column16096"/>
    <tableColumn id="16111" xr3:uid="{F308FCD2-DB14-48AB-ABFD-8355623A7B25}" name="Column16097"/>
    <tableColumn id="16112" xr3:uid="{A435F85A-FD96-4997-8604-9F4491F9601F}" name="Column16098"/>
    <tableColumn id="16113" xr3:uid="{852E04C7-62D2-426F-8960-DACC5D5E0C7F}" name="Column16099"/>
    <tableColumn id="16114" xr3:uid="{988AEBC6-8328-4756-BFB9-894E28BFE6D6}" name="Column16100"/>
    <tableColumn id="16115" xr3:uid="{ACE02E2F-7D24-4655-AE25-FFD552658810}" name="Column16101"/>
    <tableColumn id="16116" xr3:uid="{01DBACF0-B96E-4F3C-97BE-E7FB12287CBA}" name="Column16102"/>
    <tableColumn id="16117" xr3:uid="{B6E8711F-B3CF-4606-BBC3-DB6E0080CD44}" name="Column16103"/>
    <tableColumn id="16118" xr3:uid="{DA7B1B17-4B1A-4800-A24F-063B548458AC}" name="Column16104"/>
    <tableColumn id="16119" xr3:uid="{D7B53E7E-5D81-41EF-8192-59460CCFAE75}" name="Column16105"/>
    <tableColumn id="16120" xr3:uid="{A0467D4B-B041-4A51-875C-A879D93E04B4}" name="Column16106"/>
    <tableColumn id="16121" xr3:uid="{C23C64FD-BD6A-477B-B210-451A53DCA72E}" name="Column16107"/>
    <tableColumn id="16122" xr3:uid="{044E9FAC-5A6F-4FF3-9DB2-78BEF9C3AA2D}" name="Column16108"/>
    <tableColumn id="16123" xr3:uid="{4D35E8DD-5EFF-4C72-96C1-66374E9C1B8C}" name="Column16109"/>
    <tableColumn id="16124" xr3:uid="{08A86C75-6F8E-41D9-9A9D-7305116E22B2}" name="Column16110"/>
    <tableColumn id="16125" xr3:uid="{18FAC29B-E15D-4D09-8383-21DB25DBF7FE}" name="Column16111"/>
    <tableColumn id="16126" xr3:uid="{C01EA2AC-97EE-48F2-A3AB-4FE08CC1BE65}" name="Column16112"/>
    <tableColumn id="16127" xr3:uid="{B63FA294-DB71-4E93-8070-376DF1F6EBEC}" name="Column16113"/>
    <tableColumn id="16128" xr3:uid="{BDD6538D-46D8-4105-B760-4F6DA13CC9B5}" name="Column16114"/>
    <tableColumn id="16129" xr3:uid="{9625EF0B-3C9B-4126-94A1-802163C4102A}" name="Column16115"/>
    <tableColumn id="16130" xr3:uid="{F9F82721-B5B6-44D6-8B66-A32329825E87}" name="Column16116"/>
    <tableColumn id="16131" xr3:uid="{CE32E762-7290-4D10-8CE8-578C4472A487}" name="Column16117"/>
    <tableColumn id="16132" xr3:uid="{2040182E-C4C9-4D30-B3C2-2B305F3EB993}" name="Column16118"/>
    <tableColumn id="16133" xr3:uid="{E79D9B03-BE05-40B2-B2EC-C77FBDCC657C}" name="Column16119"/>
    <tableColumn id="16134" xr3:uid="{FCF72BCD-2A76-48C1-ACE8-F0B7DFFAC8B7}" name="Column16120"/>
    <tableColumn id="16135" xr3:uid="{3A8A4FD8-CEA8-4CDF-B4F0-D37315F0E507}" name="Column16121"/>
    <tableColumn id="16136" xr3:uid="{D6D706C6-1EC7-42E5-9A3B-FDFB37ED4D49}" name="Column16122"/>
    <tableColumn id="16137" xr3:uid="{8F3DE43F-AE2A-461B-A4B2-3D1A76B07D45}" name="Column16123"/>
    <tableColumn id="16138" xr3:uid="{B1390CEE-5B8C-4B03-AD56-07E390441461}" name="Column16124"/>
    <tableColumn id="16139" xr3:uid="{F67A5EBA-3879-44FE-A71B-1F1488C3FAB6}" name="Column16125"/>
    <tableColumn id="16140" xr3:uid="{43609962-6BDF-4E41-8C05-F24A1D41AC69}" name="Column16126"/>
    <tableColumn id="16141" xr3:uid="{07332F29-26A5-41EA-8700-D819C4D3D2D3}" name="Column16127"/>
    <tableColumn id="16142" xr3:uid="{B9BC5E5E-84BE-4F6C-B3C1-E73BF9984BC9}" name="Column16128"/>
    <tableColumn id="16143" xr3:uid="{D13E0F97-90CA-4DC3-B995-D86F50534C51}" name="Column16129"/>
    <tableColumn id="16144" xr3:uid="{DB7B7D62-B89C-46E8-A557-A961533AE68F}" name="Column16130"/>
    <tableColumn id="16145" xr3:uid="{B0A1ACE1-D8B1-4B32-8D3A-795D5C332820}" name="Column16131"/>
    <tableColumn id="16146" xr3:uid="{7E3BE0ED-DA9F-46F8-A203-6F2BE9764446}" name="Column16132"/>
    <tableColumn id="16147" xr3:uid="{B5571B4F-4264-4E1A-ACC0-DC86885D1891}" name="Column16133"/>
    <tableColumn id="16148" xr3:uid="{845033D3-6A02-4627-91B0-E4364AF2D2CF}" name="Column16134"/>
    <tableColumn id="16149" xr3:uid="{74D74129-775E-4480-8DD6-708E234331E0}" name="Column16135"/>
    <tableColumn id="16150" xr3:uid="{DD905BAC-CBB3-4B35-A05C-C27A2B5DFD56}" name="Column16136"/>
    <tableColumn id="16151" xr3:uid="{C8ECF7DD-A3CD-414A-AEFF-F56A52E19FAC}" name="Column16137"/>
    <tableColumn id="16152" xr3:uid="{CF59A545-02BC-4880-B616-2F3F08A130DE}" name="Column16138"/>
    <tableColumn id="16153" xr3:uid="{4BA9453A-8C03-4AA1-A65A-F76962805300}" name="Column16139"/>
    <tableColumn id="16154" xr3:uid="{1B448C1D-C82F-47DB-9C63-5A82D404B062}" name="Column16140"/>
    <tableColumn id="16155" xr3:uid="{86BA3687-F371-44C7-AB69-D9104BC56AE9}" name="Column16141"/>
    <tableColumn id="16156" xr3:uid="{2410C305-512B-4746-9D02-43FF9EB70515}" name="Column16142"/>
    <tableColumn id="16157" xr3:uid="{5DFF79D1-268F-4596-8126-F8536F16122E}" name="Column16143"/>
    <tableColumn id="16158" xr3:uid="{AC5D801E-ACB6-4C3B-9CBB-2FE0F4F256D3}" name="Column16144"/>
    <tableColumn id="16159" xr3:uid="{915AC559-83AD-4056-AF4F-CE1E0164E6E5}" name="Column16145"/>
    <tableColumn id="16160" xr3:uid="{4F30A4A3-47E4-47FB-AB18-288D9233CE45}" name="Column16146"/>
    <tableColumn id="16161" xr3:uid="{1A70EBB6-47CD-47C4-A832-C55FB9E71603}" name="Column16147"/>
    <tableColumn id="16162" xr3:uid="{EBE84372-107B-42D9-AC09-A26CB82F9ECB}" name="Column16148"/>
    <tableColumn id="16163" xr3:uid="{926B05F8-426E-47A3-9E29-FB4C9ADFF690}" name="Column16149"/>
    <tableColumn id="16164" xr3:uid="{3E7517EB-31E6-4E7B-B264-73B8ED2F3ADA}" name="Column16150"/>
    <tableColumn id="16165" xr3:uid="{287AA32A-AB6E-479A-92AD-6C30AE8E4AEF}" name="Column16151"/>
    <tableColumn id="16166" xr3:uid="{263752D0-19AB-43D3-BD4A-A379AB22CEFB}" name="Column16152"/>
    <tableColumn id="16167" xr3:uid="{0F6A4107-C1C3-4870-B3D6-DD72CF689777}" name="Column16153"/>
    <tableColumn id="16168" xr3:uid="{ECDB6477-BE62-4F25-B59D-F0822580B889}" name="Column16154"/>
    <tableColumn id="16169" xr3:uid="{7C4F7711-2A12-459C-8C0B-E47FD8D93AA8}" name="Column16155"/>
    <tableColumn id="16170" xr3:uid="{F6A2E204-54D9-41B9-9264-E78DE48460B7}" name="Column16156"/>
    <tableColumn id="16171" xr3:uid="{75DBA0F0-F46B-43BB-815F-8E339C939BE3}" name="Column16157"/>
    <tableColumn id="16172" xr3:uid="{F85EF51F-FB6B-494A-83F1-A852675F68F5}" name="Column16158"/>
    <tableColumn id="16173" xr3:uid="{E5B27B3E-8B59-4B0B-B6DC-C4DEEADAD781}" name="Column16159"/>
    <tableColumn id="16174" xr3:uid="{F7E14340-F687-4C72-A70D-ABB535950748}" name="Column16160"/>
    <tableColumn id="16175" xr3:uid="{C072CC35-E572-4CEF-A91B-84A866962141}" name="Column16161"/>
    <tableColumn id="16176" xr3:uid="{515F001B-5A3A-47DE-8362-D3506E759BFD}" name="Column16162"/>
    <tableColumn id="16177" xr3:uid="{D637C1B3-B094-4E47-9B1A-DDFE7B5A6EFA}" name="Column16163"/>
    <tableColumn id="16178" xr3:uid="{BB6FF391-08C2-42B8-9495-2D4D7F43B5AE}" name="Column16164"/>
    <tableColumn id="16179" xr3:uid="{7DE018E1-E726-453D-AE4D-299534177B00}" name="Column16165"/>
    <tableColumn id="16180" xr3:uid="{85B72620-7E74-444D-AA97-016F473A63C3}" name="Column16166"/>
    <tableColumn id="16181" xr3:uid="{5E6492F5-AB38-4C01-8D08-4AF4291823F1}" name="Column16167"/>
    <tableColumn id="16182" xr3:uid="{5F9CFD59-54FB-4E75-BDF1-12CF5D68CD82}" name="Column16168"/>
    <tableColumn id="16183" xr3:uid="{3569BFBE-4192-4B97-A177-80C7A01EA88F}" name="Column16169"/>
    <tableColumn id="16184" xr3:uid="{1B42FF62-31DB-49F1-B2E1-C3729712B694}" name="Column16170"/>
    <tableColumn id="16185" xr3:uid="{886FF019-8DCC-4466-A706-8A59798AE1B7}" name="Column16171"/>
    <tableColumn id="16186" xr3:uid="{E2B5E924-AB6E-47B7-B333-79283C2F7193}" name="Column16172"/>
    <tableColumn id="16187" xr3:uid="{8F3DF1C7-1AF7-4168-9D15-58294704580F}" name="Column16173"/>
    <tableColumn id="16188" xr3:uid="{9C81034B-51D4-421A-87C3-360473F7EA30}" name="Column16174"/>
    <tableColumn id="16189" xr3:uid="{B72A053F-C0FC-440D-A369-B7B47F733301}" name="Column16175"/>
    <tableColumn id="16190" xr3:uid="{340A0687-ADAD-4DE0-9291-9B40973BC538}" name="Column16176"/>
    <tableColumn id="16191" xr3:uid="{2311CA1C-92A4-43B4-9B49-AD9D3D3B4280}" name="Column16177"/>
    <tableColumn id="16192" xr3:uid="{0FA62CDC-92F5-4D51-B59E-634EAF8F7C26}" name="Column16178"/>
    <tableColumn id="16193" xr3:uid="{2FC73EFF-D854-44ED-87B2-0E3253E7A763}" name="Column16179"/>
    <tableColumn id="16194" xr3:uid="{5F496EE7-C79F-4DCE-A65F-0B731CD2465B}" name="Column16180"/>
    <tableColumn id="16195" xr3:uid="{B7CDEE48-6C01-4F32-A077-1FDB17512290}" name="Column16181"/>
    <tableColumn id="16196" xr3:uid="{F8D06F9F-C3B2-4AB2-8B16-7AFA4293E0DA}" name="Column16182"/>
    <tableColumn id="16197" xr3:uid="{A3D63D51-D463-444D-90C1-56D52C2AACA0}" name="Column16183"/>
    <tableColumn id="16198" xr3:uid="{D8720EE1-5A9A-4C67-85E9-40B0D33D74D1}" name="Column16184"/>
    <tableColumn id="16199" xr3:uid="{A0BD1BDB-B00F-4DD4-9C1D-DDA4C75F0CB4}" name="Column16185"/>
    <tableColumn id="16200" xr3:uid="{79F5306B-A12B-4854-9E89-C8BD58C8B8FA}" name="Column16186"/>
    <tableColumn id="16201" xr3:uid="{4B5113AC-C3E0-4D83-9127-5682F774C036}" name="Column16187"/>
    <tableColumn id="16202" xr3:uid="{2FB8356E-9C04-483E-9C73-08EE7C6AF71D}" name="Column16188"/>
    <tableColumn id="16203" xr3:uid="{1588CE99-7122-4773-A52B-F299D735FC82}" name="Column16189"/>
    <tableColumn id="16204" xr3:uid="{D3EFCFF5-BDAF-4006-A57F-E068E0E87FE8}" name="Column16190"/>
    <tableColumn id="16205" xr3:uid="{9066E270-4B7F-4873-B283-09E11D811A07}" name="Column16191"/>
    <tableColumn id="16206" xr3:uid="{0CA8AA35-34B5-4808-831D-94A6FB368885}" name="Column16192"/>
    <tableColumn id="16207" xr3:uid="{5016D3B9-6DEA-4F51-AF28-A5619B4AF4E0}" name="Column16193"/>
    <tableColumn id="16208" xr3:uid="{71B7EE05-C669-443F-8B07-89E2C382C97D}" name="Column16194"/>
    <tableColumn id="16209" xr3:uid="{B3148AD4-6209-4322-8D78-F7DC7B9FB351}" name="Column16195"/>
    <tableColumn id="16210" xr3:uid="{DC07F024-58B5-400D-A7DC-1495FD8AF75F}" name="Column16196"/>
    <tableColumn id="16211" xr3:uid="{4707D2D8-6DED-4597-92D0-6C119DFCB128}" name="Column16197"/>
    <tableColumn id="16212" xr3:uid="{F6C756AA-39D9-421F-85BB-0005F45BE91D}" name="Column16198"/>
    <tableColumn id="16213" xr3:uid="{D4F5601E-3E6B-4F82-955C-B9D5A3BD92C8}" name="Column16199"/>
    <tableColumn id="16214" xr3:uid="{D3E2FE1D-4341-4C05-893A-2D1C5DC1E953}" name="Column16200"/>
    <tableColumn id="16215" xr3:uid="{2569DA56-3660-4AFD-A576-69C1339DE751}" name="Column16201"/>
    <tableColumn id="16216" xr3:uid="{5575EBC7-7D27-40A0-A17A-65ADAD959F7C}" name="Column16202"/>
    <tableColumn id="16217" xr3:uid="{FD0C9758-25E8-44F1-A215-8FF513D7D96D}" name="Column16203"/>
    <tableColumn id="16218" xr3:uid="{DD78588D-A204-4903-8C4F-EFAA5F16D515}" name="Column16204"/>
    <tableColumn id="16219" xr3:uid="{93479A82-D640-410B-BBB9-496F1A7EC1FC}" name="Column16205"/>
    <tableColumn id="16220" xr3:uid="{68AE8D8F-C46C-416E-BB05-6219AAE6FCC8}" name="Column16206"/>
    <tableColumn id="16221" xr3:uid="{CC6B0FA8-92D4-49E6-B983-BDEF05B765B3}" name="Column16207"/>
    <tableColumn id="16222" xr3:uid="{6ECFB362-335A-451A-AA03-14C8D8CB6227}" name="Column16208"/>
    <tableColumn id="16223" xr3:uid="{B4531D63-72C3-4D44-B9A9-DD60471A9CE3}" name="Column16209"/>
    <tableColumn id="16224" xr3:uid="{BB924FC5-D764-482D-9C31-BDA16676531B}" name="Column16210"/>
    <tableColumn id="16225" xr3:uid="{34E83DDB-6117-4ADB-8F3C-DBF088650164}" name="Column16211"/>
    <tableColumn id="16226" xr3:uid="{B2426B75-B07E-411C-8033-668DEBBDE903}" name="Column16212"/>
    <tableColumn id="16227" xr3:uid="{ED620D55-0F9F-420F-B448-5774A7F3C20C}" name="Column16213"/>
    <tableColumn id="16228" xr3:uid="{5E54F314-00D8-4531-9D1F-27DB543BD25C}" name="Column16214"/>
    <tableColumn id="16229" xr3:uid="{8A9F3921-B2EB-40B8-A5D8-70A5F31FF5CA}" name="Column16215"/>
    <tableColumn id="16230" xr3:uid="{8386F741-31EA-4DDD-9925-657A95FE8E08}" name="Column16216"/>
    <tableColumn id="16231" xr3:uid="{B3D12DB2-5E1E-4DFD-A27B-FE35452E67C2}" name="Column16217"/>
    <tableColumn id="16232" xr3:uid="{E9285C5E-EDD2-4E5B-8122-AE53BB1DB82D}" name="Column16218"/>
    <tableColumn id="16233" xr3:uid="{4523EECA-21B8-4981-A179-5E128A8393CA}" name="Column16219"/>
    <tableColumn id="16234" xr3:uid="{C6DD1448-BF7B-4979-B916-79C1BE2D1ABC}" name="Column16220"/>
    <tableColumn id="16235" xr3:uid="{4D00E6D8-5EDA-469C-BDE7-DFB2774F6457}" name="Column16221"/>
    <tableColumn id="16236" xr3:uid="{510481C1-C89F-4BBF-BEFB-CC6AFBC88E7F}" name="Column16222"/>
    <tableColumn id="16237" xr3:uid="{9424958E-E242-4FF9-97B2-A75A9966D7C2}" name="Column16223"/>
    <tableColumn id="16238" xr3:uid="{CA08D551-9EEC-4C66-8A0A-7C184C617416}" name="Column16224"/>
    <tableColumn id="16239" xr3:uid="{790D239D-3747-415E-B577-37F59D09BC75}" name="Column16225"/>
    <tableColumn id="16240" xr3:uid="{F33EDD62-A302-47EA-8491-1144E3803F40}" name="Column16226"/>
    <tableColumn id="16241" xr3:uid="{CFC40C9D-E38F-4520-9BED-4BEC90B03D0D}" name="Column16227"/>
    <tableColumn id="16242" xr3:uid="{3BDD697B-88E7-4AA0-ABE7-7768FD5116D0}" name="Column16228"/>
    <tableColumn id="16243" xr3:uid="{CDFDDEDF-A897-4605-9489-48FC2329EDB6}" name="Column16229"/>
    <tableColumn id="16244" xr3:uid="{6A013238-35B6-4844-9657-8637DAAE42E6}" name="Column16230"/>
    <tableColumn id="16245" xr3:uid="{DD687DE5-D917-4953-BCC4-0D32EEDBECE5}" name="Column16231"/>
    <tableColumn id="16246" xr3:uid="{147237F7-B726-48B1-BC47-216F3E47A6EC}" name="Column16232"/>
    <tableColumn id="16247" xr3:uid="{E0E3A66E-F9E7-4F9A-8AE3-6788518FC7A8}" name="Column16233"/>
    <tableColumn id="16248" xr3:uid="{1A3A52B3-F665-4800-8991-FB62A8C06F39}" name="Column16234"/>
    <tableColumn id="16249" xr3:uid="{C7B842FD-2167-4402-9EBD-5EC1CE418B58}" name="Column16235"/>
    <tableColumn id="16250" xr3:uid="{71E0653D-C665-4E63-AFB0-F358EB886E29}" name="Column16236"/>
    <tableColumn id="16251" xr3:uid="{FD227038-C46B-4B34-9855-133343AFA548}" name="Column16237"/>
    <tableColumn id="16252" xr3:uid="{D0FB909F-8A5B-4A94-A1B4-FA8FFA37EB96}" name="Column16238"/>
    <tableColumn id="16253" xr3:uid="{A9E2E013-A963-4467-BBB7-7072AFBB2BA0}" name="Column16239"/>
    <tableColumn id="16254" xr3:uid="{F1498CD6-4EC2-472B-ACCA-C535BBBBFE89}" name="Column16240"/>
    <tableColumn id="16255" xr3:uid="{B33595B6-8130-45E1-9EAB-1CD0969AF702}" name="Column16241"/>
    <tableColumn id="16256" xr3:uid="{C778E566-59B5-4962-A1C0-F0388457AF05}" name="Column16242"/>
    <tableColumn id="16257" xr3:uid="{1405D4D9-C272-47E7-B989-E6A97637B900}" name="Column16243"/>
    <tableColumn id="16258" xr3:uid="{9A7C796A-113C-4D5C-B0DB-53F412245496}" name="Column16244"/>
    <tableColumn id="16259" xr3:uid="{B2DEA275-35E7-4A97-AA68-BE6BAEA7383B}" name="Column16245"/>
    <tableColumn id="16260" xr3:uid="{CD694AD4-9D5F-4EFE-8792-22A3370F379A}" name="Column16246"/>
    <tableColumn id="16261" xr3:uid="{6F436378-6FA0-4D51-BE52-7B85528C3BAC}" name="Column16247"/>
    <tableColumn id="16262" xr3:uid="{489A70FF-0E0F-45AB-85EF-377BBCFA0E38}" name="Column16248"/>
    <tableColumn id="16263" xr3:uid="{00C9DC6D-B06E-4007-8574-CF0246901363}" name="Column16249"/>
    <tableColumn id="16264" xr3:uid="{CC4E20E2-6DEE-4989-B749-37CBC816AFD8}" name="Column16250"/>
    <tableColumn id="16265" xr3:uid="{BEE96E2A-EDE6-4441-AAE6-050865CAAC71}" name="Column16251"/>
    <tableColumn id="16266" xr3:uid="{22FF61DA-FEE5-42E3-9EEF-B3CF9C639F18}" name="Column16252"/>
    <tableColumn id="16267" xr3:uid="{FFA13C10-2962-480B-98AF-B32B32F74FA9}" name="Column16253"/>
    <tableColumn id="16268" xr3:uid="{0BA41FF4-6972-40F1-94A8-CB20C15A59AC}" name="Column16254"/>
    <tableColumn id="16269" xr3:uid="{2C274EAE-27BA-4337-8FBC-3BC9D3AB0D63}" name="Column16255"/>
    <tableColumn id="16270" xr3:uid="{E9ADFE66-1243-449A-B3A0-73BE58BFBFB3}" name="Column16256"/>
    <tableColumn id="16271" xr3:uid="{44441B5F-3F7A-4050-B956-459525E87A94}" name="Column16257"/>
    <tableColumn id="16272" xr3:uid="{C5E824CB-D94C-4111-8566-8BE5D64DA2BE}" name="Column16258"/>
    <tableColumn id="16273" xr3:uid="{3677F5C1-A7BB-46C8-82A4-E8A84FEF71B9}" name="Column16259"/>
    <tableColumn id="16274" xr3:uid="{D52DA383-D97B-4040-BF11-38533BAAB0C0}" name="Column16260"/>
    <tableColumn id="16275" xr3:uid="{341519C0-FF5D-4BA3-95C8-AAD9936DF52B}" name="Column16261"/>
    <tableColumn id="16276" xr3:uid="{6BEC6090-56AE-4A1E-B57B-20A1A84F7387}" name="Column16262"/>
    <tableColumn id="16277" xr3:uid="{2966BCFE-B0D4-45D2-90BF-3F0452707DEC}" name="Column16263"/>
    <tableColumn id="16278" xr3:uid="{681370A2-7112-4F75-B21E-9F065F5B6105}" name="Column16264"/>
    <tableColumn id="16279" xr3:uid="{B3A26F1D-E200-46EF-9244-885E30F59FF2}" name="Column16265"/>
    <tableColumn id="16280" xr3:uid="{522EB30C-3769-41ED-8199-87AFBDBC4561}" name="Column16266"/>
    <tableColumn id="16281" xr3:uid="{505F2E4E-C9C6-4AC8-B452-D5780B24AA9B}" name="Column16267"/>
    <tableColumn id="16282" xr3:uid="{A536CD41-F89D-4040-BBF1-B13892B5D8CE}" name="Column16268"/>
    <tableColumn id="16283" xr3:uid="{F46AE32A-1B44-40D0-8B09-373AA7869980}" name="Column16269"/>
    <tableColumn id="16284" xr3:uid="{125CF56F-5508-477A-B55C-7A5447C8DE22}" name="Column16270"/>
    <tableColumn id="16285" xr3:uid="{C21B2F1E-7452-414F-A952-AE31DF19C825}" name="Column16271"/>
    <tableColumn id="16286" xr3:uid="{42B2C1E9-3D4C-48F0-AD79-FBE7A60D217F}" name="Column16272"/>
    <tableColumn id="16287" xr3:uid="{4F0574B9-BE2D-43AF-B1F1-8079B5ECACDB}" name="Column16273"/>
    <tableColumn id="16288" xr3:uid="{C60208BE-F887-4052-95D5-D3B86529C9DA}" name="Column16274"/>
    <tableColumn id="16289" xr3:uid="{EE31ED03-F12B-4007-9DE9-70E298B07577}" name="Column16275"/>
    <tableColumn id="16290" xr3:uid="{D4B5AB2F-1058-4531-9721-7245F466DEB5}" name="Column16276"/>
    <tableColumn id="16291" xr3:uid="{33C2DD07-506F-47DA-9478-09D13C49B6FA}" name="Column16277"/>
    <tableColumn id="16292" xr3:uid="{C0AC4EFD-E6F3-41C4-B8A1-1AFE5B52934D}" name="Column16278"/>
    <tableColumn id="16293" xr3:uid="{80254039-2AF2-4E4B-9947-384BAEFA3C6D}" name="Column16279"/>
    <tableColumn id="16294" xr3:uid="{1396D3A9-AA5C-48DC-A63C-D97BF5D07F8A}" name="Column16280"/>
    <tableColumn id="16295" xr3:uid="{8BAF017A-B5C6-477A-A296-A96552995B7B}" name="Column16281"/>
    <tableColumn id="16296" xr3:uid="{8D5C8508-6F92-4189-84E6-FB9433B272B1}" name="Column16282"/>
    <tableColumn id="16297" xr3:uid="{85681545-F08A-4981-B52A-2CF1856FBA09}" name="Column16283"/>
    <tableColumn id="16298" xr3:uid="{55F38D7A-F643-4A5C-A230-305B1BAA28D7}" name="Column16284"/>
    <tableColumn id="16299" xr3:uid="{66703262-1EEC-4B07-B3D2-D33BACC978A8}" name="Column16285"/>
    <tableColumn id="16300" xr3:uid="{F7E50AA1-0731-4D2D-98FB-9C6844EFB1C1}" name="Column16286"/>
    <tableColumn id="16301" xr3:uid="{133A4100-3D13-4516-8744-F13079DE17B7}" name="Column16287"/>
    <tableColumn id="16302" xr3:uid="{512F981A-50AA-49BC-9B9D-A6FA22CC70C2}" name="Column16288"/>
    <tableColumn id="16303" xr3:uid="{4D3C1271-C6B8-4BA6-AE3C-21F6CA819360}" name="Column16289"/>
    <tableColumn id="16304" xr3:uid="{DB19E723-3A61-4591-BB7A-5569A63FD869}" name="Column16290"/>
    <tableColumn id="16305" xr3:uid="{E7973055-4349-4AD8-95B6-482298913CCF}" name="Column16291"/>
    <tableColumn id="16306" xr3:uid="{E681C0BB-CF99-442E-B262-8A947993B73C}" name="Column16292"/>
    <tableColumn id="16307" xr3:uid="{05EE3569-846B-404A-BF76-5DC58AF96C23}" name="Column16293"/>
    <tableColumn id="16308" xr3:uid="{1DEDCA23-E0B2-424C-B37A-695512233732}" name="Column16294"/>
    <tableColumn id="16309" xr3:uid="{B4700314-BB91-48F9-96C4-221B44CFC759}" name="Column16295"/>
    <tableColumn id="16310" xr3:uid="{53D12FD5-8D94-4C54-ABCA-2F727C00EA1D}" name="Column16296"/>
    <tableColumn id="16311" xr3:uid="{5E7F24ED-0643-4188-A6DE-71D748A555CE}" name="Column16297"/>
    <tableColumn id="16312" xr3:uid="{2E9EAA66-06EE-47E2-B626-9ABDBBF9898F}" name="Column16298"/>
    <tableColumn id="16313" xr3:uid="{951A0B7B-44EB-46FD-8924-DC90BC870E76}" name="Column16299"/>
    <tableColumn id="16314" xr3:uid="{320DA73B-9E42-43D0-96E7-77B7B5ABCF54}" name="Column16300"/>
    <tableColumn id="16315" xr3:uid="{CAC2A8AF-C74F-4E2B-9EFB-2C680F9A0739}" name="Column16301"/>
    <tableColumn id="16316" xr3:uid="{B2B8FA8D-CD99-4F23-8A05-1884053B209F}" name="Column16302"/>
    <tableColumn id="16317" xr3:uid="{AE0A30AA-313E-4228-9DB1-633F4F7A14EF}" name="Column16303"/>
    <tableColumn id="16318" xr3:uid="{929B9D33-C632-4AFB-A30E-825352D29043}" name="Column16304"/>
    <tableColumn id="16319" xr3:uid="{45A7A940-724D-4767-9644-13D34475DD4A}" name="Column16305"/>
    <tableColumn id="16320" xr3:uid="{136665EE-2915-4B17-B4C8-CC9CB61D2397}" name="Column16306"/>
    <tableColumn id="16321" xr3:uid="{CD8B7282-DE1E-4FBC-BF84-CBA7ABC7333B}" name="Column16307"/>
    <tableColumn id="16322" xr3:uid="{30F5EA3F-CBF3-4179-8D5D-A1B1B7A82134}" name="Column16308"/>
    <tableColumn id="16323" xr3:uid="{63691F9D-65FD-4B94-8E6F-9CFEED00C06C}" name="Column16309"/>
    <tableColumn id="16324" xr3:uid="{E8A8BB02-8ADF-4C57-A55C-4A437C23F4DC}" name="Column16310"/>
    <tableColumn id="16325" xr3:uid="{4926F4D6-55BC-4F71-BBB0-9CD00BF42E8A}" name="Column16311"/>
    <tableColumn id="16326" xr3:uid="{F78A1E0A-44B3-4BDE-B38E-9C60631010FE}" name="Column16312"/>
    <tableColumn id="16327" xr3:uid="{708E328D-36D2-45BA-A27E-007F07B26974}" name="Column16313"/>
    <tableColumn id="16328" xr3:uid="{4DA459C0-4CDD-4FE6-8F42-CCEA5526661C}" name="Column16314"/>
    <tableColumn id="16329" xr3:uid="{0FD4DF45-32C6-4C2A-9047-4546ECA56368}" name="Column16315"/>
    <tableColumn id="16330" xr3:uid="{9B2AB366-E22D-4EC6-9CCA-0A2213867435}" name="Column16316"/>
    <tableColumn id="16331" xr3:uid="{BE9C5DCD-77E8-42CC-A80D-27A5AA3F92A4}" name="Column16317"/>
    <tableColumn id="16332" xr3:uid="{208AC7A8-8A3D-4D6F-AAD0-8088554AA84D}" name="Column16318"/>
    <tableColumn id="16333" xr3:uid="{AA73B6AA-0B1D-439B-AFC6-11C69CA86E3F}" name="Column16319"/>
    <tableColumn id="16334" xr3:uid="{09F427F7-9D8A-4FA4-BAA7-9A23AE7489EF}" name="Column16320"/>
    <tableColumn id="16335" xr3:uid="{B2FCE282-787A-4F4F-B770-2D38BB669CC9}" name="Column16321"/>
    <tableColumn id="16336" xr3:uid="{9B8DED45-214D-4AFA-B0F6-E400A36F6182}" name="Column16322"/>
    <tableColumn id="16337" xr3:uid="{BC806657-8AE7-4ADF-8BDD-6C08317CFEA3}" name="Column16323"/>
    <tableColumn id="16338" xr3:uid="{1532BE32-1A8D-4EBD-86BC-FCA0818067CD}" name="Column16324"/>
    <tableColumn id="16339" xr3:uid="{D28C11FC-D0A6-4FC2-A2E5-7F7F440DEBF3}" name="Column16325"/>
    <tableColumn id="16340" xr3:uid="{18C17644-1B65-490D-89FA-3A30D579A3AA}" name="Column16326"/>
    <tableColumn id="16341" xr3:uid="{00615C96-5677-4EEC-80DB-D856E5A1131B}" name="Column16327"/>
    <tableColumn id="16342" xr3:uid="{AC4AD3B7-F8F6-454C-94EA-974CCC9FEECF}" name="Column16328"/>
    <tableColumn id="16343" xr3:uid="{3D72EDFA-6456-4735-BDD9-34B8908C3B97}" name="Column16329"/>
    <tableColumn id="16344" xr3:uid="{979F525F-31C4-42AE-A1A2-8BA3CF73AA01}" name="Column16330"/>
    <tableColumn id="16345" xr3:uid="{2AF2EBB0-7C2A-435C-8541-1C137D0B104A}" name="Column16331"/>
    <tableColumn id="16346" xr3:uid="{0F15A605-061B-4D9C-AA3A-662EFF318D01}" name="Column16332"/>
    <tableColumn id="16347" xr3:uid="{4D9AE2CA-0D67-419D-A7F6-D38C0CA8ED00}" name="Column16333"/>
    <tableColumn id="16348" xr3:uid="{B4DE63B0-1E8E-405E-A4A9-C5EA435DF913}" name="Column16334"/>
    <tableColumn id="16349" xr3:uid="{FEC87D7B-B379-4D12-A985-34B33117934E}" name="Column16335"/>
    <tableColumn id="16350" xr3:uid="{2D637D11-3564-4122-ADFD-CD0CCA4B65F6}" name="Column16336"/>
    <tableColumn id="16351" xr3:uid="{42ECD8DB-1F36-4F05-AD53-5E05DBEB5CB6}" name="Column16337"/>
    <tableColumn id="16352" xr3:uid="{13F9EE80-AC84-4972-A9A9-C71D486BBB47}" name="Column16338"/>
    <tableColumn id="16353" xr3:uid="{44B563D7-F2D7-4984-959C-61367274BC9F}" name="Column16339"/>
    <tableColumn id="16354" xr3:uid="{1F426CDE-3C72-40F2-A62F-42C3596AB361}" name="Column16340"/>
    <tableColumn id="16355" xr3:uid="{F5DF66AA-A99E-4963-9FBE-AA3A0575FAE0}" name="Column16341"/>
    <tableColumn id="16356" xr3:uid="{1D85DF44-5525-48FD-9825-410D42DEDE6A}" name="Column16342"/>
    <tableColumn id="16357" xr3:uid="{6DA6385D-52AC-460C-B29B-C9CCF5F3FC2B}" name="Column16343"/>
    <tableColumn id="16358" xr3:uid="{1AD9E8F4-AFF6-4952-970D-5ACD7614FD20}" name="Column16344"/>
    <tableColumn id="16359" xr3:uid="{1B19331A-91B7-46C1-B342-17526BDD5B96}" name="Column16345"/>
    <tableColumn id="16360" xr3:uid="{6EDA8F3C-7DD7-45F8-8F93-EBD297F43064}" name="Column16346"/>
    <tableColumn id="16361" xr3:uid="{ACA4532D-439A-4DB3-8E5D-6EE6F34F043F}" name="Column16347"/>
    <tableColumn id="16362" xr3:uid="{1FD4322D-90F5-4FD5-A91D-8AE7153D2D2F}" name="Column16348"/>
    <tableColumn id="16363" xr3:uid="{1D2BCD24-4BCC-4BD3-9194-91C13E686A9D}" name="Column16349"/>
    <tableColumn id="16364" xr3:uid="{DF7DDBB6-3CA2-4BFD-9AED-AE9CA71FF409}" name="Column16350"/>
    <tableColumn id="16365" xr3:uid="{481D3C9C-0472-4E21-B7CA-7A9FF504D729}" name="Column16351"/>
    <tableColumn id="16366" xr3:uid="{EA440B4F-F43D-4E06-BA88-D3C9DD9FDF30}" name="Column16352"/>
    <tableColumn id="16367" xr3:uid="{FD105081-7E32-4214-8E14-9505A3C52C13}" name="Column16353"/>
    <tableColumn id="16368" xr3:uid="{B20F2266-58B9-4C90-A4E9-6E3601E90BB4}" name="Column16354"/>
    <tableColumn id="16369" xr3:uid="{77FA90FC-338F-4231-83AA-58B49A89073F}" name="Column16355"/>
    <tableColumn id="16370" xr3:uid="{3C054A41-0772-4E6F-BA2F-576B9AA3BCC8}" name="Column16356"/>
    <tableColumn id="16371" xr3:uid="{7F5E77A8-884E-4225-BF5E-C05AAB378A57}" name="Column16357"/>
    <tableColumn id="16372" xr3:uid="{16BAF607-4460-4D82-B9FD-BE196453883D}" name="Column16358"/>
    <tableColumn id="16373" xr3:uid="{7BF83D2C-67E7-40F4-B107-3A26BF7509F9}" name="Column16359"/>
    <tableColumn id="16374" xr3:uid="{A4859D3F-CD6C-485B-BF58-79EA87AB8075}" name="Column16360"/>
    <tableColumn id="16375" xr3:uid="{7856A067-39E9-4751-B4A3-128BB1F3D14C}" name="Column16361"/>
    <tableColumn id="16376" xr3:uid="{A189EAA3-7960-4503-A1B0-B2CA60632676}" name="Column16362"/>
    <tableColumn id="16377" xr3:uid="{8835F858-3AF1-4405-8D7E-16ADA3F7F730}" name="Column16363"/>
    <tableColumn id="16378" xr3:uid="{4075D872-5600-4B91-A24D-A79DBB5BBF1C}" name="Column16364"/>
    <tableColumn id="16379" xr3:uid="{A1F20880-2ABB-4599-B04C-87E8FF80CB9C}" name="Column16365"/>
    <tableColumn id="16380" xr3:uid="{0667E6F2-800F-4C37-B69F-A2CA66926E91}" name="Column16366"/>
    <tableColumn id="16381" xr3:uid="{909542E3-7352-46CF-BA51-909974BE17BF}" name="Column16367"/>
    <tableColumn id="16382" xr3:uid="{FEF9A92A-136B-4378-84F9-B982D270086D}" name="Column16368"/>
    <tableColumn id="16383" xr3:uid="{C3F81540-D667-4504-82C6-DF1BE2627F57}" name="Column16369"/>
    <tableColumn id="16384" xr3:uid="{475D7B94-3F9A-4315-BE44-843A4505AAD7}" name="Column1637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BF05E2-84A1-4E19-814B-58B3D1219AB6}" name="Table2" displayName="Table2" ref="A1:F6" totalsRowShown="0">
  <autoFilter ref="A1:F6" xr:uid="{47BF05E2-84A1-4E19-814B-58B3D1219AB6}"/>
  <tableColumns count="6">
    <tableColumn id="1" xr3:uid="{4964E9E4-E001-42FD-8A89-3C8F3BD79AEC}" name="Analysis No." dataDxfId="21"/>
    <tableColumn id="2" xr3:uid="{235D2EA2-A9AC-436C-AB74-8D5078126979}" name="Analysis Performed" dataDxfId="20"/>
    <tableColumn id="3" xr3:uid="{A04B65EC-F7ED-453E-8998-1DC7EEF37C37}" name="Key Observation" dataDxfId="19"/>
    <tableColumn id="4" xr3:uid="{96874277-BD22-4EC1-AA10-9ECC2C3CF936}" name="Business Insight" dataDxfId="18"/>
    <tableColumn id="5" xr3:uid="{80BFC612-D398-44C3-B318-9FFDF391827A}" name="Column5"/>
    <tableColumn id="6" xr3:uid="{5804FD11-941A-49B3-AA58-8BA69B29BBE9}" name="Column6"/>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1201"/>
  <sheetViews>
    <sheetView workbookViewId="0">
      <selection sqref="A1:XFD1048576"/>
    </sheetView>
  </sheetViews>
  <sheetFormatPr defaultColWidth="12.5703125" defaultRowHeight="15.75" customHeight="1" x14ac:dyDescent="0.2"/>
  <cols>
    <col min="1" max="1" width="11.42578125" customWidth="1"/>
    <col min="2" max="2" width="10.7109375" customWidth="1"/>
    <col min="3" max="3" width="13.5703125" customWidth="1"/>
    <col min="4" max="4" width="10.7109375" customWidth="1"/>
    <col min="5" max="5" width="10.85546875" customWidth="1"/>
    <col min="6" max="6" width="11.42578125" customWidth="1"/>
    <col min="7" max="7" width="18" customWidth="1"/>
    <col min="8" max="8" width="18.140625" customWidth="1"/>
    <col min="9" max="9" width="13.7109375" customWidth="1"/>
    <col min="10" max="10" width="17.7109375" customWidth="1"/>
    <col min="11" max="11" width="13.42578125" customWidth="1"/>
    <col min="12" max="12" width="14.5703125" customWidth="1"/>
    <col min="13" max="13" width="16.28515625" customWidth="1"/>
    <col min="14" max="14" width="12.42578125" customWidth="1"/>
    <col min="15" max="23" width="11.140625" customWidth="1"/>
    <col min="24" max="26" width="12.140625" customWidth="1"/>
    <col min="114" max="1013" width="13.140625" customWidth="1"/>
    <col min="1014" max="10013" width="14.140625" customWidth="1"/>
    <col min="10014" max="16384" width="15.140625" customWidth="1"/>
  </cols>
  <sheetData>
    <row r="1" spans="1:16384" ht="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t="s">
        <v>4283</v>
      </c>
      <c r="P1" t="s">
        <v>4284</v>
      </c>
      <c r="Q1" t="s">
        <v>4285</v>
      </c>
      <c r="R1" t="s">
        <v>4286</v>
      </c>
      <c r="S1" t="s">
        <v>4287</v>
      </c>
      <c r="T1" t="s">
        <v>4288</v>
      </c>
      <c r="U1" t="s">
        <v>4289</v>
      </c>
      <c r="V1" t="s">
        <v>4290</v>
      </c>
      <c r="W1" t="s">
        <v>4291</v>
      </c>
      <c r="X1" t="s">
        <v>4292</v>
      </c>
      <c r="Y1" t="s">
        <v>4293</v>
      </c>
      <c r="Z1" t="s">
        <v>4294</v>
      </c>
      <c r="AA1" t="s">
        <v>4295</v>
      </c>
      <c r="AB1" t="s">
        <v>4296</v>
      </c>
      <c r="AC1" t="s">
        <v>4297</v>
      </c>
      <c r="AD1" t="s">
        <v>4298</v>
      </c>
      <c r="AE1" t="s">
        <v>4299</v>
      </c>
      <c r="AF1" t="s">
        <v>4300</v>
      </c>
      <c r="AG1" t="s">
        <v>4301</v>
      </c>
      <c r="AH1" t="s">
        <v>4302</v>
      </c>
      <c r="AI1" t="s">
        <v>4303</v>
      </c>
      <c r="AJ1" t="s">
        <v>4304</v>
      </c>
      <c r="AK1" t="s">
        <v>4305</v>
      </c>
      <c r="AL1" t="s">
        <v>4306</v>
      </c>
      <c r="AM1" t="s">
        <v>4307</v>
      </c>
      <c r="AN1" t="s">
        <v>4308</v>
      </c>
      <c r="AO1" t="s">
        <v>4309</v>
      </c>
      <c r="AP1" t="s">
        <v>4310</v>
      </c>
      <c r="AQ1" t="s">
        <v>4311</v>
      </c>
      <c r="AR1" t="s">
        <v>4312</v>
      </c>
      <c r="AS1" t="s">
        <v>4313</v>
      </c>
      <c r="AT1" t="s">
        <v>4314</v>
      </c>
      <c r="AU1" t="s">
        <v>4315</v>
      </c>
      <c r="AV1" t="s">
        <v>4316</v>
      </c>
      <c r="AW1" t="s">
        <v>4317</v>
      </c>
      <c r="AX1" t="s">
        <v>4318</v>
      </c>
      <c r="AY1" t="s">
        <v>4319</v>
      </c>
      <c r="AZ1" t="s">
        <v>4320</v>
      </c>
      <c r="BA1" t="s">
        <v>4321</v>
      </c>
      <c r="BB1" t="s">
        <v>4322</v>
      </c>
      <c r="BC1" t="s">
        <v>4323</v>
      </c>
      <c r="BD1" t="s">
        <v>4324</v>
      </c>
      <c r="BE1" t="s">
        <v>4325</v>
      </c>
      <c r="BF1" t="s">
        <v>4326</v>
      </c>
      <c r="BG1" t="s">
        <v>4327</v>
      </c>
      <c r="BH1" t="s">
        <v>4328</v>
      </c>
      <c r="BI1" t="s">
        <v>4329</v>
      </c>
      <c r="BJ1" t="s">
        <v>4330</v>
      </c>
      <c r="BK1" t="s">
        <v>4331</v>
      </c>
      <c r="BL1" t="s">
        <v>4332</v>
      </c>
      <c r="BM1" t="s">
        <v>4333</v>
      </c>
      <c r="BN1" t="s">
        <v>4334</v>
      </c>
      <c r="BO1" t="s">
        <v>4335</v>
      </c>
      <c r="BP1" t="s">
        <v>4336</v>
      </c>
      <c r="BQ1" t="s">
        <v>4337</v>
      </c>
      <c r="BR1" t="s">
        <v>4338</v>
      </c>
      <c r="BS1" t="s">
        <v>4339</v>
      </c>
      <c r="BT1" t="s">
        <v>4340</v>
      </c>
      <c r="BU1" t="s">
        <v>4341</v>
      </c>
      <c r="BV1" t="s">
        <v>4342</v>
      </c>
      <c r="BW1" t="s">
        <v>4343</v>
      </c>
      <c r="BX1" t="s">
        <v>4344</v>
      </c>
      <c r="BY1" t="s">
        <v>4345</v>
      </c>
      <c r="BZ1" t="s">
        <v>4346</v>
      </c>
      <c r="CA1" t="s">
        <v>4347</v>
      </c>
      <c r="CB1" t="s">
        <v>4348</v>
      </c>
      <c r="CC1" t="s">
        <v>4349</v>
      </c>
      <c r="CD1" t="s">
        <v>4350</v>
      </c>
      <c r="CE1" t="s">
        <v>4351</v>
      </c>
      <c r="CF1" t="s">
        <v>4352</v>
      </c>
      <c r="CG1" t="s">
        <v>4353</v>
      </c>
      <c r="CH1" t="s">
        <v>4354</v>
      </c>
      <c r="CI1" t="s">
        <v>4355</v>
      </c>
      <c r="CJ1" t="s">
        <v>4356</v>
      </c>
      <c r="CK1" t="s">
        <v>4357</v>
      </c>
      <c r="CL1" t="s">
        <v>4358</v>
      </c>
      <c r="CM1" t="s">
        <v>4359</v>
      </c>
      <c r="CN1" t="s">
        <v>4360</v>
      </c>
      <c r="CO1" t="s">
        <v>4361</v>
      </c>
      <c r="CP1" t="s">
        <v>4362</v>
      </c>
      <c r="CQ1" t="s">
        <v>4363</v>
      </c>
      <c r="CR1" t="s">
        <v>4364</v>
      </c>
      <c r="CS1" t="s">
        <v>4365</v>
      </c>
      <c r="CT1" t="s">
        <v>4366</v>
      </c>
      <c r="CU1" t="s">
        <v>4367</v>
      </c>
      <c r="CV1" t="s">
        <v>4368</v>
      </c>
      <c r="CW1" t="s">
        <v>4369</v>
      </c>
      <c r="CX1" t="s">
        <v>4370</v>
      </c>
      <c r="CY1" t="s">
        <v>4371</v>
      </c>
      <c r="CZ1" t="s">
        <v>4372</v>
      </c>
      <c r="DA1" t="s">
        <v>4373</v>
      </c>
      <c r="DB1" t="s">
        <v>4374</v>
      </c>
      <c r="DC1" t="s">
        <v>4375</v>
      </c>
      <c r="DD1" t="s">
        <v>4376</v>
      </c>
      <c r="DE1" t="s">
        <v>4377</v>
      </c>
      <c r="DF1" t="s">
        <v>4378</v>
      </c>
      <c r="DG1" t="s">
        <v>4379</v>
      </c>
      <c r="DH1" t="s">
        <v>4380</v>
      </c>
      <c r="DI1" t="s">
        <v>4381</v>
      </c>
      <c r="DJ1" t="s">
        <v>4382</v>
      </c>
      <c r="DK1" t="s">
        <v>4383</v>
      </c>
      <c r="DL1" t="s">
        <v>4384</v>
      </c>
      <c r="DM1" t="s">
        <v>4385</v>
      </c>
      <c r="DN1" t="s">
        <v>4386</v>
      </c>
      <c r="DO1" t="s">
        <v>4387</v>
      </c>
      <c r="DP1" t="s">
        <v>4388</v>
      </c>
      <c r="DQ1" t="s">
        <v>4389</v>
      </c>
      <c r="DR1" t="s">
        <v>4390</v>
      </c>
      <c r="DS1" t="s">
        <v>4391</v>
      </c>
      <c r="DT1" t="s">
        <v>4392</v>
      </c>
      <c r="DU1" t="s">
        <v>4393</v>
      </c>
      <c r="DV1" t="s">
        <v>4394</v>
      </c>
      <c r="DW1" t="s">
        <v>4395</v>
      </c>
      <c r="DX1" t="s">
        <v>4396</v>
      </c>
      <c r="DY1" t="s">
        <v>4397</v>
      </c>
      <c r="DZ1" t="s">
        <v>4398</v>
      </c>
      <c r="EA1" t="s">
        <v>4399</v>
      </c>
      <c r="EB1" t="s">
        <v>4400</v>
      </c>
      <c r="EC1" t="s">
        <v>4401</v>
      </c>
      <c r="ED1" t="s">
        <v>4402</v>
      </c>
      <c r="EE1" t="s">
        <v>4403</v>
      </c>
      <c r="EF1" t="s">
        <v>4404</v>
      </c>
      <c r="EG1" t="s">
        <v>4405</v>
      </c>
      <c r="EH1" t="s">
        <v>4406</v>
      </c>
      <c r="EI1" t="s">
        <v>4407</v>
      </c>
      <c r="EJ1" t="s">
        <v>4408</v>
      </c>
      <c r="EK1" t="s">
        <v>4409</v>
      </c>
      <c r="EL1" t="s">
        <v>4410</v>
      </c>
      <c r="EM1" t="s">
        <v>4411</v>
      </c>
      <c r="EN1" t="s">
        <v>4412</v>
      </c>
      <c r="EO1" t="s">
        <v>4413</v>
      </c>
      <c r="EP1" t="s">
        <v>4414</v>
      </c>
      <c r="EQ1" t="s">
        <v>4415</v>
      </c>
      <c r="ER1" t="s">
        <v>4416</v>
      </c>
      <c r="ES1" t="s">
        <v>4417</v>
      </c>
      <c r="ET1" t="s">
        <v>4418</v>
      </c>
      <c r="EU1" t="s">
        <v>4419</v>
      </c>
      <c r="EV1" t="s">
        <v>4420</v>
      </c>
      <c r="EW1" t="s">
        <v>4421</v>
      </c>
      <c r="EX1" t="s">
        <v>4422</v>
      </c>
      <c r="EY1" t="s">
        <v>4423</v>
      </c>
      <c r="EZ1" t="s">
        <v>4424</v>
      </c>
      <c r="FA1" t="s">
        <v>4425</v>
      </c>
      <c r="FB1" t="s">
        <v>4426</v>
      </c>
      <c r="FC1" t="s">
        <v>4427</v>
      </c>
      <c r="FD1" t="s">
        <v>4428</v>
      </c>
      <c r="FE1" t="s">
        <v>4429</v>
      </c>
      <c r="FF1" t="s">
        <v>4430</v>
      </c>
      <c r="FG1" t="s">
        <v>4431</v>
      </c>
      <c r="FH1" t="s">
        <v>4432</v>
      </c>
      <c r="FI1" t="s">
        <v>4433</v>
      </c>
      <c r="FJ1" t="s">
        <v>4434</v>
      </c>
      <c r="FK1" t="s">
        <v>4435</v>
      </c>
      <c r="FL1" t="s">
        <v>4436</v>
      </c>
      <c r="FM1" t="s">
        <v>4437</v>
      </c>
      <c r="FN1" t="s">
        <v>4438</v>
      </c>
      <c r="FO1" t="s">
        <v>4439</v>
      </c>
      <c r="FP1" t="s">
        <v>4440</v>
      </c>
      <c r="FQ1" t="s">
        <v>4441</v>
      </c>
      <c r="FR1" t="s">
        <v>4442</v>
      </c>
      <c r="FS1" t="s">
        <v>4443</v>
      </c>
      <c r="FT1" t="s">
        <v>4444</v>
      </c>
      <c r="FU1" t="s">
        <v>4445</v>
      </c>
      <c r="FV1" t="s">
        <v>4446</v>
      </c>
      <c r="FW1" t="s">
        <v>4447</v>
      </c>
      <c r="FX1" t="s">
        <v>4448</v>
      </c>
      <c r="FY1" t="s">
        <v>4449</v>
      </c>
      <c r="FZ1" t="s">
        <v>4450</v>
      </c>
      <c r="GA1" t="s">
        <v>4451</v>
      </c>
      <c r="GB1" t="s">
        <v>4452</v>
      </c>
      <c r="GC1" t="s">
        <v>4453</v>
      </c>
      <c r="GD1" t="s">
        <v>4454</v>
      </c>
      <c r="GE1" t="s">
        <v>4455</v>
      </c>
      <c r="GF1" t="s">
        <v>4456</v>
      </c>
      <c r="GG1" t="s">
        <v>4457</v>
      </c>
      <c r="GH1" t="s">
        <v>4458</v>
      </c>
      <c r="GI1" t="s">
        <v>4459</v>
      </c>
      <c r="GJ1" t="s">
        <v>4460</v>
      </c>
      <c r="GK1" t="s">
        <v>4461</v>
      </c>
      <c r="GL1" t="s">
        <v>4462</v>
      </c>
      <c r="GM1" t="s">
        <v>4463</v>
      </c>
      <c r="GN1" t="s">
        <v>4464</v>
      </c>
      <c r="GO1" t="s">
        <v>4465</v>
      </c>
      <c r="GP1" t="s">
        <v>4466</v>
      </c>
      <c r="GQ1" t="s">
        <v>4467</v>
      </c>
      <c r="GR1" t="s">
        <v>4468</v>
      </c>
      <c r="GS1" t="s">
        <v>4469</v>
      </c>
      <c r="GT1" t="s">
        <v>4470</v>
      </c>
      <c r="GU1" t="s">
        <v>4471</v>
      </c>
      <c r="GV1" t="s">
        <v>4472</v>
      </c>
      <c r="GW1" t="s">
        <v>4473</v>
      </c>
      <c r="GX1" t="s">
        <v>4474</v>
      </c>
      <c r="GY1" t="s">
        <v>4475</v>
      </c>
      <c r="GZ1" t="s">
        <v>4476</v>
      </c>
      <c r="HA1" t="s">
        <v>4477</v>
      </c>
      <c r="HB1" t="s">
        <v>4478</v>
      </c>
      <c r="HC1" t="s">
        <v>4479</v>
      </c>
      <c r="HD1" t="s">
        <v>4480</v>
      </c>
      <c r="HE1" t="s">
        <v>4481</v>
      </c>
      <c r="HF1" t="s">
        <v>4482</v>
      </c>
      <c r="HG1" t="s">
        <v>4483</v>
      </c>
      <c r="HH1" t="s">
        <v>4484</v>
      </c>
      <c r="HI1" t="s">
        <v>4485</v>
      </c>
      <c r="HJ1" t="s">
        <v>4486</v>
      </c>
      <c r="HK1" t="s">
        <v>4487</v>
      </c>
      <c r="HL1" t="s">
        <v>4488</v>
      </c>
      <c r="HM1" t="s">
        <v>4489</v>
      </c>
      <c r="HN1" t="s">
        <v>4490</v>
      </c>
      <c r="HO1" t="s">
        <v>4491</v>
      </c>
      <c r="HP1" t="s">
        <v>4492</v>
      </c>
      <c r="HQ1" t="s">
        <v>4493</v>
      </c>
      <c r="HR1" t="s">
        <v>4494</v>
      </c>
      <c r="HS1" t="s">
        <v>4495</v>
      </c>
      <c r="HT1" t="s">
        <v>4496</v>
      </c>
      <c r="HU1" t="s">
        <v>4497</v>
      </c>
      <c r="HV1" t="s">
        <v>4498</v>
      </c>
      <c r="HW1" t="s">
        <v>4499</v>
      </c>
      <c r="HX1" t="s">
        <v>4500</v>
      </c>
      <c r="HY1" t="s">
        <v>4501</v>
      </c>
      <c r="HZ1" t="s">
        <v>4502</v>
      </c>
      <c r="IA1" t="s">
        <v>4503</v>
      </c>
      <c r="IB1" t="s">
        <v>4504</v>
      </c>
      <c r="IC1" t="s">
        <v>4505</v>
      </c>
      <c r="ID1" t="s">
        <v>4506</v>
      </c>
      <c r="IE1" t="s">
        <v>4507</v>
      </c>
      <c r="IF1" t="s">
        <v>4508</v>
      </c>
      <c r="IG1" t="s">
        <v>4509</v>
      </c>
      <c r="IH1" t="s">
        <v>4510</v>
      </c>
      <c r="II1" t="s">
        <v>4511</v>
      </c>
      <c r="IJ1" t="s">
        <v>4512</v>
      </c>
      <c r="IK1" t="s">
        <v>4513</v>
      </c>
      <c r="IL1" t="s">
        <v>4514</v>
      </c>
      <c r="IM1" t="s">
        <v>4515</v>
      </c>
      <c r="IN1" t="s">
        <v>4516</v>
      </c>
      <c r="IO1" t="s">
        <v>4517</v>
      </c>
      <c r="IP1" t="s">
        <v>4518</v>
      </c>
      <c r="IQ1" t="s">
        <v>4519</v>
      </c>
      <c r="IR1" t="s">
        <v>4520</v>
      </c>
      <c r="IS1" t="s">
        <v>4521</v>
      </c>
      <c r="IT1" t="s">
        <v>4522</v>
      </c>
      <c r="IU1" t="s">
        <v>4523</v>
      </c>
      <c r="IV1" t="s">
        <v>4524</v>
      </c>
      <c r="IW1" t="s">
        <v>4525</v>
      </c>
      <c r="IX1" t="s">
        <v>4526</v>
      </c>
      <c r="IY1" t="s">
        <v>4527</v>
      </c>
      <c r="IZ1" t="s">
        <v>4528</v>
      </c>
      <c r="JA1" t="s">
        <v>4529</v>
      </c>
      <c r="JB1" t="s">
        <v>4530</v>
      </c>
      <c r="JC1" t="s">
        <v>4531</v>
      </c>
      <c r="JD1" t="s">
        <v>4532</v>
      </c>
      <c r="JE1" t="s">
        <v>4533</v>
      </c>
      <c r="JF1" t="s">
        <v>4534</v>
      </c>
      <c r="JG1" t="s">
        <v>4535</v>
      </c>
      <c r="JH1" t="s">
        <v>4536</v>
      </c>
      <c r="JI1" t="s">
        <v>4537</v>
      </c>
      <c r="JJ1" t="s">
        <v>4538</v>
      </c>
      <c r="JK1" t="s">
        <v>4539</v>
      </c>
      <c r="JL1" t="s">
        <v>4540</v>
      </c>
      <c r="JM1" t="s">
        <v>4541</v>
      </c>
      <c r="JN1" t="s">
        <v>4542</v>
      </c>
      <c r="JO1" t="s">
        <v>4543</v>
      </c>
      <c r="JP1" t="s">
        <v>4544</v>
      </c>
      <c r="JQ1" t="s">
        <v>4545</v>
      </c>
      <c r="JR1" t="s">
        <v>4546</v>
      </c>
      <c r="JS1" t="s">
        <v>4547</v>
      </c>
      <c r="JT1" t="s">
        <v>4548</v>
      </c>
      <c r="JU1" t="s">
        <v>4549</v>
      </c>
      <c r="JV1" t="s">
        <v>4550</v>
      </c>
      <c r="JW1" t="s">
        <v>4551</v>
      </c>
      <c r="JX1" t="s">
        <v>4552</v>
      </c>
      <c r="JY1" t="s">
        <v>4553</v>
      </c>
      <c r="JZ1" t="s">
        <v>4554</v>
      </c>
      <c r="KA1" t="s">
        <v>4555</v>
      </c>
      <c r="KB1" t="s">
        <v>4556</v>
      </c>
      <c r="KC1" t="s">
        <v>4557</v>
      </c>
      <c r="KD1" t="s">
        <v>4558</v>
      </c>
      <c r="KE1" t="s">
        <v>4559</v>
      </c>
      <c r="KF1" t="s">
        <v>4560</v>
      </c>
      <c r="KG1" t="s">
        <v>4561</v>
      </c>
      <c r="KH1" t="s">
        <v>4562</v>
      </c>
      <c r="KI1" t="s">
        <v>4563</v>
      </c>
      <c r="KJ1" t="s">
        <v>4564</v>
      </c>
      <c r="KK1" t="s">
        <v>4565</v>
      </c>
      <c r="KL1" t="s">
        <v>4566</v>
      </c>
      <c r="KM1" t="s">
        <v>4567</v>
      </c>
      <c r="KN1" t="s">
        <v>4568</v>
      </c>
      <c r="KO1" t="s">
        <v>4569</v>
      </c>
      <c r="KP1" t="s">
        <v>4570</v>
      </c>
      <c r="KQ1" t="s">
        <v>4571</v>
      </c>
      <c r="KR1" t="s">
        <v>4572</v>
      </c>
      <c r="KS1" t="s">
        <v>4573</v>
      </c>
      <c r="KT1" t="s">
        <v>4574</v>
      </c>
      <c r="KU1" t="s">
        <v>4575</v>
      </c>
      <c r="KV1" t="s">
        <v>4576</v>
      </c>
      <c r="KW1" t="s">
        <v>4577</v>
      </c>
      <c r="KX1" t="s">
        <v>4578</v>
      </c>
      <c r="KY1" t="s">
        <v>4579</v>
      </c>
      <c r="KZ1" t="s">
        <v>4580</v>
      </c>
      <c r="LA1" t="s">
        <v>4581</v>
      </c>
      <c r="LB1" t="s">
        <v>4582</v>
      </c>
      <c r="LC1" t="s">
        <v>4583</v>
      </c>
      <c r="LD1" t="s">
        <v>4584</v>
      </c>
      <c r="LE1" t="s">
        <v>4585</v>
      </c>
      <c r="LF1" t="s">
        <v>4586</v>
      </c>
      <c r="LG1" t="s">
        <v>4587</v>
      </c>
      <c r="LH1" t="s">
        <v>4588</v>
      </c>
      <c r="LI1" t="s">
        <v>4589</v>
      </c>
      <c r="LJ1" t="s">
        <v>4590</v>
      </c>
      <c r="LK1" t="s">
        <v>4591</v>
      </c>
      <c r="LL1" t="s">
        <v>4592</v>
      </c>
      <c r="LM1" t="s">
        <v>4593</v>
      </c>
      <c r="LN1" t="s">
        <v>4594</v>
      </c>
      <c r="LO1" t="s">
        <v>4595</v>
      </c>
      <c r="LP1" t="s">
        <v>4596</v>
      </c>
      <c r="LQ1" t="s">
        <v>4597</v>
      </c>
      <c r="LR1" t="s">
        <v>4598</v>
      </c>
      <c r="LS1" t="s">
        <v>4599</v>
      </c>
      <c r="LT1" t="s">
        <v>4600</v>
      </c>
      <c r="LU1" t="s">
        <v>4601</v>
      </c>
      <c r="LV1" t="s">
        <v>4602</v>
      </c>
      <c r="LW1" t="s">
        <v>4603</v>
      </c>
      <c r="LX1" t="s">
        <v>4604</v>
      </c>
      <c r="LY1" t="s">
        <v>4605</v>
      </c>
      <c r="LZ1" t="s">
        <v>4606</v>
      </c>
      <c r="MA1" t="s">
        <v>4607</v>
      </c>
      <c r="MB1" t="s">
        <v>4608</v>
      </c>
      <c r="MC1" t="s">
        <v>4609</v>
      </c>
      <c r="MD1" t="s">
        <v>4610</v>
      </c>
      <c r="ME1" t="s">
        <v>4611</v>
      </c>
      <c r="MF1" t="s">
        <v>4612</v>
      </c>
      <c r="MG1" t="s">
        <v>4613</v>
      </c>
      <c r="MH1" t="s">
        <v>4614</v>
      </c>
      <c r="MI1" t="s">
        <v>4615</v>
      </c>
      <c r="MJ1" t="s">
        <v>4616</v>
      </c>
      <c r="MK1" t="s">
        <v>4617</v>
      </c>
      <c r="ML1" t="s">
        <v>4618</v>
      </c>
      <c r="MM1" t="s">
        <v>4619</v>
      </c>
      <c r="MN1" t="s">
        <v>4620</v>
      </c>
      <c r="MO1" t="s">
        <v>4621</v>
      </c>
      <c r="MP1" t="s">
        <v>4622</v>
      </c>
      <c r="MQ1" t="s">
        <v>4623</v>
      </c>
      <c r="MR1" t="s">
        <v>4624</v>
      </c>
      <c r="MS1" t="s">
        <v>4625</v>
      </c>
      <c r="MT1" t="s">
        <v>4626</v>
      </c>
      <c r="MU1" t="s">
        <v>4627</v>
      </c>
      <c r="MV1" t="s">
        <v>4628</v>
      </c>
      <c r="MW1" t="s">
        <v>4629</v>
      </c>
      <c r="MX1" t="s">
        <v>4630</v>
      </c>
      <c r="MY1" t="s">
        <v>4631</v>
      </c>
      <c r="MZ1" t="s">
        <v>4632</v>
      </c>
      <c r="NA1" t="s">
        <v>4633</v>
      </c>
      <c r="NB1" t="s">
        <v>4634</v>
      </c>
      <c r="NC1" t="s">
        <v>4635</v>
      </c>
      <c r="ND1" t="s">
        <v>4636</v>
      </c>
      <c r="NE1" t="s">
        <v>4637</v>
      </c>
      <c r="NF1" t="s">
        <v>4638</v>
      </c>
      <c r="NG1" t="s">
        <v>4639</v>
      </c>
      <c r="NH1" t="s">
        <v>4640</v>
      </c>
      <c r="NI1" t="s">
        <v>4641</v>
      </c>
      <c r="NJ1" t="s">
        <v>4642</v>
      </c>
      <c r="NK1" t="s">
        <v>4643</v>
      </c>
      <c r="NL1" t="s">
        <v>4644</v>
      </c>
      <c r="NM1" t="s">
        <v>4645</v>
      </c>
      <c r="NN1" t="s">
        <v>4646</v>
      </c>
      <c r="NO1" t="s">
        <v>4647</v>
      </c>
      <c r="NP1" t="s">
        <v>4648</v>
      </c>
      <c r="NQ1" t="s">
        <v>4649</v>
      </c>
      <c r="NR1" t="s">
        <v>4650</v>
      </c>
      <c r="NS1" t="s">
        <v>4651</v>
      </c>
      <c r="NT1" t="s">
        <v>4652</v>
      </c>
      <c r="NU1" t="s">
        <v>4653</v>
      </c>
      <c r="NV1" t="s">
        <v>4654</v>
      </c>
      <c r="NW1" t="s">
        <v>4655</v>
      </c>
      <c r="NX1" t="s">
        <v>4656</v>
      </c>
      <c r="NY1" t="s">
        <v>4657</v>
      </c>
      <c r="NZ1" t="s">
        <v>4658</v>
      </c>
      <c r="OA1" t="s">
        <v>4659</v>
      </c>
      <c r="OB1" t="s">
        <v>4660</v>
      </c>
      <c r="OC1" t="s">
        <v>4661</v>
      </c>
      <c r="OD1" t="s">
        <v>4662</v>
      </c>
      <c r="OE1" t="s">
        <v>4663</v>
      </c>
      <c r="OF1" t="s">
        <v>4664</v>
      </c>
      <c r="OG1" t="s">
        <v>4665</v>
      </c>
      <c r="OH1" t="s">
        <v>4666</v>
      </c>
      <c r="OI1" t="s">
        <v>4667</v>
      </c>
      <c r="OJ1" t="s">
        <v>4668</v>
      </c>
      <c r="OK1" t="s">
        <v>4669</v>
      </c>
      <c r="OL1" t="s">
        <v>4670</v>
      </c>
      <c r="OM1" t="s">
        <v>4671</v>
      </c>
      <c r="ON1" t="s">
        <v>4672</v>
      </c>
      <c r="OO1" t="s">
        <v>4673</v>
      </c>
      <c r="OP1" t="s">
        <v>4674</v>
      </c>
      <c r="OQ1" t="s">
        <v>4675</v>
      </c>
      <c r="OR1" t="s">
        <v>4676</v>
      </c>
      <c r="OS1" t="s">
        <v>4677</v>
      </c>
      <c r="OT1" t="s">
        <v>4678</v>
      </c>
      <c r="OU1" t="s">
        <v>4679</v>
      </c>
      <c r="OV1" t="s">
        <v>4680</v>
      </c>
      <c r="OW1" t="s">
        <v>4681</v>
      </c>
      <c r="OX1" t="s">
        <v>4682</v>
      </c>
      <c r="OY1" t="s">
        <v>4683</v>
      </c>
      <c r="OZ1" t="s">
        <v>4684</v>
      </c>
      <c r="PA1" t="s">
        <v>4685</v>
      </c>
      <c r="PB1" t="s">
        <v>4686</v>
      </c>
      <c r="PC1" t="s">
        <v>4687</v>
      </c>
      <c r="PD1" t="s">
        <v>4688</v>
      </c>
      <c r="PE1" t="s">
        <v>4689</v>
      </c>
      <c r="PF1" t="s">
        <v>4690</v>
      </c>
      <c r="PG1" t="s">
        <v>4691</v>
      </c>
      <c r="PH1" t="s">
        <v>4692</v>
      </c>
      <c r="PI1" t="s">
        <v>4693</v>
      </c>
      <c r="PJ1" t="s">
        <v>4694</v>
      </c>
      <c r="PK1" t="s">
        <v>4695</v>
      </c>
      <c r="PL1" t="s">
        <v>4696</v>
      </c>
      <c r="PM1" t="s">
        <v>4697</v>
      </c>
      <c r="PN1" t="s">
        <v>4698</v>
      </c>
      <c r="PO1" t="s">
        <v>4699</v>
      </c>
      <c r="PP1" t="s">
        <v>4700</v>
      </c>
      <c r="PQ1" t="s">
        <v>4701</v>
      </c>
      <c r="PR1" t="s">
        <v>4702</v>
      </c>
      <c r="PS1" t="s">
        <v>4703</v>
      </c>
      <c r="PT1" t="s">
        <v>4704</v>
      </c>
      <c r="PU1" t="s">
        <v>4705</v>
      </c>
      <c r="PV1" t="s">
        <v>4706</v>
      </c>
      <c r="PW1" t="s">
        <v>4707</v>
      </c>
      <c r="PX1" t="s">
        <v>4708</v>
      </c>
      <c r="PY1" t="s">
        <v>4709</v>
      </c>
      <c r="PZ1" t="s">
        <v>4710</v>
      </c>
      <c r="QA1" t="s">
        <v>4711</v>
      </c>
      <c r="QB1" t="s">
        <v>4712</v>
      </c>
      <c r="QC1" t="s">
        <v>4713</v>
      </c>
      <c r="QD1" t="s">
        <v>4714</v>
      </c>
      <c r="QE1" t="s">
        <v>4715</v>
      </c>
      <c r="QF1" t="s">
        <v>4716</v>
      </c>
      <c r="QG1" t="s">
        <v>4717</v>
      </c>
      <c r="QH1" t="s">
        <v>4718</v>
      </c>
      <c r="QI1" t="s">
        <v>4719</v>
      </c>
      <c r="QJ1" t="s">
        <v>4720</v>
      </c>
      <c r="QK1" t="s">
        <v>4721</v>
      </c>
      <c r="QL1" t="s">
        <v>4722</v>
      </c>
      <c r="QM1" t="s">
        <v>4723</v>
      </c>
      <c r="QN1" t="s">
        <v>4724</v>
      </c>
      <c r="QO1" t="s">
        <v>4725</v>
      </c>
      <c r="QP1" t="s">
        <v>4726</v>
      </c>
      <c r="QQ1" t="s">
        <v>4727</v>
      </c>
      <c r="QR1" t="s">
        <v>4728</v>
      </c>
      <c r="QS1" t="s">
        <v>4729</v>
      </c>
      <c r="QT1" t="s">
        <v>4730</v>
      </c>
      <c r="QU1" t="s">
        <v>4731</v>
      </c>
      <c r="QV1" t="s">
        <v>4732</v>
      </c>
      <c r="QW1" t="s">
        <v>4733</v>
      </c>
      <c r="QX1" t="s">
        <v>4734</v>
      </c>
      <c r="QY1" t="s">
        <v>4735</v>
      </c>
      <c r="QZ1" t="s">
        <v>4736</v>
      </c>
      <c r="RA1" t="s">
        <v>4737</v>
      </c>
      <c r="RB1" t="s">
        <v>4738</v>
      </c>
      <c r="RC1" t="s">
        <v>4739</v>
      </c>
      <c r="RD1" t="s">
        <v>4740</v>
      </c>
      <c r="RE1" t="s">
        <v>4741</v>
      </c>
      <c r="RF1" t="s">
        <v>4742</v>
      </c>
      <c r="RG1" t="s">
        <v>4743</v>
      </c>
      <c r="RH1" t="s">
        <v>4744</v>
      </c>
      <c r="RI1" t="s">
        <v>4745</v>
      </c>
      <c r="RJ1" t="s">
        <v>4746</v>
      </c>
      <c r="RK1" t="s">
        <v>4747</v>
      </c>
      <c r="RL1" t="s">
        <v>4748</v>
      </c>
      <c r="RM1" t="s">
        <v>4749</v>
      </c>
      <c r="RN1" t="s">
        <v>4750</v>
      </c>
      <c r="RO1" t="s">
        <v>4751</v>
      </c>
      <c r="RP1" t="s">
        <v>4752</v>
      </c>
      <c r="RQ1" t="s">
        <v>4753</v>
      </c>
      <c r="RR1" t="s">
        <v>4754</v>
      </c>
      <c r="RS1" t="s">
        <v>4755</v>
      </c>
      <c r="RT1" t="s">
        <v>4756</v>
      </c>
      <c r="RU1" t="s">
        <v>4757</v>
      </c>
      <c r="RV1" t="s">
        <v>4758</v>
      </c>
      <c r="RW1" t="s">
        <v>4759</v>
      </c>
      <c r="RX1" t="s">
        <v>4760</v>
      </c>
      <c r="RY1" t="s">
        <v>4761</v>
      </c>
      <c r="RZ1" t="s">
        <v>4762</v>
      </c>
      <c r="SA1" t="s">
        <v>4763</v>
      </c>
      <c r="SB1" t="s">
        <v>4764</v>
      </c>
      <c r="SC1" t="s">
        <v>4765</v>
      </c>
      <c r="SD1" t="s">
        <v>4766</v>
      </c>
      <c r="SE1" t="s">
        <v>4767</v>
      </c>
      <c r="SF1" t="s">
        <v>4768</v>
      </c>
      <c r="SG1" t="s">
        <v>4769</v>
      </c>
      <c r="SH1" t="s">
        <v>4770</v>
      </c>
      <c r="SI1" t="s">
        <v>4771</v>
      </c>
      <c r="SJ1" t="s">
        <v>4772</v>
      </c>
      <c r="SK1" t="s">
        <v>4773</v>
      </c>
      <c r="SL1" t="s">
        <v>4774</v>
      </c>
      <c r="SM1" t="s">
        <v>4775</v>
      </c>
      <c r="SN1" t="s">
        <v>4776</v>
      </c>
      <c r="SO1" t="s">
        <v>4777</v>
      </c>
      <c r="SP1" t="s">
        <v>4778</v>
      </c>
      <c r="SQ1" t="s">
        <v>4779</v>
      </c>
      <c r="SR1" t="s">
        <v>4780</v>
      </c>
      <c r="SS1" t="s">
        <v>4781</v>
      </c>
      <c r="ST1" t="s">
        <v>4782</v>
      </c>
      <c r="SU1" t="s">
        <v>4783</v>
      </c>
      <c r="SV1" t="s">
        <v>4784</v>
      </c>
      <c r="SW1" t="s">
        <v>4785</v>
      </c>
      <c r="SX1" t="s">
        <v>4786</v>
      </c>
      <c r="SY1" t="s">
        <v>4787</v>
      </c>
      <c r="SZ1" t="s">
        <v>4788</v>
      </c>
      <c r="TA1" t="s">
        <v>4789</v>
      </c>
      <c r="TB1" t="s">
        <v>4790</v>
      </c>
      <c r="TC1" t="s">
        <v>4791</v>
      </c>
      <c r="TD1" t="s">
        <v>4792</v>
      </c>
      <c r="TE1" t="s">
        <v>4793</v>
      </c>
      <c r="TF1" t="s">
        <v>4794</v>
      </c>
      <c r="TG1" t="s">
        <v>4795</v>
      </c>
      <c r="TH1" t="s">
        <v>4796</v>
      </c>
      <c r="TI1" t="s">
        <v>4797</v>
      </c>
      <c r="TJ1" t="s">
        <v>4798</v>
      </c>
      <c r="TK1" t="s">
        <v>4799</v>
      </c>
      <c r="TL1" t="s">
        <v>4800</v>
      </c>
      <c r="TM1" t="s">
        <v>4801</v>
      </c>
      <c r="TN1" t="s">
        <v>4802</v>
      </c>
      <c r="TO1" t="s">
        <v>4803</v>
      </c>
      <c r="TP1" t="s">
        <v>4804</v>
      </c>
      <c r="TQ1" t="s">
        <v>4805</v>
      </c>
      <c r="TR1" t="s">
        <v>4806</v>
      </c>
      <c r="TS1" t="s">
        <v>4807</v>
      </c>
      <c r="TT1" t="s">
        <v>4808</v>
      </c>
      <c r="TU1" t="s">
        <v>4809</v>
      </c>
      <c r="TV1" t="s">
        <v>4810</v>
      </c>
      <c r="TW1" t="s">
        <v>4811</v>
      </c>
      <c r="TX1" t="s">
        <v>4812</v>
      </c>
      <c r="TY1" t="s">
        <v>4813</v>
      </c>
      <c r="TZ1" t="s">
        <v>4814</v>
      </c>
      <c r="UA1" t="s">
        <v>4815</v>
      </c>
      <c r="UB1" t="s">
        <v>4816</v>
      </c>
      <c r="UC1" t="s">
        <v>4817</v>
      </c>
      <c r="UD1" t="s">
        <v>4818</v>
      </c>
      <c r="UE1" t="s">
        <v>4819</v>
      </c>
      <c r="UF1" t="s">
        <v>4820</v>
      </c>
      <c r="UG1" t="s">
        <v>4821</v>
      </c>
      <c r="UH1" t="s">
        <v>4822</v>
      </c>
      <c r="UI1" t="s">
        <v>4823</v>
      </c>
      <c r="UJ1" t="s">
        <v>4824</v>
      </c>
      <c r="UK1" t="s">
        <v>4825</v>
      </c>
      <c r="UL1" t="s">
        <v>4826</v>
      </c>
      <c r="UM1" t="s">
        <v>4827</v>
      </c>
      <c r="UN1" t="s">
        <v>4828</v>
      </c>
      <c r="UO1" t="s">
        <v>4829</v>
      </c>
      <c r="UP1" t="s">
        <v>4830</v>
      </c>
      <c r="UQ1" t="s">
        <v>4831</v>
      </c>
      <c r="UR1" t="s">
        <v>4832</v>
      </c>
      <c r="US1" t="s">
        <v>4833</v>
      </c>
      <c r="UT1" t="s">
        <v>4834</v>
      </c>
      <c r="UU1" t="s">
        <v>4835</v>
      </c>
      <c r="UV1" t="s">
        <v>4836</v>
      </c>
      <c r="UW1" t="s">
        <v>4837</v>
      </c>
      <c r="UX1" t="s">
        <v>4838</v>
      </c>
      <c r="UY1" t="s">
        <v>4839</v>
      </c>
      <c r="UZ1" t="s">
        <v>4840</v>
      </c>
      <c r="VA1" t="s">
        <v>4841</v>
      </c>
      <c r="VB1" t="s">
        <v>4842</v>
      </c>
      <c r="VC1" t="s">
        <v>4843</v>
      </c>
      <c r="VD1" t="s">
        <v>4844</v>
      </c>
      <c r="VE1" t="s">
        <v>4845</v>
      </c>
      <c r="VF1" t="s">
        <v>4846</v>
      </c>
      <c r="VG1" t="s">
        <v>4847</v>
      </c>
      <c r="VH1" t="s">
        <v>4848</v>
      </c>
      <c r="VI1" t="s">
        <v>4849</v>
      </c>
      <c r="VJ1" t="s">
        <v>4850</v>
      </c>
      <c r="VK1" t="s">
        <v>4851</v>
      </c>
      <c r="VL1" t="s">
        <v>4852</v>
      </c>
      <c r="VM1" t="s">
        <v>4853</v>
      </c>
      <c r="VN1" t="s">
        <v>4854</v>
      </c>
      <c r="VO1" t="s">
        <v>4855</v>
      </c>
      <c r="VP1" t="s">
        <v>4856</v>
      </c>
      <c r="VQ1" t="s">
        <v>4857</v>
      </c>
      <c r="VR1" t="s">
        <v>4858</v>
      </c>
      <c r="VS1" t="s">
        <v>4859</v>
      </c>
      <c r="VT1" t="s">
        <v>4860</v>
      </c>
      <c r="VU1" t="s">
        <v>4861</v>
      </c>
      <c r="VV1" t="s">
        <v>4862</v>
      </c>
      <c r="VW1" t="s">
        <v>4863</v>
      </c>
      <c r="VX1" t="s">
        <v>4864</v>
      </c>
      <c r="VY1" t="s">
        <v>4865</v>
      </c>
      <c r="VZ1" t="s">
        <v>4866</v>
      </c>
      <c r="WA1" t="s">
        <v>4867</v>
      </c>
      <c r="WB1" t="s">
        <v>4868</v>
      </c>
      <c r="WC1" t="s">
        <v>4869</v>
      </c>
      <c r="WD1" t="s">
        <v>4870</v>
      </c>
      <c r="WE1" t="s">
        <v>4871</v>
      </c>
      <c r="WF1" t="s">
        <v>4872</v>
      </c>
      <c r="WG1" t="s">
        <v>4873</v>
      </c>
      <c r="WH1" t="s">
        <v>4874</v>
      </c>
      <c r="WI1" t="s">
        <v>4875</v>
      </c>
      <c r="WJ1" t="s">
        <v>4876</v>
      </c>
      <c r="WK1" t="s">
        <v>4877</v>
      </c>
      <c r="WL1" t="s">
        <v>4878</v>
      </c>
      <c r="WM1" t="s">
        <v>4879</v>
      </c>
      <c r="WN1" t="s">
        <v>4880</v>
      </c>
      <c r="WO1" t="s">
        <v>4881</v>
      </c>
      <c r="WP1" t="s">
        <v>4882</v>
      </c>
      <c r="WQ1" t="s">
        <v>4883</v>
      </c>
      <c r="WR1" t="s">
        <v>4884</v>
      </c>
      <c r="WS1" t="s">
        <v>4885</v>
      </c>
      <c r="WT1" t="s">
        <v>4886</v>
      </c>
      <c r="WU1" t="s">
        <v>4887</v>
      </c>
      <c r="WV1" t="s">
        <v>4888</v>
      </c>
      <c r="WW1" t="s">
        <v>4889</v>
      </c>
      <c r="WX1" t="s">
        <v>4890</v>
      </c>
      <c r="WY1" t="s">
        <v>4891</v>
      </c>
      <c r="WZ1" t="s">
        <v>4892</v>
      </c>
      <c r="XA1" t="s">
        <v>4893</v>
      </c>
      <c r="XB1" t="s">
        <v>4894</v>
      </c>
      <c r="XC1" t="s">
        <v>4895</v>
      </c>
      <c r="XD1" t="s">
        <v>4896</v>
      </c>
      <c r="XE1" t="s">
        <v>4897</v>
      </c>
      <c r="XF1" t="s">
        <v>4898</v>
      </c>
      <c r="XG1" t="s">
        <v>4899</v>
      </c>
      <c r="XH1" t="s">
        <v>4900</v>
      </c>
      <c r="XI1" t="s">
        <v>4901</v>
      </c>
      <c r="XJ1" t="s">
        <v>4902</v>
      </c>
      <c r="XK1" t="s">
        <v>4903</v>
      </c>
      <c r="XL1" t="s">
        <v>4904</v>
      </c>
      <c r="XM1" t="s">
        <v>4905</v>
      </c>
      <c r="XN1" t="s">
        <v>4906</v>
      </c>
      <c r="XO1" t="s">
        <v>4907</v>
      </c>
      <c r="XP1" t="s">
        <v>4908</v>
      </c>
      <c r="XQ1" t="s">
        <v>4909</v>
      </c>
      <c r="XR1" t="s">
        <v>4910</v>
      </c>
      <c r="XS1" t="s">
        <v>4911</v>
      </c>
      <c r="XT1" t="s">
        <v>4912</v>
      </c>
      <c r="XU1" t="s">
        <v>4913</v>
      </c>
      <c r="XV1" t="s">
        <v>4914</v>
      </c>
      <c r="XW1" t="s">
        <v>4915</v>
      </c>
      <c r="XX1" t="s">
        <v>4916</v>
      </c>
      <c r="XY1" t="s">
        <v>4917</v>
      </c>
      <c r="XZ1" t="s">
        <v>4918</v>
      </c>
      <c r="YA1" t="s">
        <v>4919</v>
      </c>
      <c r="YB1" t="s">
        <v>4920</v>
      </c>
      <c r="YC1" t="s">
        <v>4921</v>
      </c>
      <c r="YD1" t="s">
        <v>4922</v>
      </c>
      <c r="YE1" t="s">
        <v>4923</v>
      </c>
      <c r="YF1" t="s">
        <v>4924</v>
      </c>
      <c r="YG1" t="s">
        <v>4925</v>
      </c>
      <c r="YH1" t="s">
        <v>4926</v>
      </c>
      <c r="YI1" t="s">
        <v>4927</v>
      </c>
      <c r="YJ1" t="s">
        <v>4928</v>
      </c>
      <c r="YK1" t="s">
        <v>4929</v>
      </c>
      <c r="YL1" t="s">
        <v>4930</v>
      </c>
      <c r="YM1" t="s">
        <v>4931</v>
      </c>
      <c r="YN1" t="s">
        <v>4932</v>
      </c>
      <c r="YO1" t="s">
        <v>4933</v>
      </c>
      <c r="YP1" t="s">
        <v>4934</v>
      </c>
      <c r="YQ1" t="s">
        <v>4935</v>
      </c>
      <c r="YR1" t="s">
        <v>4936</v>
      </c>
      <c r="YS1" t="s">
        <v>4937</v>
      </c>
      <c r="YT1" t="s">
        <v>4938</v>
      </c>
      <c r="YU1" t="s">
        <v>4939</v>
      </c>
      <c r="YV1" t="s">
        <v>4940</v>
      </c>
      <c r="YW1" t="s">
        <v>4941</v>
      </c>
      <c r="YX1" t="s">
        <v>4942</v>
      </c>
      <c r="YY1" t="s">
        <v>4943</v>
      </c>
      <c r="YZ1" t="s">
        <v>4944</v>
      </c>
      <c r="ZA1" t="s">
        <v>4945</v>
      </c>
      <c r="ZB1" t="s">
        <v>4946</v>
      </c>
      <c r="ZC1" t="s">
        <v>4947</v>
      </c>
      <c r="ZD1" t="s">
        <v>4948</v>
      </c>
      <c r="ZE1" t="s">
        <v>4949</v>
      </c>
      <c r="ZF1" t="s">
        <v>4950</v>
      </c>
      <c r="ZG1" t="s">
        <v>4951</v>
      </c>
      <c r="ZH1" t="s">
        <v>4952</v>
      </c>
      <c r="ZI1" t="s">
        <v>4953</v>
      </c>
      <c r="ZJ1" t="s">
        <v>4954</v>
      </c>
      <c r="ZK1" t="s">
        <v>4955</v>
      </c>
      <c r="ZL1" t="s">
        <v>4956</v>
      </c>
      <c r="ZM1" t="s">
        <v>4957</v>
      </c>
      <c r="ZN1" t="s">
        <v>4958</v>
      </c>
      <c r="ZO1" t="s">
        <v>4959</v>
      </c>
      <c r="ZP1" t="s">
        <v>4960</v>
      </c>
      <c r="ZQ1" t="s">
        <v>4961</v>
      </c>
      <c r="ZR1" t="s">
        <v>4962</v>
      </c>
      <c r="ZS1" t="s">
        <v>4963</v>
      </c>
      <c r="ZT1" t="s">
        <v>4964</v>
      </c>
      <c r="ZU1" t="s">
        <v>4965</v>
      </c>
      <c r="ZV1" t="s">
        <v>4966</v>
      </c>
      <c r="ZW1" t="s">
        <v>4967</v>
      </c>
      <c r="ZX1" t="s">
        <v>4968</v>
      </c>
      <c r="ZY1" t="s">
        <v>4969</v>
      </c>
      <c r="ZZ1" t="s">
        <v>4970</v>
      </c>
      <c r="AAA1" t="s">
        <v>4971</v>
      </c>
      <c r="AAB1" t="s">
        <v>4972</v>
      </c>
      <c r="AAC1" t="s">
        <v>4973</v>
      </c>
      <c r="AAD1" t="s">
        <v>4974</v>
      </c>
      <c r="AAE1" t="s">
        <v>4975</v>
      </c>
      <c r="AAF1" t="s">
        <v>4976</v>
      </c>
      <c r="AAG1" t="s">
        <v>4977</v>
      </c>
      <c r="AAH1" t="s">
        <v>4978</v>
      </c>
      <c r="AAI1" t="s">
        <v>4979</v>
      </c>
      <c r="AAJ1" t="s">
        <v>4980</v>
      </c>
      <c r="AAK1" t="s">
        <v>4981</v>
      </c>
      <c r="AAL1" t="s">
        <v>4982</v>
      </c>
      <c r="AAM1" t="s">
        <v>4983</v>
      </c>
      <c r="AAN1" t="s">
        <v>4984</v>
      </c>
      <c r="AAO1" t="s">
        <v>4985</v>
      </c>
      <c r="AAP1" t="s">
        <v>4986</v>
      </c>
      <c r="AAQ1" t="s">
        <v>4987</v>
      </c>
      <c r="AAR1" t="s">
        <v>4988</v>
      </c>
      <c r="AAS1" t="s">
        <v>4989</v>
      </c>
      <c r="AAT1" t="s">
        <v>4990</v>
      </c>
      <c r="AAU1" t="s">
        <v>4991</v>
      </c>
      <c r="AAV1" t="s">
        <v>4992</v>
      </c>
      <c r="AAW1" t="s">
        <v>4993</v>
      </c>
      <c r="AAX1" t="s">
        <v>4994</v>
      </c>
      <c r="AAY1" t="s">
        <v>4995</v>
      </c>
      <c r="AAZ1" t="s">
        <v>4996</v>
      </c>
      <c r="ABA1" t="s">
        <v>4997</v>
      </c>
      <c r="ABB1" t="s">
        <v>4998</v>
      </c>
      <c r="ABC1" t="s">
        <v>4999</v>
      </c>
      <c r="ABD1" t="s">
        <v>5000</v>
      </c>
      <c r="ABE1" t="s">
        <v>5001</v>
      </c>
      <c r="ABF1" t="s">
        <v>5002</v>
      </c>
      <c r="ABG1" t="s">
        <v>5003</v>
      </c>
      <c r="ABH1" t="s">
        <v>5004</v>
      </c>
      <c r="ABI1" t="s">
        <v>5005</v>
      </c>
      <c r="ABJ1" t="s">
        <v>5006</v>
      </c>
      <c r="ABK1" t="s">
        <v>5007</v>
      </c>
      <c r="ABL1" t="s">
        <v>5008</v>
      </c>
      <c r="ABM1" t="s">
        <v>5009</v>
      </c>
      <c r="ABN1" t="s">
        <v>5010</v>
      </c>
      <c r="ABO1" t="s">
        <v>5011</v>
      </c>
      <c r="ABP1" t="s">
        <v>5012</v>
      </c>
      <c r="ABQ1" t="s">
        <v>5013</v>
      </c>
      <c r="ABR1" t="s">
        <v>5014</v>
      </c>
      <c r="ABS1" t="s">
        <v>5015</v>
      </c>
      <c r="ABT1" t="s">
        <v>5016</v>
      </c>
      <c r="ABU1" t="s">
        <v>5017</v>
      </c>
      <c r="ABV1" t="s">
        <v>5018</v>
      </c>
      <c r="ABW1" t="s">
        <v>5019</v>
      </c>
      <c r="ABX1" t="s">
        <v>5020</v>
      </c>
      <c r="ABY1" t="s">
        <v>5021</v>
      </c>
      <c r="ABZ1" t="s">
        <v>5022</v>
      </c>
      <c r="ACA1" t="s">
        <v>5023</v>
      </c>
      <c r="ACB1" t="s">
        <v>5024</v>
      </c>
      <c r="ACC1" t="s">
        <v>5025</v>
      </c>
      <c r="ACD1" t="s">
        <v>5026</v>
      </c>
      <c r="ACE1" t="s">
        <v>5027</v>
      </c>
      <c r="ACF1" t="s">
        <v>5028</v>
      </c>
      <c r="ACG1" t="s">
        <v>5029</v>
      </c>
      <c r="ACH1" t="s">
        <v>5030</v>
      </c>
      <c r="ACI1" t="s">
        <v>5031</v>
      </c>
      <c r="ACJ1" t="s">
        <v>5032</v>
      </c>
      <c r="ACK1" t="s">
        <v>5033</v>
      </c>
      <c r="ACL1" t="s">
        <v>5034</v>
      </c>
      <c r="ACM1" t="s">
        <v>5035</v>
      </c>
      <c r="ACN1" t="s">
        <v>5036</v>
      </c>
      <c r="ACO1" t="s">
        <v>5037</v>
      </c>
      <c r="ACP1" t="s">
        <v>5038</v>
      </c>
      <c r="ACQ1" t="s">
        <v>5039</v>
      </c>
      <c r="ACR1" t="s">
        <v>5040</v>
      </c>
      <c r="ACS1" t="s">
        <v>5041</v>
      </c>
      <c r="ACT1" t="s">
        <v>5042</v>
      </c>
      <c r="ACU1" t="s">
        <v>5043</v>
      </c>
      <c r="ACV1" t="s">
        <v>5044</v>
      </c>
      <c r="ACW1" t="s">
        <v>5045</v>
      </c>
      <c r="ACX1" t="s">
        <v>5046</v>
      </c>
      <c r="ACY1" t="s">
        <v>5047</v>
      </c>
      <c r="ACZ1" t="s">
        <v>5048</v>
      </c>
      <c r="ADA1" t="s">
        <v>5049</v>
      </c>
      <c r="ADB1" t="s">
        <v>5050</v>
      </c>
      <c r="ADC1" t="s">
        <v>5051</v>
      </c>
      <c r="ADD1" t="s">
        <v>5052</v>
      </c>
      <c r="ADE1" t="s">
        <v>5053</v>
      </c>
      <c r="ADF1" t="s">
        <v>5054</v>
      </c>
      <c r="ADG1" t="s">
        <v>5055</v>
      </c>
      <c r="ADH1" t="s">
        <v>5056</v>
      </c>
      <c r="ADI1" t="s">
        <v>5057</v>
      </c>
      <c r="ADJ1" t="s">
        <v>5058</v>
      </c>
      <c r="ADK1" t="s">
        <v>5059</v>
      </c>
      <c r="ADL1" t="s">
        <v>5060</v>
      </c>
      <c r="ADM1" t="s">
        <v>5061</v>
      </c>
      <c r="ADN1" t="s">
        <v>5062</v>
      </c>
      <c r="ADO1" t="s">
        <v>5063</v>
      </c>
      <c r="ADP1" t="s">
        <v>5064</v>
      </c>
      <c r="ADQ1" t="s">
        <v>5065</v>
      </c>
      <c r="ADR1" t="s">
        <v>5066</v>
      </c>
      <c r="ADS1" t="s">
        <v>5067</v>
      </c>
      <c r="ADT1" t="s">
        <v>5068</v>
      </c>
      <c r="ADU1" t="s">
        <v>5069</v>
      </c>
      <c r="ADV1" t="s">
        <v>5070</v>
      </c>
      <c r="ADW1" t="s">
        <v>5071</v>
      </c>
      <c r="ADX1" t="s">
        <v>5072</v>
      </c>
      <c r="ADY1" t="s">
        <v>5073</v>
      </c>
      <c r="ADZ1" t="s">
        <v>5074</v>
      </c>
      <c r="AEA1" t="s">
        <v>5075</v>
      </c>
      <c r="AEB1" t="s">
        <v>5076</v>
      </c>
      <c r="AEC1" t="s">
        <v>5077</v>
      </c>
      <c r="AED1" t="s">
        <v>5078</v>
      </c>
      <c r="AEE1" t="s">
        <v>5079</v>
      </c>
      <c r="AEF1" t="s">
        <v>5080</v>
      </c>
      <c r="AEG1" t="s">
        <v>5081</v>
      </c>
      <c r="AEH1" t="s">
        <v>5082</v>
      </c>
      <c r="AEI1" t="s">
        <v>5083</v>
      </c>
      <c r="AEJ1" t="s">
        <v>5084</v>
      </c>
      <c r="AEK1" t="s">
        <v>5085</v>
      </c>
      <c r="AEL1" t="s">
        <v>5086</v>
      </c>
      <c r="AEM1" t="s">
        <v>5087</v>
      </c>
      <c r="AEN1" t="s">
        <v>5088</v>
      </c>
      <c r="AEO1" t="s">
        <v>5089</v>
      </c>
      <c r="AEP1" t="s">
        <v>5090</v>
      </c>
      <c r="AEQ1" t="s">
        <v>5091</v>
      </c>
      <c r="AER1" t="s">
        <v>5092</v>
      </c>
      <c r="AES1" t="s">
        <v>5093</v>
      </c>
      <c r="AET1" t="s">
        <v>5094</v>
      </c>
      <c r="AEU1" t="s">
        <v>5095</v>
      </c>
      <c r="AEV1" t="s">
        <v>5096</v>
      </c>
      <c r="AEW1" t="s">
        <v>5097</v>
      </c>
      <c r="AEX1" t="s">
        <v>5098</v>
      </c>
      <c r="AEY1" t="s">
        <v>5099</v>
      </c>
      <c r="AEZ1" t="s">
        <v>5100</v>
      </c>
      <c r="AFA1" t="s">
        <v>5101</v>
      </c>
      <c r="AFB1" t="s">
        <v>5102</v>
      </c>
      <c r="AFC1" t="s">
        <v>5103</v>
      </c>
      <c r="AFD1" t="s">
        <v>5104</v>
      </c>
      <c r="AFE1" t="s">
        <v>5105</v>
      </c>
      <c r="AFF1" t="s">
        <v>5106</v>
      </c>
      <c r="AFG1" t="s">
        <v>5107</v>
      </c>
      <c r="AFH1" t="s">
        <v>5108</v>
      </c>
      <c r="AFI1" t="s">
        <v>5109</v>
      </c>
      <c r="AFJ1" t="s">
        <v>5110</v>
      </c>
      <c r="AFK1" t="s">
        <v>5111</v>
      </c>
      <c r="AFL1" t="s">
        <v>5112</v>
      </c>
      <c r="AFM1" t="s">
        <v>5113</v>
      </c>
      <c r="AFN1" t="s">
        <v>5114</v>
      </c>
      <c r="AFO1" t="s">
        <v>5115</v>
      </c>
      <c r="AFP1" t="s">
        <v>5116</v>
      </c>
      <c r="AFQ1" t="s">
        <v>5117</v>
      </c>
      <c r="AFR1" t="s">
        <v>5118</v>
      </c>
      <c r="AFS1" t="s">
        <v>5119</v>
      </c>
      <c r="AFT1" t="s">
        <v>5120</v>
      </c>
      <c r="AFU1" t="s">
        <v>5121</v>
      </c>
      <c r="AFV1" t="s">
        <v>5122</v>
      </c>
      <c r="AFW1" t="s">
        <v>5123</v>
      </c>
      <c r="AFX1" t="s">
        <v>5124</v>
      </c>
      <c r="AFY1" t="s">
        <v>5125</v>
      </c>
      <c r="AFZ1" t="s">
        <v>5126</v>
      </c>
      <c r="AGA1" t="s">
        <v>5127</v>
      </c>
      <c r="AGB1" t="s">
        <v>5128</v>
      </c>
      <c r="AGC1" t="s">
        <v>5129</v>
      </c>
      <c r="AGD1" t="s">
        <v>5130</v>
      </c>
      <c r="AGE1" t="s">
        <v>5131</v>
      </c>
      <c r="AGF1" t="s">
        <v>5132</v>
      </c>
      <c r="AGG1" t="s">
        <v>5133</v>
      </c>
      <c r="AGH1" t="s">
        <v>5134</v>
      </c>
      <c r="AGI1" t="s">
        <v>5135</v>
      </c>
      <c r="AGJ1" t="s">
        <v>5136</v>
      </c>
      <c r="AGK1" t="s">
        <v>5137</v>
      </c>
      <c r="AGL1" t="s">
        <v>5138</v>
      </c>
      <c r="AGM1" t="s">
        <v>5139</v>
      </c>
      <c r="AGN1" t="s">
        <v>5140</v>
      </c>
      <c r="AGO1" t="s">
        <v>5141</v>
      </c>
      <c r="AGP1" t="s">
        <v>5142</v>
      </c>
      <c r="AGQ1" t="s">
        <v>5143</v>
      </c>
      <c r="AGR1" t="s">
        <v>5144</v>
      </c>
      <c r="AGS1" t="s">
        <v>5145</v>
      </c>
      <c r="AGT1" t="s">
        <v>5146</v>
      </c>
      <c r="AGU1" t="s">
        <v>5147</v>
      </c>
      <c r="AGV1" t="s">
        <v>5148</v>
      </c>
      <c r="AGW1" t="s">
        <v>5149</v>
      </c>
      <c r="AGX1" t="s">
        <v>5150</v>
      </c>
      <c r="AGY1" t="s">
        <v>5151</v>
      </c>
      <c r="AGZ1" t="s">
        <v>5152</v>
      </c>
      <c r="AHA1" t="s">
        <v>5153</v>
      </c>
      <c r="AHB1" t="s">
        <v>5154</v>
      </c>
      <c r="AHC1" t="s">
        <v>5155</v>
      </c>
      <c r="AHD1" t="s">
        <v>5156</v>
      </c>
      <c r="AHE1" t="s">
        <v>5157</v>
      </c>
      <c r="AHF1" t="s">
        <v>5158</v>
      </c>
      <c r="AHG1" t="s">
        <v>5159</v>
      </c>
      <c r="AHH1" t="s">
        <v>5160</v>
      </c>
      <c r="AHI1" t="s">
        <v>5161</v>
      </c>
      <c r="AHJ1" t="s">
        <v>5162</v>
      </c>
      <c r="AHK1" t="s">
        <v>5163</v>
      </c>
      <c r="AHL1" t="s">
        <v>5164</v>
      </c>
      <c r="AHM1" t="s">
        <v>5165</v>
      </c>
      <c r="AHN1" t="s">
        <v>5166</v>
      </c>
      <c r="AHO1" t="s">
        <v>5167</v>
      </c>
      <c r="AHP1" t="s">
        <v>5168</v>
      </c>
      <c r="AHQ1" t="s">
        <v>5169</v>
      </c>
      <c r="AHR1" t="s">
        <v>5170</v>
      </c>
      <c r="AHS1" t="s">
        <v>5171</v>
      </c>
      <c r="AHT1" t="s">
        <v>5172</v>
      </c>
      <c r="AHU1" t="s">
        <v>5173</v>
      </c>
      <c r="AHV1" t="s">
        <v>5174</v>
      </c>
      <c r="AHW1" t="s">
        <v>5175</v>
      </c>
      <c r="AHX1" t="s">
        <v>5176</v>
      </c>
      <c r="AHY1" t="s">
        <v>5177</v>
      </c>
      <c r="AHZ1" t="s">
        <v>5178</v>
      </c>
      <c r="AIA1" t="s">
        <v>5179</v>
      </c>
      <c r="AIB1" t="s">
        <v>5180</v>
      </c>
      <c r="AIC1" t="s">
        <v>5181</v>
      </c>
      <c r="AID1" t="s">
        <v>5182</v>
      </c>
      <c r="AIE1" t="s">
        <v>5183</v>
      </c>
      <c r="AIF1" t="s">
        <v>5184</v>
      </c>
      <c r="AIG1" t="s">
        <v>5185</v>
      </c>
      <c r="AIH1" t="s">
        <v>5186</v>
      </c>
      <c r="AII1" t="s">
        <v>5187</v>
      </c>
      <c r="AIJ1" t="s">
        <v>5188</v>
      </c>
      <c r="AIK1" t="s">
        <v>5189</v>
      </c>
      <c r="AIL1" t="s">
        <v>5190</v>
      </c>
      <c r="AIM1" t="s">
        <v>5191</v>
      </c>
      <c r="AIN1" t="s">
        <v>5192</v>
      </c>
      <c r="AIO1" t="s">
        <v>5193</v>
      </c>
      <c r="AIP1" t="s">
        <v>5194</v>
      </c>
      <c r="AIQ1" t="s">
        <v>5195</v>
      </c>
      <c r="AIR1" t="s">
        <v>5196</v>
      </c>
      <c r="AIS1" t="s">
        <v>5197</v>
      </c>
      <c r="AIT1" t="s">
        <v>5198</v>
      </c>
      <c r="AIU1" t="s">
        <v>5199</v>
      </c>
      <c r="AIV1" t="s">
        <v>5200</v>
      </c>
      <c r="AIW1" t="s">
        <v>5201</v>
      </c>
      <c r="AIX1" t="s">
        <v>5202</v>
      </c>
      <c r="AIY1" t="s">
        <v>5203</v>
      </c>
      <c r="AIZ1" t="s">
        <v>5204</v>
      </c>
      <c r="AJA1" t="s">
        <v>5205</v>
      </c>
      <c r="AJB1" t="s">
        <v>5206</v>
      </c>
      <c r="AJC1" t="s">
        <v>5207</v>
      </c>
      <c r="AJD1" t="s">
        <v>5208</v>
      </c>
      <c r="AJE1" t="s">
        <v>5209</v>
      </c>
      <c r="AJF1" t="s">
        <v>5210</v>
      </c>
      <c r="AJG1" t="s">
        <v>5211</v>
      </c>
      <c r="AJH1" t="s">
        <v>5212</v>
      </c>
      <c r="AJI1" t="s">
        <v>5213</v>
      </c>
      <c r="AJJ1" t="s">
        <v>5214</v>
      </c>
      <c r="AJK1" t="s">
        <v>5215</v>
      </c>
      <c r="AJL1" t="s">
        <v>5216</v>
      </c>
      <c r="AJM1" t="s">
        <v>5217</v>
      </c>
      <c r="AJN1" t="s">
        <v>5218</v>
      </c>
      <c r="AJO1" t="s">
        <v>5219</v>
      </c>
      <c r="AJP1" t="s">
        <v>5220</v>
      </c>
      <c r="AJQ1" t="s">
        <v>5221</v>
      </c>
      <c r="AJR1" t="s">
        <v>5222</v>
      </c>
      <c r="AJS1" t="s">
        <v>5223</v>
      </c>
      <c r="AJT1" t="s">
        <v>5224</v>
      </c>
      <c r="AJU1" t="s">
        <v>5225</v>
      </c>
      <c r="AJV1" t="s">
        <v>5226</v>
      </c>
      <c r="AJW1" t="s">
        <v>5227</v>
      </c>
      <c r="AJX1" t="s">
        <v>5228</v>
      </c>
      <c r="AJY1" t="s">
        <v>5229</v>
      </c>
      <c r="AJZ1" t="s">
        <v>5230</v>
      </c>
      <c r="AKA1" t="s">
        <v>5231</v>
      </c>
      <c r="AKB1" t="s">
        <v>5232</v>
      </c>
      <c r="AKC1" t="s">
        <v>5233</v>
      </c>
      <c r="AKD1" t="s">
        <v>5234</v>
      </c>
      <c r="AKE1" t="s">
        <v>5235</v>
      </c>
      <c r="AKF1" t="s">
        <v>5236</v>
      </c>
      <c r="AKG1" t="s">
        <v>5237</v>
      </c>
      <c r="AKH1" t="s">
        <v>5238</v>
      </c>
      <c r="AKI1" t="s">
        <v>5239</v>
      </c>
      <c r="AKJ1" t="s">
        <v>5240</v>
      </c>
      <c r="AKK1" t="s">
        <v>5241</v>
      </c>
      <c r="AKL1" t="s">
        <v>5242</v>
      </c>
      <c r="AKM1" t="s">
        <v>5243</v>
      </c>
      <c r="AKN1" t="s">
        <v>5244</v>
      </c>
      <c r="AKO1" t="s">
        <v>5245</v>
      </c>
      <c r="AKP1" t="s">
        <v>5246</v>
      </c>
      <c r="AKQ1" t="s">
        <v>5247</v>
      </c>
      <c r="AKR1" t="s">
        <v>5248</v>
      </c>
      <c r="AKS1" t="s">
        <v>5249</v>
      </c>
      <c r="AKT1" t="s">
        <v>5250</v>
      </c>
      <c r="AKU1" t="s">
        <v>5251</v>
      </c>
      <c r="AKV1" t="s">
        <v>5252</v>
      </c>
      <c r="AKW1" t="s">
        <v>5253</v>
      </c>
      <c r="AKX1" t="s">
        <v>5254</v>
      </c>
      <c r="AKY1" t="s">
        <v>5255</v>
      </c>
      <c r="AKZ1" t="s">
        <v>5256</v>
      </c>
      <c r="ALA1" t="s">
        <v>5257</v>
      </c>
      <c r="ALB1" t="s">
        <v>5258</v>
      </c>
      <c r="ALC1" t="s">
        <v>5259</v>
      </c>
      <c r="ALD1" t="s">
        <v>5260</v>
      </c>
      <c r="ALE1" t="s">
        <v>5261</v>
      </c>
      <c r="ALF1" t="s">
        <v>5262</v>
      </c>
      <c r="ALG1" t="s">
        <v>5263</v>
      </c>
      <c r="ALH1" t="s">
        <v>5264</v>
      </c>
      <c r="ALI1" t="s">
        <v>5265</v>
      </c>
      <c r="ALJ1" t="s">
        <v>5266</v>
      </c>
      <c r="ALK1" t="s">
        <v>5267</v>
      </c>
      <c r="ALL1" t="s">
        <v>5268</v>
      </c>
      <c r="ALM1" t="s">
        <v>5269</v>
      </c>
      <c r="ALN1" t="s">
        <v>5270</v>
      </c>
      <c r="ALO1" t="s">
        <v>5271</v>
      </c>
      <c r="ALP1" t="s">
        <v>5272</v>
      </c>
      <c r="ALQ1" t="s">
        <v>5273</v>
      </c>
      <c r="ALR1" t="s">
        <v>5274</v>
      </c>
      <c r="ALS1" t="s">
        <v>5275</v>
      </c>
      <c r="ALT1" t="s">
        <v>5276</v>
      </c>
      <c r="ALU1" t="s">
        <v>5277</v>
      </c>
      <c r="ALV1" t="s">
        <v>5278</v>
      </c>
      <c r="ALW1" t="s">
        <v>5279</v>
      </c>
      <c r="ALX1" t="s">
        <v>5280</v>
      </c>
      <c r="ALY1" t="s">
        <v>5281</v>
      </c>
      <c r="ALZ1" t="s">
        <v>5282</v>
      </c>
      <c r="AMA1" t="s">
        <v>5283</v>
      </c>
      <c r="AMB1" t="s">
        <v>5284</v>
      </c>
      <c r="AMC1" t="s">
        <v>5285</v>
      </c>
      <c r="AMD1" t="s">
        <v>5286</v>
      </c>
      <c r="AME1" t="s">
        <v>5287</v>
      </c>
      <c r="AMF1" t="s">
        <v>5288</v>
      </c>
      <c r="AMG1" t="s">
        <v>5289</v>
      </c>
      <c r="AMH1" t="s">
        <v>5290</v>
      </c>
      <c r="AMI1" t="s">
        <v>5291</v>
      </c>
      <c r="AMJ1" t="s">
        <v>5292</v>
      </c>
      <c r="AMK1" t="s">
        <v>5293</v>
      </c>
      <c r="AML1" t="s">
        <v>5294</v>
      </c>
      <c r="AMM1" t="s">
        <v>5295</v>
      </c>
      <c r="AMN1" t="s">
        <v>5296</v>
      </c>
      <c r="AMO1" t="s">
        <v>5297</v>
      </c>
      <c r="AMP1" t="s">
        <v>5298</v>
      </c>
      <c r="AMQ1" t="s">
        <v>5299</v>
      </c>
      <c r="AMR1" t="s">
        <v>5300</v>
      </c>
      <c r="AMS1" t="s">
        <v>5301</v>
      </c>
      <c r="AMT1" t="s">
        <v>5302</v>
      </c>
      <c r="AMU1" t="s">
        <v>5303</v>
      </c>
      <c r="AMV1" t="s">
        <v>5304</v>
      </c>
      <c r="AMW1" t="s">
        <v>5305</v>
      </c>
      <c r="AMX1" t="s">
        <v>5306</v>
      </c>
      <c r="AMY1" t="s">
        <v>5307</v>
      </c>
      <c r="AMZ1" t="s">
        <v>5308</v>
      </c>
      <c r="ANA1" t="s">
        <v>5309</v>
      </c>
      <c r="ANB1" t="s">
        <v>5310</v>
      </c>
      <c r="ANC1" t="s">
        <v>5311</v>
      </c>
      <c r="AND1" t="s">
        <v>5312</v>
      </c>
      <c r="ANE1" t="s">
        <v>5313</v>
      </c>
      <c r="ANF1" t="s">
        <v>5314</v>
      </c>
      <c r="ANG1" t="s">
        <v>5315</v>
      </c>
      <c r="ANH1" t="s">
        <v>5316</v>
      </c>
      <c r="ANI1" t="s">
        <v>5317</v>
      </c>
      <c r="ANJ1" t="s">
        <v>5318</v>
      </c>
      <c r="ANK1" t="s">
        <v>5319</v>
      </c>
      <c r="ANL1" t="s">
        <v>5320</v>
      </c>
      <c r="ANM1" t="s">
        <v>5321</v>
      </c>
      <c r="ANN1" t="s">
        <v>5322</v>
      </c>
      <c r="ANO1" t="s">
        <v>5323</v>
      </c>
      <c r="ANP1" t="s">
        <v>5324</v>
      </c>
      <c r="ANQ1" t="s">
        <v>5325</v>
      </c>
      <c r="ANR1" t="s">
        <v>5326</v>
      </c>
      <c r="ANS1" t="s">
        <v>5327</v>
      </c>
      <c r="ANT1" t="s">
        <v>5328</v>
      </c>
      <c r="ANU1" t="s">
        <v>5329</v>
      </c>
      <c r="ANV1" t="s">
        <v>5330</v>
      </c>
      <c r="ANW1" t="s">
        <v>5331</v>
      </c>
      <c r="ANX1" t="s">
        <v>5332</v>
      </c>
      <c r="ANY1" t="s">
        <v>5333</v>
      </c>
      <c r="ANZ1" t="s">
        <v>5334</v>
      </c>
      <c r="AOA1" t="s">
        <v>5335</v>
      </c>
      <c r="AOB1" t="s">
        <v>5336</v>
      </c>
      <c r="AOC1" t="s">
        <v>5337</v>
      </c>
      <c r="AOD1" t="s">
        <v>5338</v>
      </c>
      <c r="AOE1" t="s">
        <v>5339</v>
      </c>
      <c r="AOF1" t="s">
        <v>5340</v>
      </c>
      <c r="AOG1" t="s">
        <v>5341</v>
      </c>
      <c r="AOH1" t="s">
        <v>5342</v>
      </c>
      <c r="AOI1" t="s">
        <v>5343</v>
      </c>
      <c r="AOJ1" t="s">
        <v>5344</v>
      </c>
      <c r="AOK1" t="s">
        <v>5345</v>
      </c>
      <c r="AOL1" t="s">
        <v>5346</v>
      </c>
      <c r="AOM1" t="s">
        <v>5347</v>
      </c>
      <c r="AON1" t="s">
        <v>5348</v>
      </c>
      <c r="AOO1" t="s">
        <v>5349</v>
      </c>
      <c r="AOP1" t="s">
        <v>5350</v>
      </c>
      <c r="AOQ1" t="s">
        <v>5351</v>
      </c>
      <c r="AOR1" t="s">
        <v>5352</v>
      </c>
      <c r="AOS1" t="s">
        <v>5353</v>
      </c>
      <c r="AOT1" t="s">
        <v>5354</v>
      </c>
      <c r="AOU1" t="s">
        <v>5355</v>
      </c>
      <c r="AOV1" t="s">
        <v>5356</v>
      </c>
      <c r="AOW1" t="s">
        <v>5357</v>
      </c>
      <c r="AOX1" t="s">
        <v>5358</v>
      </c>
      <c r="AOY1" t="s">
        <v>5359</v>
      </c>
      <c r="AOZ1" t="s">
        <v>5360</v>
      </c>
      <c r="APA1" t="s">
        <v>5361</v>
      </c>
      <c r="APB1" t="s">
        <v>5362</v>
      </c>
      <c r="APC1" t="s">
        <v>5363</v>
      </c>
      <c r="APD1" t="s">
        <v>5364</v>
      </c>
      <c r="APE1" t="s">
        <v>5365</v>
      </c>
      <c r="APF1" t="s">
        <v>5366</v>
      </c>
      <c r="APG1" t="s">
        <v>5367</v>
      </c>
      <c r="APH1" t="s">
        <v>5368</v>
      </c>
      <c r="API1" t="s">
        <v>5369</v>
      </c>
      <c r="APJ1" t="s">
        <v>5370</v>
      </c>
      <c r="APK1" t="s">
        <v>5371</v>
      </c>
      <c r="APL1" t="s">
        <v>5372</v>
      </c>
      <c r="APM1" t="s">
        <v>5373</v>
      </c>
      <c r="APN1" t="s">
        <v>5374</v>
      </c>
      <c r="APO1" t="s">
        <v>5375</v>
      </c>
      <c r="APP1" t="s">
        <v>5376</v>
      </c>
      <c r="APQ1" t="s">
        <v>5377</v>
      </c>
      <c r="APR1" t="s">
        <v>5378</v>
      </c>
      <c r="APS1" t="s">
        <v>5379</v>
      </c>
      <c r="APT1" t="s">
        <v>5380</v>
      </c>
      <c r="APU1" t="s">
        <v>5381</v>
      </c>
      <c r="APV1" t="s">
        <v>5382</v>
      </c>
      <c r="APW1" t="s">
        <v>5383</v>
      </c>
      <c r="APX1" t="s">
        <v>5384</v>
      </c>
      <c r="APY1" t="s">
        <v>5385</v>
      </c>
      <c r="APZ1" t="s">
        <v>5386</v>
      </c>
      <c r="AQA1" t="s">
        <v>5387</v>
      </c>
      <c r="AQB1" t="s">
        <v>5388</v>
      </c>
      <c r="AQC1" t="s">
        <v>5389</v>
      </c>
      <c r="AQD1" t="s">
        <v>5390</v>
      </c>
      <c r="AQE1" t="s">
        <v>5391</v>
      </c>
      <c r="AQF1" t="s">
        <v>5392</v>
      </c>
      <c r="AQG1" t="s">
        <v>5393</v>
      </c>
      <c r="AQH1" t="s">
        <v>5394</v>
      </c>
      <c r="AQI1" t="s">
        <v>5395</v>
      </c>
      <c r="AQJ1" t="s">
        <v>5396</v>
      </c>
      <c r="AQK1" t="s">
        <v>5397</v>
      </c>
      <c r="AQL1" t="s">
        <v>5398</v>
      </c>
      <c r="AQM1" t="s">
        <v>5399</v>
      </c>
      <c r="AQN1" t="s">
        <v>5400</v>
      </c>
      <c r="AQO1" t="s">
        <v>5401</v>
      </c>
      <c r="AQP1" t="s">
        <v>5402</v>
      </c>
      <c r="AQQ1" t="s">
        <v>5403</v>
      </c>
      <c r="AQR1" t="s">
        <v>5404</v>
      </c>
      <c r="AQS1" t="s">
        <v>5405</v>
      </c>
      <c r="AQT1" t="s">
        <v>5406</v>
      </c>
      <c r="AQU1" t="s">
        <v>5407</v>
      </c>
      <c r="AQV1" t="s">
        <v>5408</v>
      </c>
      <c r="AQW1" t="s">
        <v>5409</v>
      </c>
      <c r="AQX1" t="s">
        <v>5410</v>
      </c>
      <c r="AQY1" t="s">
        <v>5411</v>
      </c>
      <c r="AQZ1" t="s">
        <v>5412</v>
      </c>
      <c r="ARA1" t="s">
        <v>5413</v>
      </c>
      <c r="ARB1" t="s">
        <v>5414</v>
      </c>
      <c r="ARC1" t="s">
        <v>5415</v>
      </c>
      <c r="ARD1" t="s">
        <v>5416</v>
      </c>
      <c r="ARE1" t="s">
        <v>5417</v>
      </c>
      <c r="ARF1" t="s">
        <v>5418</v>
      </c>
      <c r="ARG1" t="s">
        <v>5419</v>
      </c>
      <c r="ARH1" t="s">
        <v>5420</v>
      </c>
      <c r="ARI1" t="s">
        <v>5421</v>
      </c>
      <c r="ARJ1" t="s">
        <v>5422</v>
      </c>
      <c r="ARK1" t="s">
        <v>5423</v>
      </c>
      <c r="ARL1" t="s">
        <v>5424</v>
      </c>
      <c r="ARM1" t="s">
        <v>5425</v>
      </c>
      <c r="ARN1" t="s">
        <v>5426</v>
      </c>
      <c r="ARO1" t="s">
        <v>5427</v>
      </c>
      <c r="ARP1" t="s">
        <v>5428</v>
      </c>
      <c r="ARQ1" t="s">
        <v>5429</v>
      </c>
      <c r="ARR1" t="s">
        <v>5430</v>
      </c>
      <c r="ARS1" t="s">
        <v>5431</v>
      </c>
      <c r="ART1" t="s">
        <v>5432</v>
      </c>
      <c r="ARU1" t="s">
        <v>5433</v>
      </c>
      <c r="ARV1" t="s">
        <v>5434</v>
      </c>
      <c r="ARW1" t="s">
        <v>5435</v>
      </c>
      <c r="ARX1" t="s">
        <v>5436</v>
      </c>
      <c r="ARY1" t="s">
        <v>5437</v>
      </c>
      <c r="ARZ1" t="s">
        <v>5438</v>
      </c>
      <c r="ASA1" t="s">
        <v>5439</v>
      </c>
      <c r="ASB1" t="s">
        <v>5440</v>
      </c>
      <c r="ASC1" t="s">
        <v>5441</v>
      </c>
      <c r="ASD1" t="s">
        <v>5442</v>
      </c>
      <c r="ASE1" t="s">
        <v>5443</v>
      </c>
      <c r="ASF1" t="s">
        <v>5444</v>
      </c>
      <c r="ASG1" t="s">
        <v>5445</v>
      </c>
      <c r="ASH1" t="s">
        <v>5446</v>
      </c>
      <c r="ASI1" t="s">
        <v>5447</v>
      </c>
      <c r="ASJ1" t="s">
        <v>5448</v>
      </c>
      <c r="ASK1" t="s">
        <v>5449</v>
      </c>
      <c r="ASL1" t="s">
        <v>5450</v>
      </c>
      <c r="ASM1" t="s">
        <v>5451</v>
      </c>
      <c r="ASN1" t="s">
        <v>5452</v>
      </c>
      <c r="ASO1" t="s">
        <v>5453</v>
      </c>
      <c r="ASP1" t="s">
        <v>5454</v>
      </c>
      <c r="ASQ1" t="s">
        <v>5455</v>
      </c>
      <c r="ASR1" t="s">
        <v>5456</v>
      </c>
      <c r="ASS1" t="s">
        <v>5457</v>
      </c>
      <c r="AST1" t="s">
        <v>5458</v>
      </c>
      <c r="ASU1" t="s">
        <v>5459</v>
      </c>
      <c r="ASV1" t="s">
        <v>5460</v>
      </c>
      <c r="ASW1" t="s">
        <v>5461</v>
      </c>
      <c r="ASX1" t="s">
        <v>5462</v>
      </c>
      <c r="ASY1" t="s">
        <v>5463</v>
      </c>
      <c r="ASZ1" t="s">
        <v>5464</v>
      </c>
      <c r="ATA1" t="s">
        <v>5465</v>
      </c>
      <c r="ATB1" t="s">
        <v>5466</v>
      </c>
      <c r="ATC1" t="s">
        <v>5467</v>
      </c>
      <c r="ATD1" t="s">
        <v>5468</v>
      </c>
      <c r="ATE1" t="s">
        <v>5469</v>
      </c>
      <c r="ATF1" t="s">
        <v>5470</v>
      </c>
      <c r="ATG1" t="s">
        <v>5471</v>
      </c>
      <c r="ATH1" t="s">
        <v>5472</v>
      </c>
      <c r="ATI1" t="s">
        <v>5473</v>
      </c>
      <c r="ATJ1" t="s">
        <v>5474</v>
      </c>
      <c r="ATK1" t="s">
        <v>5475</v>
      </c>
      <c r="ATL1" t="s">
        <v>5476</v>
      </c>
      <c r="ATM1" t="s">
        <v>5477</v>
      </c>
      <c r="ATN1" t="s">
        <v>5478</v>
      </c>
      <c r="ATO1" t="s">
        <v>5479</v>
      </c>
      <c r="ATP1" t="s">
        <v>5480</v>
      </c>
      <c r="ATQ1" t="s">
        <v>5481</v>
      </c>
      <c r="ATR1" t="s">
        <v>5482</v>
      </c>
      <c r="ATS1" t="s">
        <v>5483</v>
      </c>
      <c r="ATT1" t="s">
        <v>5484</v>
      </c>
      <c r="ATU1" t="s">
        <v>5485</v>
      </c>
      <c r="ATV1" t="s">
        <v>5486</v>
      </c>
      <c r="ATW1" t="s">
        <v>5487</v>
      </c>
      <c r="ATX1" t="s">
        <v>5488</v>
      </c>
      <c r="ATY1" t="s">
        <v>5489</v>
      </c>
      <c r="ATZ1" t="s">
        <v>5490</v>
      </c>
      <c r="AUA1" t="s">
        <v>5491</v>
      </c>
      <c r="AUB1" t="s">
        <v>5492</v>
      </c>
      <c r="AUC1" t="s">
        <v>5493</v>
      </c>
      <c r="AUD1" t="s">
        <v>5494</v>
      </c>
      <c r="AUE1" t="s">
        <v>5495</v>
      </c>
      <c r="AUF1" t="s">
        <v>5496</v>
      </c>
      <c r="AUG1" t="s">
        <v>5497</v>
      </c>
      <c r="AUH1" t="s">
        <v>5498</v>
      </c>
      <c r="AUI1" t="s">
        <v>5499</v>
      </c>
      <c r="AUJ1" t="s">
        <v>5500</v>
      </c>
      <c r="AUK1" t="s">
        <v>5501</v>
      </c>
      <c r="AUL1" t="s">
        <v>5502</v>
      </c>
      <c r="AUM1" t="s">
        <v>5503</v>
      </c>
      <c r="AUN1" t="s">
        <v>5504</v>
      </c>
      <c r="AUO1" t="s">
        <v>5505</v>
      </c>
      <c r="AUP1" t="s">
        <v>5506</v>
      </c>
      <c r="AUQ1" t="s">
        <v>5507</v>
      </c>
      <c r="AUR1" t="s">
        <v>5508</v>
      </c>
      <c r="AUS1" t="s">
        <v>5509</v>
      </c>
      <c r="AUT1" t="s">
        <v>5510</v>
      </c>
      <c r="AUU1" t="s">
        <v>5511</v>
      </c>
      <c r="AUV1" t="s">
        <v>5512</v>
      </c>
      <c r="AUW1" t="s">
        <v>5513</v>
      </c>
      <c r="AUX1" t="s">
        <v>5514</v>
      </c>
      <c r="AUY1" t="s">
        <v>5515</v>
      </c>
      <c r="AUZ1" t="s">
        <v>5516</v>
      </c>
      <c r="AVA1" t="s">
        <v>5517</v>
      </c>
      <c r="AVB1" t="s">
        <v>5518</v>
      </c>
      <c r="AVC1" t="s">
        <v>5519</v>
      </c>
      <c r="AVD1" t="s">
        <v>5520</v>
      </c>
      <c r="AVE1" t="s">
        <v>5521</v>
      </c>
      <c r="AVF1" t="s">
        <v>5522</v>
      </c>
      <c r="AVG1" t="s">
        <v>5523</v>
      </c>
      <c r="AVH1" t="s">
        <v>5524</v>
      </c>
      <c r="AVI1" t="s">
        <v>5525</v>
      </c>
      <c r="AVJ1" t="s">
        <v>5526</v>
      </c>
      <c r="AVK1" t="s">
        <v>5527</v>
      </c>
      <c r="AVL1" t="s">
        <v>5528</v>
      </c>
      <c r="AVM1" t="s">
        <v>5529</v>
      </c>
      <c r="AVN1" t="s">
        <v>5530</v>
      </c>
      <c r="AVO1" t="s">
        <v>5531</v>
      </c>
      <c r="AVP1" t="s">
        <v>5532</v>
      </c>
      <c r="AVQ1" t="s">
        <v>5533</v>
      </c>
      <c r="AVR1" t="s">
        <v>5534</v>
      </c>
      <c r="AVS1" t="s">
        <v>5535</v>
      </c>
      <c r="AVT1" t="s">
        <v>5536</v>
      </c>
      <c r="AVU1" t="s">
        <v>5537</v>
      </c>
      <c r="AVV1" t="s">
        <v>5538</v>
      </c>
      <c r="AVW1" t="s">
        <v>5539</v>
      </c>
      <c r="AVX1" t="s">
        <v>5540</v>
      </c>
      <c r="AVY1" t="s">
        <v>5541</v>
      </c>
      <c r="AVZ1" t="s">
        <v>5542</v>
      </c>
      <c r="AWA1" t="s">
        <v>5543</v>
      </c>
      <c r="AWB1" t="s">
        <v>5544</v>
      </c>
      <c r="AWC1" t="s">
        <v>5545</v>
      </c>
      <c r="AWD1" t="s">
        <v>5546</v>
      </c>
      <c r="AWE1" t="s">
        <v>5547</v>
      </c>
      <c r="AWF1" t="s">
        <v>5548</v>
      </c>
      <c r="AWG1" t="s">
        <v>5549</v>
      </c>
      <c r="AWH1" t="s">
        <v>5550</v>
      </c>
      <c r="AWI1" t="s">
        <v>5551</v>
      </c>
      <c r="AWJ1" t="s">
        <v>5552</v>
      </c>
      <c r="AWK1" t="s">
        <v>5553</v>
      </c>
      <c r="AWL1" t="s">
        <v>5554</v>
      </c>
      <c r="AWM1" t="s">
        <v>5555</v>
      </c>
      <c r="AWN1" t="s">
        <v>5556</v>
      </c>
      <c r="AWO1" t="s">
        <v>5557</v>
      </c>
      <c r="AWP1" t="s">
        <v>5558</v>
      </c>
      <c r="AWQ1" t="s">
        <v>5559</v>
      </c>
      <c r="AWR1" t="s">
        <v>5560</v>
      </c>
      <c r="AWS1" t="s">
        <v>5561</v>
      </c>
      <c r="AWT1" t="s">
        <v>5562</v>
      </c>
      <c r="AWU1" t="s">
        <v>5563</v>
      </c>
      <c r="AWV1" t="s">
        <v>5564</v>
      </c>
      <c r="AWW1" t="s">
        <v>5565</v>
      </c>
      <c r="AWX1" t="s">
        <v>5566</v>
      </c>
      <c r="AWY1" t="s">
        <v>5567</v>
      </c>
      <c r="AWZ1" t="s">
        <v>5568</v>
      </c>
      <c r="AXA1" t="s">
        <v>5569</v>
      </c>
      <c r="AXB1" t="s">
        <v>5570</v>
      </c>
      <c r="AXC1" t="s">
        <v>5571</v>
      </c>
      <c r="AXD1" t="s">
        <v>5572</v>
      </c>
      <c r="AXE1" t="s">
        <v>5573</v>
      </c>
      <c r="AXF1" t="s">
        <v>5574</v>
      </c>
      <c r="AXG1" t="s">
        <v>5575</v>
      </c>
      <c r="AXH1" t="s">
        <v>5576</v>
      </c>
      <c r="AXI1" t="s">
        <v>5577</v>
      </c>
      <c r="AXJ1" t="s">
        <v>5578</v>
      </c>
      <c r="AXK1" t="s">
        <v>5579</v>
      </c>
      <c r="AXL1" t="s">
        <v>5580</v>
      </c>
      <c r="AXM1" t="s">
        <v>5581</v>
      </c>
      <c r="AXN1" t="s">
        <v>5582</v>
      </c>
      <c r="AXO1" t="s">
        <v>5583</v>
      </c>
      <c r="AXP1" t="s">
        <v>5584</v>
      </c>
      <c r="AXQ1" t="s">
        <v>5585</v>
      </c>
      <c r="AXR1" t="s">
        <v>5586</v>
      </c>
      <c r="AXS1" t="s">
        <v>5587</v>
      </c>
      <c r="AXT1" t="s">
        <v>5588</v>
      </c>
      <c r="AXU1" t="s">
        <v>5589</v>
      </c>
      <c r="AXV1" t="s">
        <v>5590</v>
      </c>
      <c r="AXW1" t="s">
        <v>5591</v>
      </c>
      <c r="AXX1" t="s">
        <v>5592</v>
      </c>
      <c r="AXY1" t="s">
        <v>5593</v>
      </c>
      <c r="AXZ1" t="s">
        <v>5594</v>
      </c>
      <c r="AYA1" t="s">
        <v>5595</v>
      </c>
      <c r="AYB1" t="s">
        <v>5596</v>
      </c>
      <c r="AYC1" t="s">
        <v>5597</v>
      </c>
      <c r="AYD1" t="s">
        <v>5598</v>
      </c>
      <c r="AYE1" t="s">
        <v>5599</v>
      </c>
      <c r="AYF1" t="s">
        <v>5600</v>
      </c>
      <c r="AYG1" t="s">
        <v>5601</v>
      </c>
      <c r="AYH1" t="s">
        <v>5602</v>
      </c>
      <c r="AYI1" t="s">
        <v>5603</v>
      </c>
      <c r="AYJ1" t="s">
        <v>5604</v>
      </c>
      <c r="AYK1" t="s">
        <v>5605</v>
      </c>
      <c r="AYL1" t="s">
        <v>5606</v>
      </c>
      <c r="AYM1" t="s">
        <v>5607</v>
      </c>
      <c r="AYN1" t="s">
        <v>5608</v>
      </c>
      <c r="AYO1" t="s">
        <v>5609</v>
      </c>
      <c r="AYP1" t="s">
        <v>5610</v>
      </c>
      <c r="AYQ1" t="s">
        <v>5611</v>
      </c>
      <c r="AYR1" t="s">
        <v>5612</v>
      </c>
      <c r="AYS1" t="s">
        <v>5613</v>
      </c>
      <c r="AYT1" t="s">
        <v>5614</v>
      </c>
      <c r="AYU1" t="s">
        <v>5615</v>
      </c>
      <c r="AYV1" t="s">
        <v>5616</v>
      </c>
      <c r="AYW1" t="s">
        <v>5617</v>
      </c>
      <c r="AYX1" t="s">
        <v>5618</v>
      </c>
      <c r="AYY1" t="s">
        <v>5619</v>
      </c>
      <c r="AYZ1" t="s">
        <v>5620</v>
      </c>
      <c r="AZA1" t="s">
        <v>5621</v>
      </c>
      <c r="AZB1" t="s">
        <v>5622</v>
      </c>
      <c r="AZC1" t="s">
        <v>5623</v>
      </c>
      <c r="AZD1" t="s">
        <v>5624</v>
      </c>
      <c r="AZE1" t="s">
        <v>5625</v>
      </c>
      <c r="AZF1" t="s">
        <v>5626</v>
      </c>
      <c r="AZG1" t="s">
        <v>5627</v>
      </c>
      <c r="AZH1" t="s">
        <v>5628</v>
      </c>
      <c r="AZI1" t="s">
        <v>5629</v>
      </c>
      <c r="AZJ1" t="s">
        <v>5630</v>
      </c>
      <c r="AZK1" t="s">
        <v>5631</v>
      </c>
      <c r="AZL1" t="s">
        <v>5632</v>
      </c>
      <c r="AZM1" t="s">
        <v>5633</v>
      </c>
      <c r="AZN1" t="s">
        <v>5634</v>
      </c>
      <c r="AZO1" t="s">
        <v>5635</v>
      </c>
      <c r="AZP1" t="s">
        <v>5636</v>
      </c>
      <c r="AZQ1" t="s">
        <v>5637</v>
      </c>
      <c r="AZR1" t="s">
        <v>5638</v>
      </c>
      <c r="AZS1" t="s">
        <v>5639</v>
      </c>
      <c r="AZT1" t="s">
        <v>5640</v>
      </c>
      <c r="AZU1" t="s">
        <v>5641</v>
      </c>
      <c r="AZV1" t="s">
        <v>5642</v>
      </c>
      <c r="AZW1" t="s">
        <v>5643</v>
      </c>
      <c r="AZX1" t="s">
        <v>5644</v>
      </c>
      <c r="AZY1" t="s">
        <v>5645</v>
      </c>
      <c r="AZZ1" t="s">
        <v>5646</v>
      </c>
      <c r="BAA1" t="s">
        <v>5647</v>
      </c>
      <c r="BAB1" t="s">
        <v>5648</v>
      </c>
      <c r="BAC1" t="s">
        <v>5649</v>
      </c>
      <c r="BAD1" t="s">
        <v>5650</v>
      </c>
      <c r="BAE1" t="s">
        <v>5651</v>
      </c>
      <c r="BAF1" t="s">
        <v>5652</v>
      </c>
      <c r="BAG1" t="s">
        <v>5653</v>
      </c>
      <c r="BAH1" t="s">
        <v>5654</v>
      </c>
      <c r="BAI1" t="s">
        <v>5655</v>
      </c>
      <c r="BAJ1" t="s">
        <v>5656</v>
      </c>
      <c r="BAK1" t="s">
        <v>5657</v>
      </c>
      <c r="BAL1" t="s">
        <v>5658</v>
      </c>
      <c r="BAM1" t="s">
        <v>5659</v>
      </c>
      <c r="BAN1" t="s">
        <v>5660</v>
      </c>
      <c r="BAO1" t="s">
        <v>5661</v>
      </c>
      <c r="BAP1" t="s">
        <v>5662</v>
      </c>
      <c r="BAQ1" t="s">
        <v>5663</v>
      </c>
      <c r="BAR1" t="s">
        <v>5664</v>
      </c>
      <c r="BAS1" t="s">
        <v>5665</v>
      </c>
      <c r="BAT1" t="s">
        <v>5666</v>
      </c>
      <c r="BAU1" t="s">
        <v>5667</v>
      </c>
      <c r="BAV1" t="s">
        <v>5668</v>
      </c>
      <c r="BAW1" t="s">
        <v>5669</v>
      </c>
      <c r="BAX1" t="s">
        <v>5670</v>
      </c>
      <c r="BAY1" t="s">
        <v>5671</v>
      </c>
      <c r="BAZ1" t="s">
        <v>5672</v>
      </c>
      <c r="BBA1" t="s">
        <v>5673</v>
      </c>
      <c r="BBB1" t="s">
        <v>5674</v>
      </c>
      <c r="BBC1" t="s">
        <v>5675</v>
      </c>
      <c r="BBD1" t="s">
        <v>5676</v>
      </c>
      <c r="BBE1" t="s">
        <v>5677</v>
      </c>
      <c r="BBF1" t="s">
        <v>5678</v>
      </c>
      <c r="BBG1" t="s">
        <v>5679</v>
      </c>
      <c r="BBH1" t="s">
        <v>5680</v>
      </c>
      <c r="BBI1" t="s">
        <v>5681</v>
      </c>
      <c r="BBJ1" t="s">
        <v>5682</v>
      </c>
      <c r="BBK1" t="s">
        <v>5683</v>
      </c>
      <c r="BBL1" t="s">
        <v>5684</v>
      </c>
      <c r="BBM1" t="s">
        <v>5685</v>
      </c>
      <c r="BBN1" t="s">
        <v>5686</v>
      </c>
      <c r="BBO1" t="s">
        <v>5687</v>
      </c>
      <c r="BBP1" t="s">
        <v>5688</v>
      </c>
      <c r="BBQ1" t="s">
        <v>5689</v>
      </c>
      <c r="BBR1" t="s">
        <v>5690</v>
      </c>
      <c r="BBS1" t="s">
        <v>5691</v>
      </c>
      <c r="BBT1" t="s">
        <v>5692</v>
      </c>
      <c r="BBU1" t="s">
        <v>5693</v>
      </c>
      <c r="BBV1" t="s">
        <v>5694</v>
      </c>
      <c r="BBW1" t="s">
        <v>5695</v>
      </c>
      <c r="BBX1" t="s">
        <v>5696</v>
      </c>
      <c r="BBY1" t="s">
        <v>5697</v>
      </c>
      <c r="BBZ1" t="s">
        <v>5698</v>
      </c>
      <c r="BCA1" t="s">
        <v>5699</v>
      </c>
      <c r="BCB1" t="s">
        <v>5700</v>
      </c>
      <c r="BCC1" t="s">
        <v>5701</v>
      </c>
      <c r="BCD1" t="s">
        <v>5702</v>
      </c>
      <c r="BCE1" t="s">
        <v>5703</v>
      </c>
      <c r="BCF1" t="s">
        <v>5704</v>
      </c>
      <c r="BCG1" t="s">
        <v>5705</v>
      </c>
      <c r="BCH1" t="s">
        <v>5706</v>
      </c>
      <c r="BCI1" t="s">
        <v>5707</v>
      </c>
      <c r="BCJ1" t="s">
        <v>5708</v>
      </c>
      <c r="BCK1" t="s">
        <v>5709</v>
      </c>
      <c r="BCL1" t="s">
        <v>5710</v>
      </c>
      <c r="BCM1" t="s">
        <v>5711</v>
      </c>
      <c r="BCN1" t="s">
        <v>5712</v>
      </c>
      <c r="BCO1" t="s">
        <v>5713</v>
      </c>
      <c r="BCP1" t="s">
        <v>5714</v>
      </c>
      <c r="BCQ1" t="s">
        <v>5715</v>
      </c>
      <c r="BCR1" t="s">
        <v>5716</v>
      </c>
      <c r="BCS1" t="s">
        <v>5717</v>
      </c>
      <c r="BCT1" t="s">
        <v>5718</v>
      </c>
      <c r="BCU1" t="s">
        <v>5719</v>
      </c>
      <c r="BCV1" t="s">
        <v>5720</v>
      </c>
      <c r="BCW1" t="s">
        <v>5721</v>
      </c>
      <c r="BCX1" t="s">
        <v>5722</v>
      </c>
      <c r="BCY1" t="s">
        <v>5723</v>
      </c>
      <c r="BCZ1" t="s">
        <v>5724</v>
      </c>
      <c r="BDA1" t="s">
        <v>5725</v>
      </c>
      <c r="BDB1" t="s">
        <v>5726</v>
      </c>
      <c r="BDC1" t="s">
        <v>5727</v>
      </c>
      <c r="BDD1" t="s">
        <v>5728</v>
      </c>
      <c r="BDE1" t="s">
        <v>5729</v>
      </c>
      <c r="BDF1" t="s">
        <v>5730</v>
      </c>
      <c r="BDG1" t="s">
        <v>5731</v>
      </c>
      <c r="BDH1" t="s">
        <v>5732</v>
      </c>
      <c r="BDI1" t="s">
        <v>5733</v>
      </c>
      <c r="BDJ1" t="s">
        <v>5734</v>
      </c>
      <c r="BDK1" t="s">
        <v>5735</v>
      </c>
      <c r="BDL1" t="s">
        <v>5736</v>
      </c>
      <c r="BDM1" t="s">
        <v>5737</v>
      </c>
      <c r="BDN1" t="s">
        <v>5738</v>
      </c>
      <c r="BDO1" t="s">
        <v>5739</v>
      </c>
      <c r="BDP1" t="s">
        <v>5740</v>
      </c>
      <c r="BDQ1" t="s">
        <v>5741</v>
      </c>
      <c r="BDR1" t="s">
        <v>5742</v>
      </c>
      <c r="BDS1" t="s">
        <v>5743</v>
      </c>
      <c r="BDT1" t="s">
        <v>5744</v>
      </c>
      <c r="BDU1" t="s">
        <v>5745</v>
      </c>
      <c r="BDV1" t="s">
        <v>5746</v>
      </c>
      <c r="BDW1" t="s">
        <v>5747</v>
      </c>
      <c r="BDX1" t="s">
        <v>5748</v>
      </c>
      <c r="BDY1" t="s">
        <v>5749</v>
      </c>
      <c r="BDZ1" t="s">
        <v>5750</v>
      </c>
      <c r="BEA1" t="s">
        <v>5751</v>
      </c>
      <c r="BEB1" t="s">
        <v>5752</v>
      </c>
      <c r="BEC1" t="s">
        <v>5753</v>
      </c>
      <c r="BED1" t="s">
        <v>5754</v>
      </c>
      <c r="BEE1" t="s">
        <v>5755</v>
      </c>
      <c r="BEF1" t="s">
        <v>5756</v>
      </c>
      <c r="BEG1" t="s">
        <v>5757</v>
      </c>
      <c r="BEH1" t="s">
        <v>5758</v>
      </c>
      <c r="BEI1" t="s">
        <v>5759</v>
      </c>
      <c r="BEJ1" t="s">
        <v>5760</v>
      </c>
      <c r="BEK1" t="s">
        <v>5761</v>
      </c>
      <c r="BEL1" t="s">
        <v>5762</v>
      </c>
      <c r="BEM1" t="s">
        <v>5763</v>
      </c>
      <c r="BEN1" t="s">
        <v>5764</v>
      </c>
      <c r="BEO1" t="s">
        <v>5765</v>
      </c>
      <c r="BEP1" t="s">
        <v>5766</v>
      </c>
      <c r="BEQ1" t="s">
        <v>5767</v>
      </c>
      <c r="BER1" t="s">
        <v>5768</v>
      </c>
      <c r="BES1" t="s">
        <v>5769</v>
      </c>
      <c r="BET1" t="s">
        <v>5770</v>
      </c>
      <c r="BEU1" t="s">
        <v>5771</v>
      </c>
      <c r="BEV1" t="s">
        <v>5772</v>
      </c>
      <c r="BEW1" t="s">
        <v>5773</v>
      </c>
      <c r="BEX1" t="s">
        <v>5774</v>
      </c>
      <c r="BEY1" t="s">
        <v>5775</v>
      </c>
      <c r="BEZ1" t="s">
        <v>5776</v>
      </c>
      <c r="BFA1" t="s">
        <v>5777</v>
      </c>
      <c r="BFB1" t="s">
        <v>5778</v>
      </c>
      <c r="BFC1" t="s">
        <v>5779</v>
      </c>
      <c r="BFD1" t="s">
        <v>5780</v>
      </c>
      <c r="BFE1" t="s">
        <v>5781</v>
      </c>
      <c r="BFF1" t="s">
        <v>5782</v>
      </c>
      <c r="BFG1" t="s">
        <v>5783</v>
      </c>
      <c r="BFH1" t="s">
        <v>5784</v>
      </c>
      <c r="BFI1" t="s">
        <v>5785</v>
      </c>
      <c r="BFJ1" t="s">
        <v>5786</v>
      </c>
      <c r="BFK1" t="s">
        <v>5787</v>
      </c>
      <c r="BFL1" t="s">
        <v>5788</v>
      </c>
      <c r="BFM1" t="s">
        <v>5789</v>
      </c>
      <c r="BFN1" t="s">
        <v>5790</v>
      </c>
      <c r="BFO1" t="s">
        <v>5791</v>
      </c>
      <c r="BFP1" t="s">
        <v>5792</v>
      </c>
      <c r="BFQ1" t="s">
        <v>5793</v>
      </c>
      <c r="BFR1" t="s">
        <v>5794</v>
      </c>
      <c r="BFS1" t="s">
        <v>5795</v>
      </c>
      <c r="BFT1" t="s">
        <v>5796</v>
      </c>
      <c r="BFU1" t="s">
        <v>5797</v>
      </c>
      <c r="BFV1" t="s">
        <v>5798</v>
      </c>
      <c r="BFW1" t="s">
        <v>5799</v>
      </c>
      <c r="BFX1" t="s">
        <v>5800</v>
      </c>
      <c r="BFY1" t="s">
        <v>5801</v>
      </c>
      <c r="BFZ1" t="s">
        <v>5802</v>
      </c>
      <c r="BGA1" t="s">
        <v>5803</v>
      </c>
      <c r="BGB1" t="s">
        <v>5804</v>
      </c>
      <c r="BGC1" t="s">
        <v>5805</v>
      </c>
      <c r="BGD1" t="s">
        <v>5806</v>
      </c>
      <c r="BGE1" t="s">
        <v>5807</v>
      </c>
      <c r="BGF1" t="s">
        <v>5808</v>
      </c>
      <c r="BGG1" t="s">
        <v>5809</v>
      </c>
      <c r="BGH1" t="s">
        <v>5810</v>
      </c>
      <c r="BGI1" t="s">
        <v>5811</v>
      </c>
      <c r="BGJ1" t="s">
        <v>5812</v>
      </c>
      <c r="BGK1" t="s">
        <v>5813</v>
      </c>
      <c r="BGL1" t="s">
        <v>5814</v>
      </c>
      <c r="BGM1" t="s">
        <v>5815</v>
      </c>
      <c r="BGN1" t="s">
        <v>5816</v>
      </c>
      <c r="BGO1" t="s">
        <v>5817</v>
      </c>
      <c r="BGP1" t="s">
        <v>5818</v>
      </c>
      <c r="BGQ1" t="s">
        <v>5819</v>
      </c>
      <c r="BGR1" t="s">
        <v>5820</v>
      </c>
      <c r="BGS1" t="s">
        <v>5821</v>
      </c>
      <c r="BGT1" t="s">
        <v>5822</v>
      </c>
      <c r="BGU1" t="s">
        <v>5823</v>
      </c>
      <c r="BGV1" t="s">
        <v>5824</v>
      </c>
      <c r="BGW1" t="s">
        <v>5825</v>
      </c>
      <c r="BGX1" t="s">
        <v>5826</v>
      </c>
      <c r="BGY1" t="s">
        <v>5827</v>
      </c>
      <c r="BGZ1" t="s">
        <v>5828</v>
      </c>
      <c r="BHA1" t="s">
        <v>5829</v>
      </c>
      <c r="BHB1" t="s">
        <v>5830</v>
      </c>
      <c r="BHC1" t="s">
        <v>5831</v>
      </c>
      <c r="BHD1" t="s">
        <v>5832</v>
      </c>
      <c r="BHE1" t="s">
        <v>5833</v>
      </c>
      <c r="BHF1" t="s">
        <v>5834</v>
      </c>
      <c r="BHG1" t="s">
        <v>5835</v>
      </c>
      <c r="BHH1" t="s">
        <v>5836</v>
      </c>
      <c r="BHI1" t="s">
        <v>5837</v>
      </c>
      <c r="BHJ1" t="s">
        <v>5838</v>
      </c>
      <c r="BHK1" t="s">
        <v>5839</v>
      </c>
      <c r="BHL1" t="s">
        <v>5840</v>
      </c>
      <c r="BHM1" t="s">
        <v>5841</v>
      </c>
      <c r="BHN1" t="s">
        <v>5842</v>
      </c>
      <c r="BHO1" t="s">
        <v>5843</v>
      </c>
      <c r="BHP1" t="s">
        <v>5844</v>
      </c>
      <c r="BHQ1" t="s">
        <v>5845</v>
      </c>
      <c r="BHR1" t="s">
        <v>5846</v>
      </c>
      <c r="BHS1" t="s">
        <v>5847</v>
      </c>
      <c r="BHT1" t="s">
        <v>5848</v>
      </c>
      <c r="BHU1" t="s">
        <v>5849</v>
      </c>
      <c r="BHV1" t="s">
        <v>5850</v>
      </c>
      <c r="BHW1" t="s">
        <v>5851</v>
      </c>
      <c r="BHX1" t="s">
        <v>5852</v>
      </c>
      <c r="BHY1" t="s">
        <v>5853</v>
      </c>
      <c r="BHZ1" t="s">
        <v>5854</v>
      </c>
      <c r="BIA1" t="s">
        <v>5855</v>
      </c>
      <c r="BIB1" t="s">
        <v>5856</v>
      </c>
      <c r="BIC1" t="s">
        <v>5857</v>
      </c>
      <c r="BID1" t="s">
        <v>5858</v>
      </c>
      <c r="BIE1" t="s">
        <v>5859</v>
      </c>
      <c r="BIF1" t="s">
        <v>5860</v>
      </c>
      <c r="BIG1" t="s">
        <v>5861</v>
      </c>
      <c r="BIH1" t="s">
        <v>5862</v>
      </c>
      <c r="BII1" t="s">
        <v>5863</v>
      </c>
      <c r="BIJ1" t="s">
        <v>5864</v>
      </c>
      <c r="BIK1" t="s">
        <v>5865</v>
      </c>
      <c r="BIL1" t="s">
        <v>5866</v>
      </c>
      <c r="BIM1" t="s">
        <v>5867</v>
      </c>
      <c r="BIN1" t="s">
        <v>5868</v>
      </c>
      <c r="BIO1" t="s">
        <v>5869</v>
      </c>
      <c r="BIP1" t="s">
        <v>5870</v>
      </c>
      <c r="BIQ1" t="s">
        <v>5871</v>
      </c>
      <c r="BIR1" t="s">
        <v>5872</v>
      </c>
      <c r="BIS1" t="s">
        <v>5873</v>
      </c>
      <c r="BIT1" t="s">
        <v>5874</v>
      </c>
      <c r="BIU1" t="s">
        <v>5875</v>
      </c>
      <c r="BIV1" t="s">
        <v>5876</v>
      </c>
      <c r="BIW1" t="s">
        <v>5877</v>
      </c>
      <c r="BIX1" t="s">
        <v>5878</v>
      </c>
      <c r="BIY1" t="s">
        <v>5879</v>
      </c>
      <c r="BIZ1" t="s">
        <v>5880</v>
      </c>
      <c r="BJA1" t="s">
        <v>5881</v>
      </c>
      <c r="BJB1" t="s">
        <v>5882</v>
      </c>
      <c r="BJC1" t="s">
        <v>5883</v>
      </c>
      <c r="BJD1" t="s">
        <v>5884</v>
      </c>
      <c r="BJE1" t="s">
        <v>5885</v>
      </c>
      <c r="BJF1" t="s">
        <v>5886</v>
      </c>
      <c r="BJG1" t="s">
        <v>5887</v>
      </c>
      <c r="BJH1" t="s">
        <v>5888</v>
      </c>
      <c r="BJI1" t="s">
        <v>5889</v>
      </c>
      <c r="BJJ1" t="s">
        <v>5890</v>
      </c>
      <c r="BJK1" t="s">
        <v>5891</v>
      </c>
      <c r="BJL1" t="s">
        <v>5892</v>
      </c>
      <c r="BJM1" t="s">
        <v>5893</v>
      </c>
      <c r="BJN1" t="s">
        <v>5894</v>
      </c>
      <c r="BJO1" t="s">
        <v>5895</v>
      </c>
      <c r="BJP1" t="s">
        <v>5896</v>
      </c>
      <c r="BJQ1" t="s">
        <v>5897</v>
      </c>
      <c r="BJR1" t="s">
        <v>5898</v>
      </c>
      <c r="BJS1" t="s">
        <v>5899</v>
      </c>
      <c r="BJT1" t="s">
        <v>5900</v>
      </c>
      <c r="BJU1" t="s">
        <v>5901</v>
      </c>
      <c r="BJV1" t="s">
        <v>5902</v>
      </c>
      <c r="BJW1" t="s">
        <v>5903</v>
      </c>
      <c r="BJX1" t="s">
        <v>5904</v>
      </c>
      <c r="BJY1" t="s">
        <v>5905</v>
      </c>
      <c r="BJZ1" t="s">
        <v>5906</v>
      </c>
      <c r="BKA1" t="s">
        <v>5907</v>
      </c>
      <c r="BKB1" t="s">
        <v>5908</v>
      </c>
      <c r="BKC1" t="s">
        <v>5909</v>
      </c>
      <c r="BKD1" t="s">
        <v>5910</v>
      </c>
      <c r="BKE1" t="s">
        <v>5911</v>
      </c>
      <c r="BKF1" t="s">
        <v>5912</v>
      </c>
      <c r="BKG1" t="s">
        <v>5913</v>
      </c>
      <c r="BKH1" t="s">
        <v>5914</v>
      </c>
      <c r="BKI1" t="s">
        <v>5915</v>
      </c>
      <c r="BKJ1" t="s">
        <v>5916</v>
      </c>
      <c r="BKK1" t="s">
        <v>5917</v>
      </c>
      <c r="BKL1" t="s">
        <v>5918</v>
      </c>
      <c r="BKM1" t="s">
        <v>5919</v>
      </c>
      <c r="BKN1" t="s">
        <v>5920</v>
      </c>
      <c r="BKO1" t="s">
        <v>5921</v>
      </c>
      <c r="BKP1" t="s">
        <v>5922</v>
      </c>
      <c r="BKQ1" t="s">
        <v>5923</v>
      </c>
      <c r="BKR1" t="s">
        <v>5924</v>
      </c>
      <c r="BKS1" t="s">
        <v>5925</v>
      </c>
      <c r="BKT1" t="s">
        <v>5926</v>
      </c>
      <c r="BKU1" t="s">
        <v>5927</v>
      </c>
      <c r="BKV1" t="s">
        <v>5928</v>
      </c>
      <c r="BKW1" t="s">
        <v>5929</v>
      </c>
      <c r="BKX1" t="s">
        <v>5930</v>
      </c>
      <c r="BKY1" t="s">
        <v>5931</v>
      </c>
      <c r="BKZ1" t="s">
        <v>5932</v>
      </c>
      <c r="BLA1" t="s">
        <v>5933</v>
      </c>
      <c r="BLB1" t="s">
        <v>5934</v>
      </c>
      <c r="BLC1" t="s">
        <v>5935</v>
      </c>
      <c r="BLD1" t="s">
        <v>5936</v>
      </c>
      <c r="BLE1" t="s">
        <v>5937</v>
      </c>
      <c r="BLF1" t="s">
        <v>5938</v>
      </c>
      <c r="BLG1" t="s">
        <v>5939</v>
      </c>
      <c r="BLH1" t="s">
        <v>5940</v>
      </c>
      <c r="BLI1" t="s">
        <v>5941</v>
      </c>
      <c r="BLJ1" t="s">
        <v>5942</v>
      </c>
      <c r="BLK1" t="s">
        <v>5943</v>
      </c>
      <c r="BLL1" t="s">
        <v>5944</v>
      </c>
      <c r="BLM1" t="s">
        <v>5945</v>
      </c>
      <c r="BLN1" t="s">
        <v>5946</v>
      </c>
      <c r="BLO1" t="s">
        <v>5947</v>
      </c>
      <c r="BLP1" t="s">
        <v>5948</v>
      </c>
      <c r="BLQ1" t="s">
        <v>5949</v>
      </c>
      <c r="BLR1" t="s">
        <v>5950</v>
      </c>
      <c r="BLS1" t="s">
        <v>5951</v>
      </c>
      <c r="BLT1" t="s">
        <v>5952</v>
      </c>
      <c r="BLU1" t="s">
        <v>5953</v>
      </c>
      <c r="BLV1" t="s">
        <v>5954</v>
      </c>
      <c r="BLW1" t="s">
        <v>5955</v>
      </c>
      <c r="BLX1" t="s">
        <v>5956</v>
      </c>
      <c r="BLY1" t="s">
        <v>5957</v>
      </c>
      <c r="BLZ1" t="s">
        <v>5958</v>
      </c>
      <c r="BMA1" t="s">
        <v>5959</v>
      </c>
      <c r="BMB1" t="s">
        <v>5960</v>
      </c>
      <c r="BMC1" t="s">
        <v>5961</v>
      </c>
      <c r="BMD1" t="s">
        <v>5962</v>
      </c>
      <c r="BME1" t="s">
        <v>5963</v>
      </c>
      <c r="BMF1" t="s">
        <v>5964</v>
      </c>
      <c r="BMG1" t="s">
        <v>5965</v>
      </c>
      <c r="BMH1" t="s">
        <v>5966</v>
      </c>
      <c r="BMI1" t="s">
        <v>5967</v>
      </c>
      <c r="BMJ1" t="s">
        <v>5968</v>
      </c>
      <c r="BMK1" t="s">
        <v>5969</v>
      </c>
      <c r="BML1" t="s">
        <v>5970</v>
      </c>
      <c r="BMM1" t="s">
        <v>5971</v>
      </c>
      <c r="BMN1" t="s">
        <v>5972</v>
      </c>
      <c r="BMO1" t="s">
        <v>5973</v>
      </c>
      <c r="BMP1" t="s">
        <v>5974</v>
      </c>
      <c r="BMQ1" t="s">
        <v>5975</v>
      </c>
      <c r="BMR1" t="s">
        <v>5976</v>
      </c>
      <c r="BMS1" t="s">
        <v>5977</v>
      </c>
      <c r="BMT1" t="s">
        <v>5978</v>
      </c>
      <c r="BMU1" t="s">
        <v>5979</v>
      </c>
      <c r="BMV1" t="s">
        <v>5980</v>
      </c>
      <c r="BMW1" t="s">
        <v>5981</v>
      </c>
      <c r="BMX1" t="s">
        <v>5982</v>
      </c>
      <c r="BMY1" t="s">
        <v>5983</v>
      </c>
      <c r="BMZ1" t="s">
        <v>5984</v>
      </c>
      <c r="BNA1" t="s">
        <v>5985</v>
      </c>
      <c r="BNB1" t="s">
        <v>5986</v>
      </c>
      <c r="BNC1" t="s">
        <v>5987</v>
      </c>
      <c r="BND1" t="s">
        <v>5988</v>
      </c>
      <c r="BNE1" t="s">
        <v>5989</v>
      </c>
      <c r="BNF1" t="s">
        <v>5990</v>
      </c>
      <c r="BNG1" t="s">
        <v>5991</v>
      </c>
      <c r="BNH1" t="s">
        <v>5992</v>
      </c>
      <c r="BNI1" t="s">
        <v>5993</v>
      </c>
      <c r="BNJ1" t="s">
        <v>5994</v>
      </c>
      <c r="BNK1" t="s">
        <v>5995</v>
      </c>
      <c r="BNL1" t="s">
        <v>5996</v>
      </c>
      <c r="BNM1" t="s">
        <v>5997</v>
      </c>
      <c r="BNN1" t="s">
        <v>5998</v>
      </c>
      <c r="BNO1" t="s">
        <v>5999</v>
      </c>
      <c r="BNP1" t="s">
        <v>6000</v>
      </c>
      <c r="BNQ1" t="s">
        <v>6001</v>
      </c>
      <c r="BNR1" t="s">
        <v>6002</v>
      </c>
      <c r="BNS1" t="s">
        <v>6003</v>
      </c>
      <c r="BNT1" t="s">
        <v>6004</v>
      </c>
      <c r="BNU1" t="s">
        <v>6005</v>
      </c>
      <c r="BNV1" t="s">
        <v>6006</v>
      </c>
      <c r="BNW1" t="s">
        <v>6007</v>
      </c>
      <c r="BNX1" t="s">
        <v>6008</v>
      </c>
      <c r="BNY1" t="s">
        <v>6009</v>
      </c>
      <c r="BNZ1" t="s">
        <v>6010</v>
      </c>
      <c r="BOA1" t="s">
        <v>6011</v>
      </c>
      <c r="BOB1" t="s">
        <v>6012</v>
      </c>
      <c r="BOC1" t="s">
        <v>6013</v>
      </c>
      <c r="BOD1" t="s">
        <v>6014</v>
      </c>
      <c r="BOE1" t="s">
        <v>6015</v>
      </c>
      <c r="BOF1" t="s">
        <v>6016</v>
      </c>
      <c r="BOG1" t="s">
        <v>6017</v>
      </c>
      <c r="BOH1" t="s">
        <v>6018</v>
      </c>
      <c r="BOI1" t="s">
        <v>6019</v>
      </c>
      <c r="BOJ1" t="s">
        <v>6020</v>
      </c>
      <c r="BOK1" t="s">
        <v>6021</v>
      </c>
      <c r="BOL1" t="s">
        <v>6022</v>
      </c>
      <c r="BOM1" t="s">
        <v>6023</v>
      </c>
      <c r="BON1" t="s">
        <v>6024</v>
      </c>
      <c r="BOO1" t="s">
        <v>6025</v>
      </c>
      <c r="BOP1" t="s">
        <v>6026</v>
      </c>
      <c r="BOQ1" t="s">
        <v>6027</v>
      </c>
      <c r="BOR1" t="s">
        <v>6028</v>
      </c>
      <c r="BOS1" t="s">
        <v>6029</v>
      </c>
      <c r="BOT1" t="s">
        <v>6030</v>
      </c>
      <c r="BOU1" t="s">
        <v>6031</v>
      </c>
      <c r="BOV1" t="s">
        <v>6032</v>
      </c>
      <c r="BOW1" t="s">
        <v>6033</v>
      </c>
      <c r="BOX1" t="s">
        <v>6034</v>
      </c>
      <c r="BOY1" t="s">
        <v>6035</v>
      </c>
      <c r="BOZ1" t="s">
        <v>6036</v>
      </c>
      <c r="BPA1" t="s">
        <v>6037</v>
      </c>
      <c r="BPB1" t="s">
        <v>6038</v>
      </c>
      <c r="BPC1" t="s">
        <v>6039</v>
      </c>
      <c r="BPD1" t="s">
        <v>6040</v>
      </c>
      <c r="BPE1" t="s">
        <v>6041</v>
      </c>
      <c r="BPF1" t="s">
        <v>6042</v>
      </c>
      <c r="BPG1" t="s">
        <v>6043</v>
      </c>
      <c r="BPH1" t="s">
        <v>6044</v>
      </c>
      <c r="BPI1" t="s">
        <v>6045</v>
      </c>
      <c r="BPJ1" t="s">
        <v>6046</v>
      </c>
      <c r="BPK1" t="s">
        <v>6047</v>
      </c>
      <c r="BPL1" t="s">
        <v>6048</v>
      </c>
      <c r="BPM1" t="s">
        <v>6049</v>
      </c>
      <c r="BPN1" t="s">
        <v>6050</v>
      </c>
      <c r="BPO1" t="s">
        <v>6051</v>
      </c>
      <c r="BPP1" t="s">
        <v>6052</v>
      </c>
      <c r="BPQ1" t="s">
        <v>6053</v>
      </c>
      <c r="BPR1" t="s">
        <v>6054</v>
      </c>
      <c r="BPS1" t="s">
        <v>6055</v>
      </c>
      <c r="BPT1" t="s">
        <v>6056</v>
      </c>
      <c r="BPU1" t="s">
        <v>6057</v>
      </c>
      <c r="BPV1" t="s">
        <v>6058</v>
      </c>
      <c r="BPW1" t="s">
        <v>6059</v>
      </c>
      <c r="BPX1" t="s">
        <v>6060</v>
      </c>
      <c r="BPY1" t="s">
        <v>6061</v>
      </c>
      <c r="BPZ1" t="s">
        <v>6062</v>
      </c>
      <c r="BQA1" t="s">
        <v>6063</v>
      </c>
      <c r="BQB1" t="s">
        <v>6064</v>
      </c>
      <c r="BQC1" t="s">
        <v>6065</v>
      </c>
      <c r="BQD1" t="s">
        <v>6066</v>
      </c>
      <c r="BQE1" t="s">
        <v>6067</v>
      </c>
      <c r="BQF1" t="s">
        <v>6068</v>
      </c>
      <c r="BQG1" t="s">
        <v>6069</v>
      </c>
      <c r="BQH1" t="s">
        <v>6070</v>
      </c>
      <c r="BQI1" t="s">
        <v>6071</v>
      </c>
      <c r="BQJ1" t="s">
        <v>6072</v>
      </c>
      <c r="BQK1" t="s">
        <v>6073</v>
      </c>
      <c r="BQL1" t="s">
        <v>6074</v>
      </c>
      <c r="BQM1" t="s">
        <v>6075</v>
      </c>
      <c r="BQN1" t="s">
        <v>6076</v>
      </c>
      <c r="BQO1" t="s">
        <v>6077</v>
      </c>
      <c r="BQP1" t="s">
        <v>6078</v>
      </c>
      <c r="BQQ1" t="s">
        <v>6079</v>
      </c>
      <c r="BQR1" t="s">
        <v>6080</v>
      </c>
      <c r="BQS1" t="s">
        <v>6081</v>
      </c>
      <c r="BQT1" t="s">
        <v>6082</v>
      </c>
      <c r="BQU1" t="s">
        <v>6083</v>
      </c>
      <c r="BQV1" t="s">
        <v>6084</v>
      </c>
      <c r="BQW1" t="s">
        <v>6085</v>
      </c>
      <c r="BQX1" t="s">
        <v>6086</v>
      </c>
      <c r="BQY1" t="s">
        <v>6087</v>
      </c>
      <c r="BQZ1" t="s">
        <v>6088</v>
      </c>
      <c r="BRA1" t="s">
        <v>6089</v>
      </c>
      <c r="BRB1" t="s">
        <v>6090</v>
      </c>
      <c r="BRC1" t="s">
        <v>6091</v>
      </c>
      <c r="BRD1" t="s">
        <v>6092</v>
      </c>
      <c r="BRE1" t="s">
        <v>6093</v>
      </c>
      <c r="BRF1" t="s">
        <v>6094</v>
      </c>
      <c r="BRG1" t="s">
        <v>6095</v>
      </c>
      <c r="BRH1" t="s">
        <v>6096</v>
      </c>
      <c r="BRI1" t="s">
        <v>6097</v>
      </c>
      <c r="BRJ1" t="s">
        <v>6098</v>
      </c>
      <c r="BRK1" t="s">
        <v>6099</v>
      </c>
      <c r="BRL1" t="s">
        <v>6100</v>
      </c>
      <c r="BRM1" t="s">
        <v>6101</v>
      </c>
      <c r="BRN1" t="s">
        <v>6102</v>
      </c>
      <c r="BRO1" t="s">
        <v>6103</v>
      </c>
      <c r="BRP1" t="s">
        <v>6104</v>
      </c>
      <c r="BRQ1" t="s">
        <v>6105</v>
      </c>
      <c r="BRR1" t="s">
        <v>6106</v>
      </c>
      <c r="BRS1" t="s">
        <v>6107</v>
      </c>
      <c r="BRT1" t="s">
        <v>6108</v>
      </c>
      <c r="BRU1" t="s">
        <v>6109</v>
      </c>
      <c r="BRV1" t="s">
        <v>6110</v>
      </c>
      <c r="BRW1" t="s">
        <v>6111</v>
      </c>
      <c r="BRX1" t="s">
        <v>6112</v>
      </c>
      <c r="BRY1" t="s">
        <v>6113</v>
      </c>
      <c r="BRZ1" t="s">
        <v>6114</v>
      </c>
      <c r="BSA1" t="s">
        <v>6115</v>
      </c>
      <c r="BSB1" t="s">
        <v>6116</v>
      </c>
      <c r="BSC1" t="s">
        <v>6117</v>
      </c>
      <c r="BSD1" t="s">
        <v>6118</v>
      </c>
      <c r="BSE1" t="s">
        <v>6119</v>
      </c>
      <c r="BSF1" t="s">
        <v>6120</v>
      </c>
      <c r="BSG1" t="s">
        <v>6121</v>
      </c>
      <c r="BSH1" t="s">
        <v>6122</v>
      </c>
      <c r="BSI1" t="s">
        <v>6123</v>
      </c>
      <c r="BSJ1" t="s">
        <v>6124</v>
      </c>
      <c r="BSK1" t="s">
        <v>6125</v>
      </c>
      <c r="BSL1" t="s">
        <v>6126</v>
      </c>
      <c r="BSM1" t="s">
        <v>6127</v>
      </c>
      <c r="BSN1" t="s">
        <v>6128</v>
      </c>
      <c r="BSO1" t="s">
        <v>6129</v>
      </c>
      <c r="BSP1" t="s">
        <v>6130</v>
      </c>
      <c r="BSQ1" t="s">
        <v>6131</v>
      </c>
      <c r="BSR1" t="s">
        <v>6132</v>
      </c>
      <c r="BSS1" t="s">
        <v>6133</v>
      </c>
      <c r="BST1" t="s">
        <v>6134</v>
      </c>
      <c r="BSU1" t="s">
        <v>6135</v>
      </c>
      <c r="BSV1" t="s">
        <v>6136</v>
      </c>
      <c r="BSW1" t="s">
        <v>6137</v>
      </c>
      <c r="BSX1" t="s">
        <v>6138</v>
      </c>
      <c r="BSY1" t="s">
        <v>6139</v>
      </c>
      <c r="BSZ1" t="s">
        <v>6140</v>
      </c>
      <c r="BTA1" t="s">
        <v>6141</v>
      </c>
      <c r="BTB1" t="s">
        <v>6142</v>
      </c>
      <c r="BTC1" t="s">
        <v>6143</v>
      </c>
      <c r="BTD1" t="s">
        <v>6144</v>
      </c>
      <c r="BTE1" t="s">
        <v>6145</v>
      </c>
      <c r="BTF1" t="s">
        <v>6146</v>
      </c>
      <c r="BTG1" t="s">
        <v>6147</v>
      </c>
      <c r="BTH1" t="s">
        <v>6148</v>
      </c>
      <c r="BTI1" t="s">
        <v>6149</v>
      </c>
      <c r="BTJ1" t="s">
        <v>6150</v>
      </c>
      <c r="BTK1" t="s">
        <v>6151</v>
      </c>
      <c r="BTL1" t="s">
        <v>6152</v>
      </c>
      <c r="BTM1" t="s">
        <v>6153</v>
      </c>
      <c r="BTN1" t="s">
        <v>6154</v>
      </c>
      <c r="BTO1" t="s">
        <v>6155</v>
      </c>
      <c r="BTP1" t="s">
        <v>6156</v>
      </c>
      <c r="BTQ1" t="s">
        <v>6157</v>
      </c>
      <c r="BTR1" t="s">
        <v>6158</v>
      </c>
      <c r="BTS1" t="s">
        <v>6159</v>
      </c>
      <c r="BTT1" t="s">
        <v>6160</v>
      </c>
      <c r="BTU1" t="s">
        <v>6161</v>
      </c>
      <c r="BTV1" t="s">
        <v>6162</v>
      </c>
      <c r="BTW1" t="s">
        <v>6163</v>
      </c>
      <c r="BTX1" t="s">
        <v>6164</v>
      </c>
      <c r="BTY1" t="s">
        <v>6165</v>
      </c>
      <c r="BTZ1" t="s">
        <v>6166</v>
      </c>
      <c r="BUA1" t="s">
        <v>6167</v>
      </c>
      <c r="BUB1" t="s">
        <v>6168</v>
      </c>
      <c r="BUC1" t="s">
        <v>6169</v>
      </c>
      <c r="BUD1" t="s">
        <v>6170</v>
      </c>
      <c r="BUE1" t="s">
        <v>6171</v>
      </c>
      <c r="BUF1" t="s">
        <v>6172</v>
      </c>
      <c r="BUG1" t="s">
        <v>6173</v>
      </c>
      <c r="BUH1" t="s">
        <v>6174</v>
      </c>
      <c r="BUI1" t="s">
        <v>6175</v>
      </c>
      <c r="BUJ1" t="s">
        <v>6176</v>
      </c>
      <c r="BUK1" t="s">
        <v>6177</v>
      </c>
      <c r="BUL1" t="s">
        <v>6178</v>
      </c>
      <c r="BUM1" t="s">
        <v>6179</v>
      </c>
      <c r="BUN1" t="s">
        <v>6180</v>
      </c>
      <c r="BUO1" t="s">
        <v>6181</v>
      </c>
      <c r="BUP1" t="s">
        <v>6182</v>
      </c>
      <c r="BUQ1" t="s">
        <v>6183</v>
      </c>
      <c r="BUR1" t="s">
        <v>6184</v>
      </c>
      <c r="BUS1" t="s">
        <v>6185</v>
      </c>
      <c r="BUT1" t="s">
        <v>6186</v>
      </c>
      <c r="BUU1" t="s">
        <v>6187</v>
      </c>
      <c r="BUV1" t="s">
        <v>6188</v>
      </c>
      <c r="BUW1" t="s">
        <v>6189</v>
      </c>
      <c r="BUX1" t="s">
        <v>6190</v>
      </c>
      <c r="BUY1" t="s">
        <v>6191</v>
      </c>
      <c r="BUZ1" t="s">
        <v>6192</v>
      </c>
      <c r="BVA1" t="s">
        <v>6193</v>
      </c>
      <c r="BVB1" t="s">
        <v>6194</v>
      </c>
      <c r="BVC1" t="s">
        <v>6195</v>
      </c>
      <c r="BVD1" t="s">
        <v>6196</v>
      </c>
      <c r="BVE1" t="s">
        <v>6197</v>
      </c>
      <c r="BVF1" t="s">
        <v>6198</v>
      </c>
      <c r="BVG1" t="s">
        <v>6199</v>
      </c>
      <c r="BVH1" t="s">
        <v>6200</v>
      </c>
      <c r="BVI1" t="s">
        <v>6201</v>
      </c>
      <c r="BVJ1" t="s">
        <v>6202</v>
      </c>
      <c r="BVK1" t="s">
        <v>6203</v>
      </c>
      <c r="BVL1" t="s">
        <v>6204</v>
      </c>
      <c r="BVM1" t="s">
        <v>6205</v>
      </c>
      <c r="BVN1" t="s">
        <v>6206</v>
      </c>
      <c r="BVO1" t="s">
        <v>6207</v>
      </c>
      <c r="BVP1" t="s">
        <v>6208</v>
      </c>
      <c r="BVQ1" t="s">
        <v>6209</v>
      </c>
      <c r="BVR1" t="s">
        <v>6210</v>
      </c>
      <c r="BVS1" t="s">
        <v>6211</v>
      </c>
      <c r="BVT1" t="s">
        <v>6212</v>
      </c>
      <c r="BVU1" t="s">
        <v>6213</v>
      </c>
      <c r="BVV1" t="s">
        <v>6214</v>
      </c>
      <c r="BVW1" t="s">
        <v>6215</v>
      </c>
      <c r="BVX1" t="s">
        <v>6216</v>
      </c>
      <c r="BVY1" t="s">
        <v>6217</v>
      </c>
      <c r="BVZ1" t="s">
        <v>6218</v>
      </c>
      <c r="BWA1" t="s">
        <v>6219</v>
      </c>
      <c r="BWB1" t="s">
        <v>6220</v>
      </c>
      <c r="BWC1" t="s">
        <v>6221</v>
      </c>
      <c r="BWD1" t="s">
        <v>6222</v>
      </c>
      <c r="BWE1" t="s">
        <v>6223</v>
      </c>
      <c r="BWF1" t="s">
        <v>6224</v>
      </c>
      <c r="BWG1" t="s">
        <v>6225</v>
      </c>
      <c r="BWH1" t="s">
        <v>6226</v>
      </c>
      <c r="BWI1" t="s">
        <v>6227</v>
      </c>
      <c r="BWJ1" t="s">
        <v>6228</v>
      </c>
      <c r="BWK1" t="s">
        <v>6229</v>
      </c>
      <c r="BWL1" t="s">
        <v>6230</v>
      </c>
      <c r="BWM1" t="s">
        <v>6231</v>
      </c>
      <c r="BWN1" t="s">
        <v>6232</v>
      </c>
      <c r="BWO1" t="s">
        <v>6233</v>
      </c>
      <c r="BWP1" t="s">
        <v>6234</v>
      </c>
      <c r="BWQ1" t="s">
        <v>6235</v>
      </c>
      <c r="BWR1" t="s">
        <v>6236</v>
      </c>
      <c r="BWS1" t="s">
        <v>6237</v>
      </c>
      <c r="BWT1" t="s">
        <v>6238</v>
      </c>
      <c r="BWU1" t="s">
        <v>6239</v>
      </c>
      <c r="BWV1" t="s">
        <v>6240</v>
      </c>
      <c r="BWW1" t="s">
        <v>6241</v>
      </c>
      <c r="BWX1" t="s">
        <v>6242</v>
      </c>
      <c r="BWY1" t="s">
        <v>6243</v>
      </c>
      <c r="BWZ1" t="s">
        <v>6244</v>
      </c>
      <c r="BXA1" t="s">
        <v>6245</v>
      </c>
      <c r="BXB1" t="s">
        <v>6246</v>
      </c>
      <c r="BXC1" t="s">
        <v>6247</v>
      </c>
      <c r="BXD1" t="s">
        <v>6248</v>
      </c>
      <c r="BXE1" t="s">
        <v>6249</v>
      </c>
      <c r="BXF1" t="s">
        <v>6250</v>
      </c>
      <c r="BXG1" t="s">
        <v>6251</v>
      </c>
      <c r="BXH1" t="s">
        <v>6252</v>
      </c>
      <c r="BXI1" t="s">
        <v>6253</v>
      </c>
      <c r="BXJ1" t="s">
        <v>6254</v>
      </c>
      <c r="BXK1" t="s">
        <v>6255</v>
      </c>
      <c r="BXL1" t="s">
        <v>6256</v>
      </c>
      <c r="BXM1" t="s">
        <v>6257</v>
      </c>
      <c r="BXN1" t="s">
        <v>6258</v>
      </c>
      <c r="BXO1" t="s">
        <v>6259</v>
      </c>
      <c r="BXP1" t="s">
        <v>6260</v>
      </c>
      <c r="BXQ1" t="s">
        <v>6261</v>
      </c>
      <c r="BXR1" t="s">
        <v>6262</v>
      </c>
      <c r="BXS1" t="s">
        <v>6263</v>
      </c>
      <c r="BXT1" t="s">
        <v>6264</v>
      </c>
      <c r="BXU1" t="s">
        <v>6265</v>
      </c>
      <c r="BXV1" t="s">
        <v>6266</v>
      </c>
      <c r="BXW1" t="s">
        <v>6267</v>
      </c>
      <c r="BXX1" t="s">
        <v>6268</v>
      </c>
      <c r="BXY1" t="s">
        <v>6269</v>
      </c>
      <c r="BXZ1" t="s">
        <v>6270</v>
      </c>
      <c r="BYA1" t="s">
        <v>6271</v>
      </c>
      <c r="BYB1" t="s">
        <v>6272</v>
      </c>
      <c r="BYC1" t="s">
        <v>6273</v>
      </c>
      <c r="BYD1" t="s">
        <v>6274</v>
      </c>
      <c r="BYE1" t="s">
        <v>6275</v>
      </c>
      <c r="BYF1" t="s">
        <v>6276</v>
      </c>
      <c r="BYG1" t="s">
        <v>6277</v>
      </c>
      <c r="BYH1" t="s">
        <v>6278</v>
      </c>
      <c r="BYI1" t="s">
        <v>6279</v>
      </c>
      <c r="BYJ1" t="s">
        <v>6280</v>
      </c>
      <c r="BYK1" t="s">
        <v>6281</v>
      </c>
      <c r="BYL1" t="s">
        <v>6282</v>
      </c>
      <c r="BYM1" t="s">
        <v>6283</v>
      </c>
      <c r="BYN1" t="s">
        <v>6284</v>
      </c>
      <c r="BYO1" t="s">
        <v>6285</v>
      </c>
      <c r="BYP1" t="s">
        <v>6286</v>
      </c>
      <c r="BYQ1" t="s">
        <v>6287</v>
      </c>
      <c r="BYR1" t="s">
        <v>6288</v>
      </c>
      <c r="BYS1" t="s">
        <v>6289</v>
      </c>
      <c r="BYT1" t="s">
        <v>6290</v>
      </c>
      <c r="BYU1" t="s">
        <v>6291</v>
      </c>
      <c r="BYV1" t="s">
        <v>6292</v>
      </c>
      <c r="BYW1" t="s">
        <v>6293</v>
      </c>
      <c r="BYX1" t="s">
        <v>6294</v>
      </c>
      <c r="BYY1" t="s">
        <v>6295</v>
      </c>
      <c r="BYZ1" t="s">
        <v>6296</v>
      </c>
      <c r="BZA1" t="s">
        <v>6297</v>
      </c>
      <c r="BZB1" t="s">
        <v>6298</v>
      </c>
      <c r="BZC1" t="s">
        <v>6299</v>
      </c>
      <c r="BZD1" t="s">
        <v>6300</v>
      </c>
      <c r="BZE1" t="s">
        <v>6301</v>
      </c>
      <c r="BZF1" t="s">
        <v>6302</v>
      </c>
      <c r="BZG1" t="s">
        <v>6303</v>
      </c>
      <c r="BZH1" t="s">
        <v>6304</v>
      </c>
      <c r="BZI1" t="s">
        <v>6305</v>
      </c>
      <c r="BZJ1" t="s">
        <v>6306</v>
      </c>
      <c r="BZK1" t="s">
        <v>6307</v>
      </c>
      <c r="BZL1" t="s">
        <v>6308</v>
      </c>
      <c r="BZM1" t="s">
        <v>6309</v>
      </c>
      <c r="BZN1" t="s">
        <v>6310</v>
      </c>
      <c r="BZO1" t="s">
        <v>6311</v>
      </c>
      <c r="BZP1" t="s">
        <v>6312</v>
      </c>
      <c r="BZQ1" t="s">
        <v>6313</v>
      </c>
      <c r="BZR1" t="s">
        <v>6314</v>
      </c>
      <c r="BZS1" t="s">
        <v>6315</v>
      </c>
      <c r="BZT1" t="s">
        <v>6316</v>
      </c>
      <c r="BZU1" t="s">
        <v>6317</v>
      </c>
      <c r="BZV1" t="s">
        <v>6318</v>
      </c>
      <c r="BZW1" t="s">
        <v>6319</v>
      </c>
      <c r="BZX1" t="s">
        <v>6320</v>
      </c>
      <c r="BZY1" t="s">
        <v>6321</v>
      </c>
      <c r="BZZ1" t="s">
        <v>6322</v>
      </c>
      <c r="CAA1" t="s">
        <v>6323</v>
      </c>
      <c r="CAB1" t="s">
        <v>6324</v>
      </c>
      <c r="CAC1" t="s">
        <v>6325</v>
      </c>
      <c r="CAD1" t="s">
        <v>6326</v>
      </c>
      <c r="CAE1" t="s">
        <v>6327</v>
      </c>
      <c r="CAF1" t="s">
        <v>6328</v>
      </c>
      <c r="CAG1" t="s">
        <v>6329</v>
      </c>
      <c r="CAH1" t="s">
        <v>6330</v>
      </c>
      <c r="CAI1" t="s">
        <v>6331</v>
      </c>
      <c r="CAJ1" t="s">
        <v>6332</v>
      </c>
      <c r="CAK1" t="s">
        <v>6333</v>
      </c>
      <c r="CAL1" t="s">
        <v>6334</v>
      </c>
      <c r="CAM1" t="s">
        <v>6335</v>
      </c>
      <c r="CAN1" t="s">
        <v>6336</v>
      </c>
      <c r="CAO1" t="s">
        <v>6337</v>
      </c>
      <c r="CAP1" t="s">
        <v>6338</v>
      </c>
      <c r="CAQ1" t="s">
        <v>6339</v>
      </c>
      <c r="CAR1" t="s">
        <v>6340</v>
      </c>
      <c r="CAS1" t="s">
        <v>6341</v>
      </c>
      <c r="CAT1" t="s">
        <v>6342</v>
      </c>
      <c r="CAU1" t="s">
        <v>6343</v>
      </c>
      <c r="CAV1" t="s">
        <v>6344</v>
      </c>
      <c r="CAW1" t="s">
        <v>6345</v>
      </c>
      <c r="CAX1" t="s">
        <v>6346</v>
      </c>
      <c r="CAY1" t="s">
        <v>6347</v>
      </c>
      <c r="CAZ1" t="s">
        <v>6348</v>
      </c>
      <c r="CBA1" t="s">
        <v>6349</v>
      </c>
      <c r="CBB1" t="s">
        <v>6350</v>
      </c>
      <c r="CBC1" t="s">
        <v>6351</v>
      </c>
      <c r="CBD1" t="s">
        <v>6352</v>
      </c>
      <c r="CBE1" t="s">
        <v>6353</v>
      </c>
      <c r="CBF1" t="s">
        <v>6354</v>
      </c>
      <c r="CBG1" t="s">
        <v>6355</v>
      </c>
      <c r="CBH1" t="s">
        <v>6356</v>
      </c>
      <c r="CBI1" t="s">
        <v>6357</v>
      </c>
      <c r="CBJ1" t="s">
        <v>6358</v>
      </c>
      <c r="CBK1" t="s">
        <v>6359</v>
      </c>
      <c r="CBL1" t="s">
        <v>6360</v>
      </c>
      <c r="CBM1" t="s">
        <v>6361</v>
      </c>
      <c r="CBN1" t="s">
        <v>6362</v>
      </c>
      <c r="CBO1" t="s">
        <v>6363</v>
      </c>
      <c r="CBP1" t="s">
        <v>6364</v>
      </c>
      <c r="CBQ1" t="s">
        <v>6365</v>
      </c>
      <c r="CBR1" t="s">
        <v>6366</v>
      </c>
      <c r="CBS1" t="s">
        <v>6367</v>
      </c>
      <c r="CBT1" t="s">
        <v>6368</v>
      </c>
      <c r="CBU1" t="s">
        <v>6369</v>
      </c>
      <c r="CBV1" t="s">
        <v>6370</v>
      </c>
      <c r="CBW1" t="s">
        <v>6371</v>
      </c>
      <c r="CBX1" t="s">
        <v>6372</v>
      </c>
      <c r="CBY1" t="s">
        <v>6373</v>
      </c>
      <c r="CBZ1" t="s">
        <v>6374</v>
      </c>
      <c r="CCA1" t="s">
        <v>6375</v>
      </c>
      <c r="CCB1" t="s">
        <v>6376</v>
      </c>
      <c r="CCC1" t="s">
        <v>6377</v>
      </c>
      <c r="CCD1" t="s">
        <v>6378</v>
      </c>
      <c r="CCE1" t="s">
        <v>6379</v>
      </c>
      <c r="CCF1" t="s">
        <v>6380</v>
      </c>
      <c r="CCG1" t="s">
        <v>6381</v>
      </c>
      <c r="CCH1" t="s">
        <v>6382</v>
      </c>
      <c r="CCI1" t="s">
        <v>6383</v>
      </c>
      <c r="CCJ1" t="s">
        <v>6384</v>
      </c>
      <c r="CCK1" t="s">
        <v>6385</v>
      </c>
      <c r="CCL1" t="s">
        <v>6386</v>
      </c>
      <c r="CCM1" t="s">
        <v>6387</v>
      </c>
      <c r="CCN1" t="s">
        <v>6388</v>
      </c>
      <c r="CCO1" t="s">
        <v>6389</v>
      </c>
      <c r="CCP1" t="s">
        <v>6390</v>
      </c>
      <c r="CCQ1" t="s">
        <v>6391</v>
      </c>
      <c r="CCR1" t="s">
        <v>6392</v>
      </c>
      <c r="CCS1" t="s">
        <v>6393</v>
      </c>
      <c r="CCT1" t="s">
        <v>6394</v>
      </c>
      <c r="CCU1" t="s">
        <v>6395</v>
      </c>
      <c r="CCV1" t="s">
        <v>6396</v>
      </c>
      <c r="CCW1" t="s">
        <v>6397</v>
      </c>
      <c r="CCX1" t="s">
        <v>6398</v>
      </c>
      <c r="CCY1" t="s">
        <v>6399</v>
      </c>
      <c r="CCZ1" t="s">
        <v>6400</v>
      </c>
      <c r="CDA1" t="s">
        <v>6401</v>
      </c>
      <c r="CDB1" t="s">
        <v>6402</v>
      </c>
      <c r="CDC1" t="s">
        <v>6403</v>
      </c>
      <c r="CDD1" t="s">
        <v>6404</v>
      </c>
      <c r="CDE1" t="s">
        <v>6405</v>
      </c>
      <c r="CDF1" t="s">
        <v>6406</v>
      </c>
      <c r="CDG1" t="s">
        <v>6407</v>
      </c>
      <c r="CDH1" t="s">
        <v>6408</v>
      </c>
      <c r="CDI1" t="s">
        <v>6409</v>
      </c>
      <c r="CDJ1" t="s">
        <v>6410</v>
      </c>
      <c r="CDK1" t="s">
        <v>6411</v>
      </c>
      <c r="CDL1" t="s">
        <v>6412</v>
      </c>
      <c r="CDM1" t="s">
        <v>6413</v>
      </c>
      <c r="CDN1" t="s">
        <v>6414</v>
      </c>
      <c r="CDO1" t="s">
        <v>6415</v>
      </c>
      <c r="CDP1" t="s">
        <v>6416</v>
      </c>
      <c r="CDQ1" t="s">
        <v>6417</v>
      </c>
      <c r="CDR1" t="s">
        <v>6418</v>
      </c>
      <c r="CDS1" t="s">
        <v>6419</v>
      </c>
      <c r="CDT1" t="s">
        <v>6420</v>
      </c>
      <c r="CDU1" t="s">
        <v>6421</v>
      </c>
      <c r="CDV1" t="s">
        <v>6422</v>
      </c>
      <c r="CDW1" t="s">
        <v>6423</v>
      </c>
      <c r="CDX1" t="s">
        <v>6424</v>
      </c>
      <c r="CDY1" t="s">
        <v>6425</v>
      </c>
      <c r="CDZ1" t="s">
        <v>6426</v>
      </c>
      <c r="CEA1" t="s">
        <v>6427</v>
      </c>
      <c r="CEB1" t="s">
        <v>6428</v>
      </c>
      <c r="CEC1" t="s">
        <v>6429</v>
      </c>
      <c r="CED1" t="s">
        <v>6430</v>
      </c>
      <c r="CEE1" t="s">
        <v>6431</v>
      </c>
      <c r="CEF1" t="s">
        <v>6432</v>
      </c>
      <c r="CEG1" t="s">
        <v>6433</v>
      </c>
      <c r="CEH1" t="s">
        <v>6434</v>
      </c>
      <c r="CEI1" t="s">
        <v>6435</v>
      </c>
      <c r="CEJ1" t="s">
        <v>6436</v>
      </c>
      <c r="CEK1" t="s">
        <v>6437</v>
      </c>
      <c r="CEL1" t="s">
        <v>6438</v>
      </c>
      <c r="CEM1" t="s">
        <v>6439</v>
      </c>
      <c r="CEN1" t="s">
        <v>6440</v>
      </c>
      <c r="CEO1" t="s">
        <v>6441</v>
      </c>
      <c r="CEP1" t="s">
        <v>6442</v>
      </c>
      <c r="CEQ1" t="s">
        <v>6443</v>
      </c>
      <c r="CER1" t="s">
        <v>6444</v>
      </c>
      <c r="CES1" t="s">
        <v>6445</v>
      </c>
      <c r="CET1" t="s">
        <v>6446</v>
      </c>
      <c r="CEU1" t="s">
        <v>6447</v>
      </c>
      <c r="CEV1" t="s">
        <v>6448</v>
      </c>
      <c r="CEW1" t="s">
        <v>6449</v>
      </c>
      <c r="CEX1" t="s">
        <v>6450</v>
      </c>
      <c r="CEY1" t="s">
        <v>6451</v>
      </c>
      <c r="CEZ1" t="s">
        <v>6452</v>
      </c>
      <c r="CFA1" t="s">
        <v>6453</v>
      </c>
      <c r="CFB1" t="s">
        <v>6454</v>
      </c>
      <c r="CFC1" t="s">
        <v>6455</v>
      </c>
      <c r="CFD1" t="s">
        <v>6456</v>
      </c>
      <c r="CFE1" t="s">
        <v>6457</v>
      </c>
      <c r="CFF1" t="s">
        <v>6458</v>
      </c>
      <c r="CFG1" t="s">
        <v>6459</v>
      </c>
      <c r="CFH1" t="s">
        <v>6460</v>
      </c>
      <c r="CFI1" t="s">
        <v>6461</v>
      </c>
      <c r="CFJ1" t="s">
        <v>6462</v>
      </c>
      <c r="CFK1" t="s">
        <v>6463</v>
      </c>
      <c r="CFL1" t="s">
        <v>6464</v>
      </c>
      <c r="CFM1" t="s">
        <v>6465</v>
      </c>
      <c r="CFN1" t="s">
        <v>6466</v>
      </c>
      <c r="CFO1" t="s">
        <v>6467</v>
      </c>
      <c r="CFP1" t="s">
        <v>6468</v>
      </c>
      <c r="CFQ1" t="s">
        <v>6469</v>
      </c>
      <c r="CFR1" t="s">
        <v>6470</v>
      </c>
      <c r="CFS1" t="s">
        <v>6471</v>
      </c>
      <c r="CFT1" t="s">
        <v>6472</v>
      </c>
      <c r="CFU1" t="s">
        <v>6473</v>
      </c>
      <c r="CFV1" t="s">
        <v>6474</v>
      </c>
      <c r="CFW1" t="s">
        <v>6475</v>
      </c>
      <c r="CFX1" t="s">
        <v>6476</v>
      </c>
      <c r="CFY1" t="s">
        <v>6477</v>
      </c>
      <c r="CFZ1" t="s">
        <v>6478</v>
      </c>
      <c r="CGA1" t="s">
        <v>6479</v>
      </c>
      <c r="CGB1" t="s">
        <v>6480</v>
      </c>
      <c r="CGC1" t="s">
        <v>6481</v>
      </c>
      <c r="CGD1" t="s">
        <v>6482</v>
      </c>
      <c r="CGE1" t="s">
        <v>6483</v>
      </c>
      <c r="CGF1" t="s">
        <v>6484</v>
      </c>
      <c r="CGG1" t="s">
        <v>6485</v>
      </c>
      <c r="CGH1" t="s">
        <v>6486</v>
      </c>
      <c r="CGI1" t="s">
        <v>6487</v>
      </c>
      <c r="CGJ1" t="s">
        <v>6488</v>
      </c>
      <c r="CGK1" t="s">
        <v>6489</v>
      </c>
      <c r="CGL1" t="s">
        <v>6490</v>
      </c>
      <c r="CGM1" t="s">
        <v>6491</v>
      </c>
      <c r="CGN1" t="s">
        <v>6492</v>
      </c>
      <c r="CGO1" t="s">
        <v>6493</v>
      </c>
      <c r="CGP1" t="s">
        <v>6494</v>
      </c>
      <c r="CGQ1" t="s">
        <v>6495</v>
      </c>
      <c r="CGR1" t="s">
        <v>6496</v>
      </c>
      <c r="CGS1" t="s">
        <v>6497</v>
      </c>
      <c r="CGT1" t="s">
        <v>6498</v>
      </c>
      <c r="CGU1" t="s">
        <v>6499</v>
      </c>
      <c r="CGV1" t="s">
        <v>6500</v>
      </c>
      <c r="CGW1" t="s">
        <v>6501</v>
      </c>
      <c r="CGX1" t="s">
        <v>6502</v>
      </c>
      <c r="CGY1" t="s">
        <v>6503</v>
      </c>
      <c r="CGZ1" t="s">
        <v>6504</v>
      </c>
      <c r="CHA1" t="s">
        <v>6505</v>
      </c>
      <c r="CHB1" t="s">
        <v>6506</v>
      </c>
      <c r="CHC1" t="s">
        <v>6507</v>
      </c>
      <c r="CHD1" t="s">
        <v>6508</v>
      </c>
      <c r="CHE1" t="s">
        <v>6509</v>
      </c>
      <c r="CHF1" t="s">
        <v>6510</v>
      </c>
      <c r="CHG1" t="s">
        <v>6511</v>
      </c>
      <c r="CHH1" t="s">
        <v>6512</v>
      </c>
      <c r="CHI1" t="s">
        <v>6513</v>
      </c>
      <c r="CHJ1" t="s">
        <v>6514</v>
      </c>
      <c r="CHK1" t="s">
        <v>6515</v>
      </c>
      <c r="CHL1" t="s">
        <v>6516</v>
      </c>
      <c r="CHM1" t="s">
        <v>6517</v>
      </c>
      <c r="CHN1" t="s">
        <v>6518</v>
      </c>
      <c r="CHO1" t="s">
        <v>6519</v>
      </c>
      <c r="CHP1" t="s">
        <v>6520</v>
      </c>
      <c r="CHQ1" t="s">
        <v>6521</v>
      </c>
      <c r="CHR1" t="s">
        <v>6522</v>
      </c>
      <c r="CHS1" t="s">
        <v>6523</v>
      </c>
      <c r="CHT1" t="s">
        <v>6524</v>
      </c>
      <c r="CHU1" t="s">
        <v>6525</v>
      </c>
      <c r="CHV1" t="s">
        <v>6526</v>
      </c>
      <c r="CHW1" t="s">
        <v>6527</v>
      </c>
      <c r="CHX1" t="s">
        <v>6528</v>
      </c>
      <c r="CHY1" t="s">
        <v>6529</v>
      </c>
      <c r="CHZ1" t="s">
        <v>6530</v>
      </c>
      <c r="CIA1" t="s">
        <v>6531</v>
      </c>
      <c r="CIB1" t="s">
        <v>6532</v>
      </c>
      <c r="CIC1" t="s">
        <v>6533</v>
      </c>
      <c r="CID1" t="s">
        <v>6534</v>
      </c>
      <c r="CIE1" t="s">
        <v>6535</v>
      </c>
      <c r="CIF1" t="s">
        <v>6536</v>
      </c>
      <c r="CIG1" t="s">
        <v>6537</v>
      </c>
      <c r="CIH1" t="s">
        <v>6538</v>
      </c>
      <c r="CII1" t="s">
        <v>6539</v>
      </c>
      <c r="CIJ1" t="s">
        <v>6540</v>
      </c>
      <c r="CIK1" t="s">
        <v>6541</v>
      </c>
      <c r="CIL1" t="s">
        <v>6542</v>
      </c>
      <c r="CIM1" t="s">
        <v>6543</v>
      </c>
      <c r="CIN1" t="s">
        <v>6544</v>
      </c>
      <c r="CIO1" t="s">
        <v>6545</v>
      </c>
      <c r="CIP1" t="s">
        <v>6546</v>
      </c>
      <c r="CIQ1" t="s">
        <v>6547</v>
      </c>
      <c r="CIR1" t="s">
        <v>6548</v>
      </c>
      <c r="CIS1" t="s">
        <v>6549</v>
      </c>
      <c r="CIT1" t="s">
        <v>6550</v>
      </c>
      <c r="CIU1" t="s">
        <v>6551</v>
      </c>
      <c r="CIV1" t="s">
        <v>6552</v>
      </c>
      <c r="CIW1" t="s">
        <v>6553</v>
      </c>
      <c r="CIX1" t="s">
        <v>6554</v>
      </c>
      <c r="CIY1" t="s">
        <v>6555</v>
      </c>
      <c r="CIZ1" t="s">
        <v>6556</v>
      </c>
      <c r="CJA1" t="s">
        <v>6557</v>
      </c>
      <c r="CJB1" t="s">
        <v>6558</v>
      </c>
      <c r="CJC1" t="s">
        <v>6559</v>
      </c>
      <c r="CJD1" t="s">
        <v>6560</v>
      </c>
      <c r="CJE1" t="s">
        <v>6561</v>
      </c>
      <c r="CJF1" t="s">
        <v>6562</v>
      </c>
      <c r="CJG1" t="s">
        <v>6563</v>
      </c>
      <c r="CJH1" t="s">
        <v>6564</v>
      </c>
      <c r="CJI1" t="s">
        <v>6565</v>
      </c>
      <c r="CJJ1" t="s">
        <v>6566</v>
      </c>
      <c r="CJK1" t="s">
        <v>6567</v>
      </c>
      <c r="CJL1" t="s">
        <v>6568</v>
      </c>
      <c r="CJM1" t="s">
        <v>6569</v>
      </c>
      <c r="CJN1" t="s">
        <v>6570</v>
      </c>
      <c r="CJO1" t="s">
        <v>6571</v>
      </c>
      <c r="CJP1" t="s">
        <v>6572</v>
      </c>
      <c r="CJQ1" t="s">
        <v>6573</v>
      </c>
      <c r="CJR1" t="s">
        <v>6574</v>
      </c>
      <c r="CJS1" t="s">
        <v>6575</v>
      </c>
      <c r="CJT1" t="s">
        <v>6576</v>
      </c>
      <c r="CJU1" t="s">
        <v>6577</v>
      </c>
      <c r="CJV1" t="s">
        <v>6578</v>
      </c>
      <c r="CJW1" t="s">
        <v>6579</v>
      </c>
      <c r="CJX1" t="s">
        <v>6580</v>
      </c>
      <c r="CJY1" t="s">
        <v>6581</v>
      </c>
      <c r="CJZ1" t="s">
        <v>6582</v>
      </c>
      <c r="CKA1" t="s">
        <v>6583</v>
      </c>
      <c r="CKB1" t="s">
        <v>6584</v>
      </c>
      <c r="CKC1" t="s">
        <v>6585</v>
      </c>
      <c r="CKD1" t="s">
        <v>6586</v>
      </c>
      <c r="CKE1" t="s">
        <v>6587</v>
      </c>
      <c r="CKF1" t="s">
        <v>6588</v>
      </c>
      <c r="CKG1" t="s">
        <v>6589</v>
      </c>
      <c r="CKH1" t="s">
        <v>6590</v>
      </c>
      <c r="CKI1" t="s">
        <v>6591</v>
      </c>
      <c r="CKJ1" t="s">
        <v>6592</v>
      </c>
      <c r="CKK1" t="s">
        <v>6593</v>
      </c>
      <c r="CKL1" t="s">
        <v>6594</v>
      </c>
      <c r="CKM1" t="s">
        <v>6595</v>
      </c>
      <c r="CKN1" t="s">
        <v>6596</v>
      </c>
      <c r="CKO1" t="s">
        <v>6597</v>
      </c>
      <c r="CKP1" t="s">
        <v>6598</v>
      </c>
      <c r="CKQ1" t="s">
        <v>6599</v>
      </c>
      <c r="CKR1" t="s">
        <v>6600</v>
      </c>
      <c r="CKS1" t="s">
        <v>6601</v>
      </c>
      <c r="CKT1" t="s">
        <v>6602</v>
      </c>
      <c r="CKU1" t="s">
        <v>6603</v>
      </c>
      <c r="CKV1" t="s">
        <v>6604</v>
      </c>
      <c r="CKW1" t="s">
        <v>6605</v>
      </c>
      <c r="CKX1" t="s">
        <v>6606</v>
      </c>
      <c r="CKY1" t="s">
        <v>6607</v>
      </c>
      <c r="CKZ1" t="s">
        <v>6608</v>
      </c>
      <c r="CLA1" t="s">
        <v>6609</v>
      </c>
      <c r="CLB1" t="s">
        <v>6610</v>
      </c>
      <c r="CLC1" t="s">
        <v>6611</v>
      </c>
      <c r="CLD1" t="s">
        <v>6612</v>
      </c>
      <c r="CLE1" t="s">
        <v>6613</v>
      </c>
      <c r="CLF1" t="s">
        <v>6614</v>
      </c>
      <c r="CLG1" t="s">
        <v>6615</v>
      </c>
      <c r="CLH1" t="s">
        <v>6616</v>
      </c>
      <c r="CLI1" t="s">
        <v>6617</v>
      </c>
      <c r="CLJ1" t="s">
        <v>6618</v>
      </c>
      <c r="CLK1" t="s">
        <v>6619</v>
      </c>
      <c r="CLL1" t="s">
        <v>6620</v>
      </c>
      <c r="CLM1" t="s">
        <v>6621</v>
      </c>
      <c r="CLN1" t="s">
        <v>6622</v>
      </c>
      <c r="CLO1" t="s">
        <v>6623</v>
      </c>
      <c r="CLP1" t="s">
        <v>6624</v>
      </c>
      <c r="CLQ1" t="s">
        <v>6625</v>
      </c>
      <c r="CLR1" t="s">
        <v>6626</v>
      </c>
      <c r="CLS1" t="s">
        <v>6627</v>
      </c>
      <c r="CLT1" t="s">
        <v>6628</v>
      </c>
      <c r="CLU1" t="s">
        <v>6629</v>
      </c>
      <c r="CLV1" t="s">
        <v>6630</v>
      </c>
      <c r="CLW1" t="s">
        <v>6631</v>
      </c>
      <c r="CLX1" t="s">
        <v>6632</v>
      </c>
      <c r="CLY1" t="s">
        <v>6633</v>
      </c>
      <c r="CLZ1" t="s">
        <v>6634</v>
      </c>
      <c r="CMA1" t="s">
        <v>6635</v>
      </c>
      <c r="CMB1" t="s">
        <v>6636</v>
      </c>
      <c r="CMC1" t="s">
        <v>6637</v>
      </c>
      <c r="CMD1" t="s">
        <v>6638</v>
      </c>
      <c r="CME1" t="s">
        <v>6639</v>
      </c>
      <c r="CMF1" t="s">
        <v>6640</v>
      </c>
      <c r="CMG1" t="s">
        <v>6641</v>
      </c>
      <c r="CMH1" t="s">
        <v>6642</v>
      </c>
      <c r="CMI1" t="s">
        <v>6643</v>
      </c>
      <c r="CMJ1" t="s">
        <v>6644</v>
      </c>
      <c r="CMK1" t="s">
        <v>6645</v>
      </c>
      <c r="CML1" t="s">
        <v>6646</v>
      </c>
      <c r="CMM1" t="s">
        <v>6647</v>
      </c>
      <c r="CMN1" t="s">
        <v>6648</v>
      </c>
      <c r="CMO1" t="s">
        <v>6649</v>
      </c>
      <c r="CMP1" t="s">
        <v>6650</v>
      </c>
      <c r="CMQ1" t="s">
        <v>6651</v>
      </c>
      <c r="CMR1" t="s">
        <v>6652</v>
      </c>
      <c r="CMS1" t="s">
        <v>6653</v>
      </c>
      <c r="CMT1" t="s">
        <v>6654</v>
      </c>
      <c r="CMU1" t="s">
        <v>6655</v>
      </c>
      <c r="CMV1" t="s">
        <v>6656</v>
      </c>
      <c r="CMW1" t="s">
        <v>6657</v>
      </c>
      <c r="CMX1" t="s">
        <v>6658</v>
      </c>
      <c r="CMY1" t="s">
        <v>6659</v>
      </c>
      <c r="CMZ1" t="s">
        <v>6660</v>
      </c>
      <c r="CNA1" t="s">
        <v>6661</v>
      </c>
      <c r="CNB1" t="s">
        <v>6662</v>
      </c>
      <c r="CNC1" t="s">
        <v>6663</v>
      </c>
      <c r="CND1" t="s">
        <v>6664</v>
      </c>
      <c r="CNE1" t="s">
        <v>6665</v>
      </c>
      <c r="CNF1" t="s">
        <v>6666</v>
      </c>
      <c r="CNG1" t="s">
        <v>6667</v>
      </c>
      <c r="CNH1" t="s">
        <v>6668</v>
      </c>
      <c r="CNI1" t="s">
        <v>6669</v>
      </c>
      <c r="CNJ1" t="s">
        <v>6670</v>
      </c>
      <c r="CNK1" t="s">
        <v>6671</v>
      </c>
      <c r="CNL1" t="s">
        <v>6672</v>
      </c>
      <c r="CNM1" t="s">
        <v>6673</v>
      </c>
      <c r="CNN1" t="s">
        <v>6674</v>
      </c>
      <c r="CNO1" t="s">
        <v>6675</v>
      </c>
      <c r="CNP1" t="s">
        <v>6676</v>
      </c>
      <c r="CNQ1" t="s">
        <v>6677</v>
      </c>
      <c r="CNR1" t="s">
        <v>6678</v>
      </c>
      <c r="CNS1" t="s">
        <v>6679</v>
      </c>
      <c r="CNT1" t="s">
        <v>6680</v>
      </c>
      <c r="CNU1" t="s">
        <v>6681</v>
      </c>
      <c r="CNV1" t="s">
        <v>6682</v>
      </c>
      <c r="CNW1" t="s">
        <v>6683</v>
      </c>
      <c r="CNX1" t="s">
        <v>6684</v>
      </c>
      <c r="CNY1" t="s">
        <v>6685</v>
      </c>
      <c r="CNZ1" t="s">
        <v>6686</v>
      </c>
      <c r="COA1" t="s">
        <v>6687</v>
      </c>
      <c r="COB1" t="s">
        <v>6688</v>
      </c>
      <c r="COC1" t="s">
        <v>6689</v>
      </c>
      <c r="COD1" t="s">
        <v>6690</v>
      </c>
      <c r="COE1" t="s">
        <v>6691</v>
      </c>
      <c r="COF1" t="s">
        <v>6692</v>
      </c>
      <c r="COG1" t="s">
        <v>6693</v>
      </c>
      <c r="COH1" t="s">
        <v>6694</v>
      </c>
      <c r="COI1" t="s">
        <v>6695</v>
      </c>
      <c r="COJ1" t="s">
        <v>6696</v>
      </c>
      <c r="COK1" t="s">
        <v>6697</v>
      </c>
      <c r="COL1" t="s">
        <v>6698</v>
      </c>
      <c r="COM1" t="s">
        <v>6699</v>
      </c>
      <c r="CON1" t="s">
        <v>6700</v>
      </c>
      <c r="COO1" t="s">
        <v>6701</v>
      </c>
      <c r="COP1" t="s">
        <v>6702</v>
      </c>
      <c r="COQ1" t="s">
        <v>6703</v>
      </c>
      <c r="COR1" t="s">
        <v>6704</v>
      </c>
      <c r="COS1" t="s">
        <v>6705</v>
      </c>
      <c r="COT1" t="s">
        <v>6706</v>
      </c>
      <c r="COU1" t="s">
        <v>6707</v>
      </c>
      <c r="COV1" t="s">
        <v>6708</v>
      </c>
      <c r="COW1" t="s">
        <v>6709</v>
      </c>
      <c r="COX1" t="s">
        <v>6710</v>
      </c>
      <c r="COY1" t="s">
        <v>6711</v>
      </c>
      <c r="COZ1" t="s">
        <v>6712</v>
      </c>
      <c r="CPA1" t="s">
        <v>6713</v>
      </c>
      <c r="CPB1" t="s">
        <v>6714</v>
      </c>
      <c r="CPC1" t="s">
        <v>6715</v>
      </c>
      <c r="CPD1" t="s">
        <v>6716</v>
      </c>
      <c r="CPE1" t="s">
        <v>6717</v>
      </c>
      <c r="CPF1" t="s">
        <v>6718</v>
      </c>
      <c r="CPG1" t="s">
        <v>6719</v>
      </c>
      <c r="CPH1" t="s">
        <v>6720</v>
      </c>
      <c r="CPI1" t="s">
        <v>6721</v>
      </c>
      <c r="CPJ1" t="s">
        <v>6722</v>
      </c>
      <c r="CPK1" t="s">
        <v>6723</v>
      </c>
      <c r="CPL1" t="s">
        <v>6724</v>
      </c>
      <c r="CPM1" t="s">
        <v>6725</v>
      </c>
      <c r="CPN1" t="s">
        <v>6726</v>
      </c>
      <c r="CPO1" t="s">
        <v>6727</v>
      </c>
      <c r="CPP1" t="s">
        <v>6728</v>
      </c>
      <c r="CPQ1" t="s">
        <v>6729</v>
      </c>
      <c r="CPR1" t="s">
        <v>6730</v>
      </c>
      <c r="CPS1" t="s">
        <v>6731</v>
      </c>
      <c r="CPT1" t="s">
        <v>6732</v>
      </c>
      <c r="CPU1" t="s">
        <v>6733</v>
      </c>
      <c r="CPV1" t="s">
        <v>6734</v>
      </c>
      <c r="CPW1" t="s">
        <v>6735</v>
      </c>
      <c r="CPX1" t="s">
        <v>6736</v>
      </c>
      <c r="CPY1" t="s">
        <v>6737</v>
      </c>
      <c r="CPZ1" t="s">
        <v>6738</v>
      </c>
      <c r="CQA1" t="s">
        <v>6739</v>
      </c>
      <c r="CQB1" t="s">
        <v>6740</v>
      </c>
      <c r="CQC1" t="s">
        <v>6741</v>
      </c>
      <c r="CQD1" t="s">
        <v>6742</v>
      </c>
      <c r="CQE1" t="s">
        <v>6743</v>
      </c>
      <c r="CQF1" t="s">
        <v>6744</v>
      </c>
      <c r="CQG1" t="s">
        <v>6745</v>
      </c>
      <c r="CQH1" t="s">
        <v>6746</v>
      </c>
      <c r="CQI1" t="s">
        <v>6747</v>
      </c>
      <c r="CQJ1" t="s">
        <v>6748</v>
      </c>
      <c r="CQK1" t="s">
        <v>6749</v>
      </c>
      <c r="CQL1" t="s">
        <v>6750</v>
      </c>
      <c r="CQM1" t="s">
        <v>6751</v>
      </c>
      <c r="CQN1" t="s">
        <v>6752</v>
      </c>
      <c r="CQO1" t="s">
        <v>6753</v>
      </c>
      <c r="CQP1" t="s">
        <v>6754</v>
      </c>
      <c r="CQQ1" t="s">
        <v>6755</v>
      </c>
      <c r="CQR1" t="s">
        <v>6756</v>
      </c>
      <c r="CQS1" t="s">
        <v>6757</v>
      </c>
      <c r="CQT1" t="s">
        <v>6758</v>
      </c>
      <c r="CQU1" t="s">
        <v>6759</v>
      </c>
      <c r="CQV1" t="s">
        <v>6760</v>
      </c>
      <c r="CQW1" t="s">
        <v>6761</v>
      </c>
      <c r="CQX1" t="s">
        <v>6762</v>
      </c>
      <c r="CQY1" t="s">
        <v>6763</v>
      </c>
      <c r="CQZ1" t="s">
        <v>6764</v>
      </c>
      <c r="CRA1" t="s">
        <v>6765</v>
      </c>
      <c r="CRB1" t="s">
        <v>6766</v>
      </c>
      <c r="CRC1" t="s">
        <v>6767</v>
      </c>
      <c r="CRD1" t="s">
        <v>6768</v>
      </c>
      <c r="CRE1" t="s">
        <v>6769</v>
      </c>
      <c r="CRF1" t="s">
        <v>6770</v>
      </c>
      <c r="CRG1" t="s">
        <v>6771</v>
      </c>
      <c r="CRH1" t="s">
        <v>6772</v>
      </c>
      <c r="CRI1" t="s">
        <v>6773</v>
      </c>
      <c r="CRJ1" t="s">
        <v>6774</v>
      </c>
      <c r="CRK1" t="s">
        <v>6775</v>
      </c>
      <c r="CRL1" t="s">
        <v>6776</v>
      </c>
      <c r="CRM1" t="s">
        <v>6777</v>
      </c>
      <c r="CRN1" t="s">
        <v>6778</v>
      </c>
      <c r="CRO1" t="s">
        <v>6779</v>
      </c>
      <c r="CRP1" t="s">
        <v>6780</v>
      </c>
      <c r="CRQ1" t="s">
        <v>6781</v>
      </c>
      <c r="CRR1" t="s">
        <v>6782</v>
      </c>
      <c r="CRS1" t="s">
        <v>6783</v>
      </c>
      <c r="CRT1" t="s">
        <v>6784</v>
      </c>
      <c r="CRU1" t="s">
        <v>6785</v>
      </c>
      <c r="CRV1" t="s">
        <v>6786</v>
      </c>
      <c r="CRW1" t="s">
        <v>6787</v>
      </c>
      <c r="CRX1" t="s">
        <v>6788</v>
      </c>
      <c r="CRY1" t="s">
        <v>6789</v>
      </c>
      <c r="CRZ1" t="s">
        <v>6790</v>
      </c>
      <c r="CSA1" t="s">
        <v>6791</v>
      </c>
      <c r="CSB1" t="s">
        <v>6792</v>
      </c>
      <c r="CSC1" t="s">
        <v>6793</v>
      </c>
      <c r="CSD1" t="s">
        <v>6794</v>
      </c>
      <c r="CSE1" t="s">
        <v>6795</v>
      </c>
      <c r="CSF1" t="s">
        <v>6796</v>
      </c>
      <c r="CSG1" t="s">
        <v>6797</v>
      </c>
      <c r="CSH1" t="s">
        <v>6798</v>
      </c>
      <c r="CSI1" t="s">
        <v>6799</v>
      </c>
      <c r="CSJ1" t="s">
        <v>6800</v>
      </c>
      <c r="CSK1" t="s">
        <v>6801</v>
      </c>
      <c r="CSL1" t="s">
        <v>6802</v>
      </c>
      <c r="CSM1" t="s">
        <v>6803</v>
      </c>
      <c r="CSN1" t="s">
        <v>6804</v>
      </c>
      <c r="CSO1" t="s">
        <v>6805</v>
      </c>
      <c r="CSP1" t="s">
        <v>6806</v>
      </c>
      <c r="CSQ1" t="s">
        <v>6807</v>
      </c>
      <c r="CSR1" t="s">
        <v>6808</v>
      </c>
      <c r="CSS1" t="s">
        <v>6809</v>
      </c>
      <c r="CST1" t="s">
        <v>6810</v>
      </c>
      <c r="CSU1" t="s">
        <v>6811</v>
      </c>
      <c r="CSV1" t="s">
        <v>6812</v>
      </c>
      <c r="CSW1" t="s">
        <v>6813</v>
      </c>
      <c r="CSX1" t="s">
        <v>6814</v>
      </c>
      <c r="CSY1" t="s">
        <v>6815</v>
      </c>
      <c r="CSZ1" t="s">
        <v>6816</v>
      </c>
      <c r="CTA1" t="s">
        <v>6817</v>
      </c>
      <c r="CTB1" t="s">
        <v>6818</v>
      </c>
      <c r="CTC1" t="s">
        <v>6819</v>
      </c>
      <c r="CTD1" t="s">
        <v>6820</v>
      </c>
      <c r="CTE1" t="s">
        <v>6821</v>
      </c>
      <c r="CTF1" t="s">
        <v>6822</v>
      </c>
      <c r="CTG1" t="s">
        <v>6823</v>
      </c>
      <c r="CTH1" t="s">
        <v>6824</v>
      </c>
      <c r="CTI1" t="s">
        <v>6825</v>
      </c>
      <c r="CTJ1" t="s">
        <v>6826</v>
      </c>
      <c r="CTK1" t="s">
        <v>6827</v>
      </c>
      <c r="CTL1" t="s">
        <v>6828</v>
      </c>
      <c r="CTM1" t="s">
        <v>6829</v>
      </c>
      <c r="CTN1" t="s">
        <v>6830</v>
      </c>
      <c r="CTO1" t="s">
        <v>6831</v>
      </c>
      <c r="CTP1" t="s">
        <v>6832</v>
      </c>
      <c r="CTQ1" t="s">
        <v>6833</v>
      </c>
      <c r="CTR1" t="s">
        <v>6834</v>
      </c>
      <c r="CTS1" t="s">
        <v>6835</v>
      </c>
      <c r="CTT1" t="s">
        <v>6836</v>
      </c>
      <c r="CTU1" t="s">
        <v>6837</v>
      </c>
      <c r="CTV1" t="s">
        <v>6838</v>
      </c>
      <c r="CTW1" t="s">
        <v>6839</v>
      </c>
      <c r="CTX1" t="s">
        <v>6840</v>
      </c>
      <c r="CTY1" t="s">
        <v>6841</v>
      </c>
      <c r="CTZ1" t="s">
        <v>6842</v>
      </c>
      <c r="CUA1" t="s">
        <v>6843</v>
      </c>
      <c r="CUB1" t="s">
        <v>6844</v>
      </c>
      <c r="CUC1" t="s">
        <v>6845</v>
      </c>
      <c r="CUD1" t="s">
        <v>6846</v>
      </c>
      <c r="CUE1" t="s">
        <v>6847</v>
      </c>
      <c r="CUF1" t="s">
        <v>6848</v>
      </c>
      <c r="CUG1" t="s">
        <v>6849</v>
      </c>
      <c r="CUH1" t="s">
        <v>6850</v>
      </c>
      <c r="CUI1" t="s">
        <v>6851</v>
      </c>
      <c r="CUJ1" t="s">
        <v>6852</v>
      </c>
      <c r="CUK1" t="s">
        <v>6853</v>
      </c>
      <c r="CUL1" t="s">
        <v>6854</v>
      </c>
      <c r="CUM1" t="s">
        <v>6855</v>
      </c>
      <c r="CUN1" t="s">
        <v>6856</v>
      </c>
      <c r="CUO1" t="s">
        <v>6857</v>
      </c>
      <c r="CUP1" t="s">
        <v>6858</v>
      </c>
      <c r="CUQ1" t="s">
        <v>6859</v>
      </c>
      <c r="CUR1" t="s">
        <v>6860</v>
      </c>
      <c r="CUS1" t="s">
        <v>6861</v>
      </c>
      <c r="CUT1" t="s">
        <v>6862</v>
      </c>
      <c r="CUU1" t="s">
        <v>6863</v>
      </c>
      <c r="CUV1" t="s">
        <v>6864</v>
      </c>
      <c r="CUW1" t="s">
        <v>6865</v>
      </c>
      <c r="CUX1" t="s">
        <v>6866</v>
      </c>
      <c r="CUY1" t="s">
        <v>6867</v>
      </c>
      <c r="CUZ1" t="s">
        <v>6868</v>
      </c>
      <c r="CVA1" t="s">
        <v>6869</v>
      </c>
      <c r="CVB1" t="s">
        <v>6870</v>
      </c>
      <c r="CVC1" t="s">
        <v>6871</v>
      </c>
      <c r="CVD1" t="s">
        <v>6872</v>
      </c>
      <c r="CVE1" t="s">
        <v>6873</v>
      </c>
      <c r="CVF1" t="s">
        <v>6874</v>
      </c>
      <c r="CVG1" t="s">
        <v>6875</v>
      </c>
      <c r="CVH1" t="s">
        <v>6876</v>
      </c>
      <c r="CVI1" t="s">
        <v>6877</v>
      </c>
      <c r="CVJ1" t="s">
        <v>6878</v>
      </c>
      <c r="CVK1" t="s">
        <v>6879</v>
      </c>
      <c r="CVL1" t="s">
        <v>6880</v>
      </c>
      <c r="CVM1" t="s">
        <v>6881</v>
      </c>
      <c r="CVN1" t="s">
        <v>6882</v>
      </c>
      <c r="CVO1" t="s">
        <v>6883</v>
      </c>
      <c r="CVP1" t="s">
        <v>6884</v>
      </c>
      <c r="CVQ1" t="s">
        <v>6885</v>
      </c>
      <c r="CVR1" t="s">
        <v>6886</v>
      </c>
      <c r="CVS1" t="s">
        <v>6887</v>
      </c>
      <c r="CVT1" t="s">
        <v>6888</v>
      </c>
      <c r="CVU1" t="s">
        <v>6889</v>
      </c>
      <c r="CVV1" t="s">
        <v>6890</v>
      </c>
      <c r="CVW1" t="s">
        <v>6891</v>
      </c>
      <c r="CVX1" t="s">
        <v>6892</v>
      </c>
      <c r="CVY1" t="s">
        <v>6893</v>
      </c>
      <c r="CVZ1" t="s">
        <v>6894</v>
      </c>
      <c r="CWA1" t="s">
        <v>6895</v>
      </c>
      <c r="CWB1" t="s">
        <v>6896</v>
      </c>
      <c r="CWC1" t="s">
        <v>6897</v>
      </c>
      <c r="CWD1" t="s">
        <v>6898</v>
      </c>
      <c r="CWE1" t="s">
        <v>6899</v>
      </c>
      <c r="CWF1" t="s">
        <v>6900</v>
      </c>
      <c r="CWG1" t="s">
        <v>6901</v>
      </c>
      <c r="CWH1" t="s">
        <v>6902</v>
      </c>
      <c r="CWI1" t="s">
        <v>6903</v>
      </c>
      <c r="CWJ1" t="s">
        <v>6904</v>
      </c>
      <c r="CWK1" t="s">
        <v>6905</v>
      </c>
      <c r="CWL1" t="s">
        <v>6906</v>
      </c>
      <c r="CWM1" t="s">
        <v>6907</v>
      </c>
      <c r="CWN1" t="s">
        <v>6908</v>
      </c>
      <c r="CWO1" t="s">
        <v>6909</v>
      </c>
      <c r="CWP1" t="s">
        <v>6910</v>
      </c>
      <c r="CWQ1" t="s">
        <v>6911</v>
      </c>
      <c r="CWR1" t="s">
        <v>6912</v>
      </c>
      <c r="CWS1" t="s">
        <v>6913</v>
      </c>
      <c r="CWT1" t="s">
        <v>6914</v>
      </c>
      <c r="CWU1" t="s">
        <v>6915</v>
      </c>
      <c r="CWV1" t="s">
        <v>6916</v>
      </c>
      <c r="CWW1" t="s">
        <v>6917</v>
      </c>
      <c r="CWX1" t="s">
        <v>6918</v>
      </c>
      <c r="CWY1" t="s">
        <v>6919</v>
      </c>
      <c r="CWZ1" t="s">
        <v>6920</v>
      </c>
      <c r="CXA1" t="s">
        <v>6921</v>
      </c>
      <c r="CXB1" t="s">
        <v>6922</v>
      </c>
      <c r="CXC1" t="s">
        <v>6923</v>
      </c>
      <c r="CXD1" t="s">
        <v>6924</v>
      </c>
      <c r="CXE1" t="s">
        <v>6925</v>
      </c>
      <c r="CXF1" t="s">
        <v>6926</v>
      </c>
      <c r="CXG1" t="s">
        <v>6927</v>
      </c>
      <c r="CXH1" t="s">
        <v>6928</v>
      </c>
      <c r="CXI1" t="s">
        <v>6929</v>
      </c>
      <c r="CXJ1" t="s">
        <v>6930</v>
      </c>
      <c r="CXK1" t="s">
        <v>6931</v>
      </c>
      <c r="CXL1" t="s">
        <v>6932</v>
      </c>
      <c r="CXM1" t="s">
        <v>6933</v>
      </c>
      <c r="CXN1" t="s">
        <v>6934</v>
      </c>
      <c r="CXO1" t="s">
        <v>6935</v>
      </c>
      <c r="CXP1" t="s">
        <v>6936</v>
      </c>
      <c r="CXQ1" t="s">
        <v>6937</v>
      </c>
      <c r="CXR1" t="s">
        <v>6938</v>
      </c>
      <c r="CXS1" t="s">
        <v>6939</v>
      </c>
      <c r="CXT1" t="s">
        <v>6940</v>
      </c>
      <c r="CXU1" t="s">
        <v>6941</v>
      </c>
      <c r="CXV1" t="s">
        <v>6942</v>
      </c>
      <c r="CXW1" t="s">
        <v>6943</v>
      </c>
      <c r="CXX1" t="s">
        <v>6944</v>
      </c>
      <c r="CXY1" t="s">
        <v>6945</v>
      </c>
      <c r="CXZ1" t="s">
        <v>6946</v>
      </c>
      <c r="CYA1" t="s">
        <v>6947</v>
      </c>
      <c r="CYB1" t="s">
        <v>6948</v>
      </c>
      <c r="CYC1" t="s">
        <v>6949</v>
      </c>
      <c r="CYD1" t="s">
        <v>6950</v>
      </c>
      <c r="CYE1" t="s">
        <v>6951</v>
      </c>
      <c r="CYF1" t="s">
        <v>6952</v>
      </c>
      <c r="CYG1" t="s">
        <v>6953</v>
      </c>
      <c r="CYH1" t="s">
        <v>6954</v>
      </c>
      <c r="CYI1" t="s">
        <v>6955</v>
      </c>
      <c r="CYJ1" t="s">
        <v>6956</v>
      </c>
      <c r="CYK1" t="s">
        <v>6957</v>
      </c>
      <c r="CYL1" t="s">
        <v>6958</v>
      </c>
      <c r="CYM1" t="s">
        <v>6959</v>
      </c>
      <c r="CYN1" t="s">
        <v>6960</v>
      </c>
      <c r="CYO1" t="s">
        <v>6961</v>
      </c>
      <c r="CYP1" t="s">
        <v>6962</v>
      </c>
      <c r="CYQ1" t="s">
        <v>6963</v>
      </c>
      <c r="CYR1" t="s">
        <v>6964</v>
      </c>
      <c r="CYS1" t="s">
        <v>6965</v>
      </c>
      <c r="CYT1" t="s">
        <v>6966</v>
      </c>
      <c r="CYU1" t="s">
        <v>6967</v>
      </c>
      <c r="CYV1" t="s">
        <v>6968</v>
      </c>
      <c r="CYW1" t="s">
        <v>6969</v>
      </c>
      <c r="CYX1" t="s">
        <v>6970</v>
      </c>
      <c r="CYY1" t="s">
        <v>6971</v>
      </c>
      <c r="CYZ1" t="s">
        <v>6972</v>
      </c>
      <c r="CZA1" t="s">
        <v>6973</v>
      </c>
      <c r="CZB1" t="s">
        <v>6974</v>
      </c>
      <c r="CZC1" t="s">
        <v>6975</v>
      </c>
      <c r="CZD1" t="s">
        <v>6976</v>
      </c>
      <c r="CZE1" t="s">
        <v>6977</v>
      </c>
      <c r="CZF1" t="s">
        <v>6978</v>
      </c>
      <c r="CZG1" t="s">
        <v>6979</v>
      </c>
      <c r="CZH1" t="s">
        <v>6980</v>
      </c>
      <c r="CZI1" t="s">
        <v>6981</v>
      </c>
      <c r="CZJ1" t="s">
        <v>6982</v>
      </c>
      <c r="CZK1" t="s">
        <v>6983</v>
      </c>
      <c r="CZL1" t="s">
        <v>6984</v>
      </c>
      <c r="CZM1" t="s">
        <v>6985</v>
      </c>
      <c r="CZN1" t="s">
        <v>6986</v>
      </c>
      <c r="CZO1" t="s">
        <v>6987</v>
      </c>
      <c r="CZP1" t="s">
        <v>6988</v>
      </c>
      <c r="CZQ1" t="s">
        <v>6989</v>
      </c>
      <c r="CZR1" t="s">
        <v>6990</v>
      </c>
      <c r="CZS1" t="s">
        <v>6991</v>
      </c>
      <c r="CZT1" t="s">
        <v>6992</v>
      </c>
      <c r="CZU1" t="s">
        <v>6993</v>
      </c>
      <c r="CZV1" t="s">
        <v>6994</v>
      </c>
      <c r="CZW1" t="s">
        <v>6995</v>
      </c>
      <c r="CZX1" t="s">
        <v>6996</v>
      </c>
      <c r="CZY1" t="s">
        <v>6997</v>
      </c>
      <c r="CZZ1" t="s">
        <v>6998</v>
      </c>
      <c r="DAA1" t="s">
        <v>6999</v>
      </c>
      <c r="DAB1" t="s">
        <v>7000</v>
      </c>
      <c r="DAC1" t="s">
        <v>7001</v>
      </c>
      <c r="DAD1" t="s">
        <v>7002</v>
      </c>
      <c r="DAE1" t="s">
        <v>7003</v>
      </c>
      <c r="DAF1" t="s">
        <v>7004</v>
      </c>
      <c r="DAG1" t="s">
        <v>7005</v>
      </c>
      <c r="DAH1" t="s">
        <v>7006</v>
      </c>
      <c r="DAI1" t="s">
        <v>7007</v>
      </c>
      <c r="DAJ1" t="s">
        <v>7008</v>
      </c>
      <c r="DAK1" t="s">
        <v>7009</v>
      </c>
      <c r="DAL1" t="s">
        <v>7010</v>
      </c>
      <c r="DAM1" t="s">
        <v>7011</v>
      </c>
      <c r="DAN1" t="s">
        <v>7012</v>
      </c>
      <c r="DAO1" t="s">
        <v>7013</v>
      </c>
      <c r="DAP1" t="s">
        <v>7014</v>
      </c>
      <c r="DAQ1" t="s">
        <v>7015</v>
      </c>
      <c r="DAR1" t="s">
        <v>7016</v>
      </c>
      <c r="DAS1" t="s">
        <v>7017</v>
      </c>
      <c r="DAT1" t="s">
        <v>7018</v>
      </c>
      <c r="DAU1" t="s">
        <v>7019</v>
      </c>
      <c r="DAV1" t="s">
        <v>7020</v>
      </c>
      <c r="DAW1" t="s">
        <v>7021</v>
      </c>
      <c r="DAX1" t="s">
        <v>7022</v>
      </c>
      <c r="DAY1" t="s">
        <v>7023</v>
      </c>
      <c r="DAZ1" t="s">
        <v>7024</v>
      </c>
      <c r="DBA1" t="s">
        <v>7025</v>
      </c>
      <c r="DBB1" t="s">
        <v>7026</v>
      </c>
      <c r="DBC1" t="s">
        <v>7027</v>
      </c>
      <c r="DBD1" t="s">
        <v>7028</v>
      </c>
      <c r="DBE1" t="s">
        <v>7029</v>
      </c>
      <c r="DBF1" t="s">
        <v>7030</v>
      </c>
      <c r="DBG1" t="s">
        <v>7031</v>
      </c>
      <c r="DBH1" t="s">
        <v>7032</v>
      </c>
      <c r="DBI1" t="s">
        <v>7033</v>
      </c>
      <c r="DBJ1" t="s">
        <v>7034</v>
      </c>
      <c r="DBK1" t="s">
        <v>7035</v>
      </c>
      <c r="DBL1" t="s">
        <v>7036</v>
      </c>
      <c r="DBM1" t="s">
        <v>7037</v>
      </c>
      <c r="DBN1" t="s">
        <v>7038</v>
      </c>
      <c r="DBO1" t="s">
        <v>7039</v>
      </c>
      <c r="DBP1" t="s">
        <v>7040</v>
      </c>
      <c r="DBQ1" t="s">
        <v>7041</v>
      </c>
      <c r="DBR1" t="s">
        <v>7042</v>
      </c>
      <c r="DBS1" t="s">
        <v>7043</v>
      </c>
      <c r="DBT1" t="s">
        <v>7044</v>
      </c>
      <c r="DBU1" t="s">
        <v>7045</v>
      </c>
      <c r="DBV1" t="s">
        <v>7046</v>
      </c>
      <c r="DBW1" t="s">
        <v>7047</v>
      </c>
      <c r="DBX1" t="s">
        <v>7048</v>
      </c>
      <c r="DBY1" t="s">
        <v>7049</v>
      </c>
      <c r="DBZ1" t="s">
        <v>7050</v>
      </c>
      <c r="DCA1" t="s">
        <v>7051</v>
      </c>
      <c r="DCB1" t="s">
        <v>7052</v>
      </c>
      <c r="DCC1" t="s">
        <v>7053</v>
      </c>
      <c r="DCD1" t="s">
        <v>7054</v>
      </c>
      <c r="DCE1" t="s">
        <v>7055</v>
      </c>
      <c r="DCF1" t="s">
        <v>7056</v>
      </c>
      <c r="DCG1" t="s">
        <v>7057</v>
      </c>
      <c r="DCH1" t="s">
        <v>7058</v>
      </c>
      <c r="DCI1" t="s">
        <v>7059</v>
      </c>
      <c r="DCJ1" t="s">
        <v>7060</v>
      </c>
      <c r="DCK1" t="s">
        <v>7061</v>
      </c>
      <c r="DCL1" t="s">
        <v>7062</v>
      </c>
      <c r="DCM1" t="s">
        <v>7063</v>
      </c>
      <c r="DCN1" t="s">
        <v>7064</v>
      </c>
      <c r="DCO1" t="s">
        <v>7065</v>
      </c>
      <c r="DCP1" t="s">
        <v>7066</v>
      </c>
      <c r="DCQ1" t="s">
        <v>7067</v>
      </c>
      <c r="DCR1" t="s">
        <v>7068</v>
      </c>
      <c r="DCS1" t="s">
        <v>7069</v>
      </c>
      <c r="DCT1" t="s">
        <v>7070</v>
      </c>
      <c r="DCU1" t="s">
        <v>7071</v>
      </c>
      <c r="DCV1" t="s">
        <v>7072</v>
      </c>
      <c r="DCW1" t="s">
        <v>7073</v>
      </c>
      <c r="DCX1" t="s">
        <v>7074</v>
      </c>
      <c r="DCY1" t="s">
        <v>7075</v>
      </c>
      <c r="DCZ1" t="s">
        <v>7076</v>
      </c>
      <c r="DDA1" t="s">
        <v>7077</v>
      </c>
      <c r="DDB1" t="s">
        <v>7078</v>
      </c>
      <c r="DDC1" t="s">
        <v>7079</v>
      </c>
      <c r="DDD1" t="s">
        <v>7080</v>
      </c>
      <c r="DDE1" t="s">
        <v>7081</v>
      </c>
      <c r="DDF1" t="s">
        <v>7082</v>
      </c>
      <c r="DDG1" t="s">
        <v>7083</v>
      </c>
      <c r="DDH1" t="s">
        <v>7084</v>
      </c>
      <c r="DDI1" t="s">
        <v>7085</v>
      </c>
      <c r="DDJ1" t="s">
        <v>7086</v>
      </c>
      <c r="DDK1" t="s">
        <v>7087</v>
      </c>
      <c r="DDL1" t="s">
        <v>7088</v>
      </c>
      <c r="DDM1" t="s">
        <v>7089</v>
      </c>
      <c r="DDN1" t="s">
        <v>7090</v>
      </c>
      <c r="DDO1" t="s">
        <v>7091</v>
      </c>
      <c r="DDP1" t="s">
        <v>7092</v>
      </c>
      <c r="DDQ1" t="s">
        <v>7093</v>
      </c>
      <c r="DDR1" t="s">
        <v>7094</v>
      </c>
      <c r="DDS1" t="s">
        <v>7095</v>
      </c>
      <c r="DDT1" t="s">
        <v>7096</v>
      </c>
      <c r="DDU1" t="s">
        <v>7097</v>
      </c>
      <c r="DDV1" t="s">
        <v>7098</v>
      </c>
      <c r="DDW1" t="s">
        <v>7099</v>
      </c>
      <c r="DDX1" t="s">
        <v>7100</v>
      </c>
      <c r="DDY1" t="s">
        <v>7101</v>
      </c>
      <c r="DDZ1" t="s">
        <v>7102</v>
      </c>
      <c r="DEA1" t="s">
        <v>7103</v>
      </c>
      <c r="DEB1" t="s">
        <v>7104</v>
      </c>
      <c r="DEC1" t="s">
        <v>7105</v>
      </c>
      <c r="DED1" t="s">
        <v>7106</v>
      </c>
      <c r="DEE1" t="s">
        <v>7107</v>
      </c>
      <c r="DEF1" t="s">
        <v>7108</v>
      </c>
      <c r="DEG1" t="s">
        <v>7109</v>
      </c>
      <c r="DEH1" t="s">
        <v>7110</v>
      </c>
      <c r="DEI1" t="s">
        <v>7111</v>
      </c>
      <c r="DEJ1" t="s">
        <v>7112</v>
      </c>
      <c r="DEK1" t="s">
        <v>7113</v>
      </c>
      <c r="DEL1" t="s">
        <v>7114</v>
      </c>
      <c r="DEM1" t="s">
        <v>7115</v>
      </c>
      <c r="DEN1" t="s">
        <v>7116</v>
      </c>
      <c r="DEO1" t="s">
        <v>7117</v>
      </c>
      <c r="DEP1" t="s">
        <v>7118</v>
      </c>
      <c r="DEQ1" t="s">
        <v>7119</v>
      </c>
      <c r="DER1" t="s">
        <v>7120</v>
      </c>
      <c r="DES1" t="s">
        <v>7121</v>
      </c>
      <c r="DET1" t="s">
        <v>7122</v>
      </c>
      <c r="DEU1" t="s">
        <v>7123</v>
      </c>
      <c r="DEV1" t="s">
        <v>7124</v>
      </c>
      <c r="DEW1" t="s">
        <v>7125</v>
      </c>
      <c r="DEX1" t="s">
        <v>7126</v>
      </c>
      <c r="DEY1" t="s">
        <v>7127</v>
      </c>
      <c r="DEZ1" t="s">
        <v>7128</v>
      </c>
      <c r="DFA1" t="s">
        <v>7129</v>
      </c>
      <c r="DFB1" t="s">
        <v>7130</v>
      </c>
      <c r="DFC1" t="s">
        <v>7131</v>
      </c>
      <c r="DFD1" t="s">
        <v>7132</v>
      </c>
      <c r="DFE1" t="s">
        <v>7133</v>
      </c>
      <c r="DFF1" t="s">
        <v>7134</v>
      </c>
      <c r="DFG1" t="s">
        <v>7135</v>
      </c>
      <c r="DFH1" t="s">
        <v>7136</v>
      </c>
      <c r="DFI1" t="s">
        <v>7137</v>
      </c>
      <c r="DFJ1" t="s">
        <v>7138</v>
      </c>
      <c r="DFK1" t="s">
        <v>7139</v>
      </c>
      <c r="DFL1" t="s">
        <v>7140</v>
      </c>
      <c r="DFM1" t="s">
        <v>7141</v>
      </c>
      <c r="DFN1" t="s">
        <v>7142</v>
      </c>
      <c r="DFO1" t="s">
        <v>7143</v>
      </c>
      <c r="DFP1" t="s">
        <v>7144</v>
      </c>
      <c r="DFQ1" t="s">
        <v>7145</v>
      </c>
      <c r="DFR1" t="s">
        <v>7146</v>
      </c>
      <c r="DFS1" t="s">
        <v>7147</v>
      </c>
      <c r="DFT1" t="s">
        <v>7148</v>
      </c>
      <c r="DFU1" t="s">
        <v>7149</v>
      </c>
      <c r="DFV1" t="s">
        <v>7150</v>
      </c>
      <c r="DFW1" t="s">
        <v>7151</v>
      </c>
      <c r="DFX1" t="s">
        <v>7152</v>
      </c>
      <c r="DFY1" t="s">
        <v>7153</v>
      </c>
      <c r="DFZ1" t="s">
        <v>7154</v>
      </c>
      <c r="DGA1" t="s">
        <v>7155</v>
      </c>
      <c r="DGB1" t="s">
        <v>7156</v>
      </c>
      <c r="DGC1" t="s">
        <v>7157</v>
      </c>
      <c r="DGD1" t="s">
        <v>7158</v>
      </c>
      <c r="DGE1" t="s">
        <v>7159</v>
      </c>
      <c r="DGF1" t="s">
        <v>7160</v>
      </c>
      <c r="DGG1" t="s">
        <v>7161</v>
      </c>
      <c r="DGH1" t="s">
        <v>7162</v>
      </c>
      <c r="DGI1" t="s">
        <v>7163</v>
      </c>
      <c r="DGJ1" t="s">
        <v>7164</v>
      </c>
      <c r="DGK1" t="s">
        <v>7165</v>
      </c>
      <c r="DGL1" t="s">
        <v>7166</v>
      </c>
      <c r="DGM1" t="s">
        <v>7167</v>
      </c>
      <c r="DGN1" t="s">
        <v>7168</v>
      </c>
      <c r="DGO1" t="s">
        <v>7169</v>
      </c>
      <c r="DGP1" t="s">
        <v>7170</v>
      </c>
      <c r="DGQ1" t="s">
        <v>7171</v>
      </c>
      <c r="DGR1" t="s">
        <v>7172</v>
      </c>
      <c r="DGS1" t="s">
        <v>7173</v>
      </c>
      <c r="DGT1" t="s">
        <v>7174</v>
      </c>
      <c r="DGU1" t="s">
        <v>7175</v>
      </c>
      <c r="DGV1" t="s">
        <v>7176</v>
      </c>
      <c r="DGW1" t="s">
        <v>7177</v>
      </c>
      <c r="DGX1" t="s">
        <v>7178</v>
      </c>
      <c r="DGY1" t="s">
        <v>7179</v>
      </c>
      <c r="DGZ1" t="s">
        <v>7180</v>
      </c>
      <c r="DHA1" t="s">
        <v>7181</v>
      </c>
      <c r="DHB1" t="s">
        <v>7182</v>
      </c>
      <c r="DHC1" t="s">
        <v>7183</v>
      </c>
      <c r="DHD1" t="s">
        <v>7184</v>
      </c>
      <c r="DHE1" t="s">
        <v>7185</v>
      </c>
      <c r="DHF1" t="s">
        <v>7186</v>
      </c>
      <c r="DHG1" t="s">
        <v>7187</v>
      </c>
      <c r="DHH1" t="s">
        <v>7188</v>
      </c>
      <c r="DHI1" t="s">
        <v>7189</v>
      </c>
      <c r="DHJ1" t="s">
        <v>7190</v>
      </c>
      <c r="DHK1" t="s">
        <v>7191</v>
      </c>
      <c r="DHL1" t="s">
        <v>7192</v>
      </c>
      <c r="DHM1" t="s">
        <v>7193</v>
      </c>
      <c r="DHN1" t="s">
        <v>7194</v>
      </c>
      <c r="DHO1" t="s">
        <v>7195</v>
      </c>
      <c r="DHP1" t="s">
        <v>7196</v>
      </c>
      <c r="DHQ1" t="s">
        <v>7197</v>
      </c>
      <c r="DHR1" t="s">
        <v>7198</v>
      </c>
      <c r="DHS1" t="s">
        <v>7199</v>
      </c>
      <c r="DHT1" t="s">
        <v>7200</v>
      </c>
      <c r="DHU1" t="s">
        <v>7201</v>
      </c>
      <c r="DHV1" t="s">
        <v>7202</v>
      </c>
      <c r="DHW1" t="s">
        <v>7203</v>
      </c>
      <c r="DHX1" t="s">
        <v>7204</v>
      </c>
      <c r="DHY1" t="s">
        <v>7205</v>
      </c>
      <c r="DHZ1" t="s">
        <v>7206</v>
      </c>
      <c r="DIA1" t="s">
        <v>7207</v>
      </c>
      <c r="DIB1" t="s">
        <v>7208</v>
      </c>
      <c r="DIC1" t="s">
        <v>7209</v>
      </c>
      <c r="DID1" t="s">
        <v>7210</v>
      </c>
      <c r="DIE1" t="s">
        <v>7211</v>
      </c>
      <c r="DIF1" t="s">
        <v>7212</v>
      </c>
      <c r="DIG1" t="s">
        <v>7213</v>
      </c>
      <c r="DIH1" t="s">
        <v>7214</v>
      </c>
      <c r="DII1" t="s">
        <v>7215</v>
      </c>
      <c r="DIJ1" t="s">
        <v>7216</v>
      </c>
      <c r="DIK1" t="s">
        <v>7217</v>
      </c>
      <c r="DIL1" t="s">
        <v>7218</v>
      </c>
      <c r="DIM1" t="s">
        <v>7219</v>
      </c>
      <c r="DIN1" t="s">
        <v>7220</v>
      </c>
      <c r="DIO1" t="s">
        <v>7221</v>
      </c>
      <c r="DIP1" t="s">
        <v>7222</v>
      </c>
      <c r="DIQ1" t="s">
        <v>7223</v>
      </c>
      <c r="DIR1" t="s">
        <v>7224</v>
      </c>
      <c r="DIS1" t="s">
        <v>7225</v>
      </c>
      <c r="DIT1" t="s">
        <v>7226</v>
      </c>
      <c r="DIU1" t="s">
        <v>7227</v>
      </c>
      <c r="DIV1" t="s">
        <v>7228</v>
      </c>
      <c r="DIW1" t="s">
        <v>7229</v>
      </c>
      <c r="DIX1" t="s">
        <v>7230</v>
      </c>
      <c r="DIY1" t="s">
        <v>7231</v>
      </c>
      <c r="DIZ1" t="s">
        <v>7232</v>
      </c>
      <c r="DJA1" t="s">
        <v>7233</v>
      </c>
      <c r="DJB1" t="s">
        <v>7234</v>
      </c>
      <c r="DJC1" t="s">
        <v>7235</v>
      </c>
      <c r="DJD1" t="s">
        <v>7236</v>
      </c>
      <c r="DJE1" t="s">
        <v>7237</v>
      </c>
      <c r="DJF1" t="s">
        <v>7238</v>
      </c>
      <c r="DJG1" t="s">
        <v>7239</v>
      </c>
      <c r="DJH1" t="s">
        <v>7240</v>
      </c>
      <c r="DJI1" t="s">
        <v>7241</v>
      </c>
      <c r="DJJ1" t="s">
        <v>7242</v>
      </c>
      <c r="DJK1" t="s">
        <v>7243</v>
      </c>
      <c r="DJL1" t="s">
        <v>7244</v>
      </c>
      <c r="DJM1" t="s">
        <v>7245</v>
      </c>
      <c r="DJN1" t="s">
        <v>7246</v>
      </c>
      <c r="DJO1" t="s">
        <v>7247</v>
      </c>
      <c r="DJP1" t="s">
        <v>7248</v>
      </c>
      <c r="DJQ1" t="s">
        <v>7249</v>
      </c>
      <c r="DJR1" t="s">
        <v>7250</v>
      </c>
      <c r="DJS1" t="s">
        <v>7251</v>
      </c>
      <c r="DJT1" t="s">
        <v>7252</v>
      </c>
      <c r="DJU1" t="s">
        <v>7253</v>
      </c>
      <c r="DJV1" t="s">
        <v>7254</v>
      </c>
      <c r="DJW1" t="s">
        <v>7255</v>
      </c>
      <c r="DJX1" t="s">
        <v>7256</v>
      </c>
      <c r="DJY1" t="s">
        <v>7257</v>
      </c>
      <c r="DJZ1" t="s">
        <v>7258</v>
      </c>
      <c r="DKA1" t="s">
        <v>7259</v>
      </c>
      <c r="DKB1" t="s">
        <v>7260</v>
      </c>
      <c r="DKC1" t="s">
        <v>7261</v>
      </c>
      <c r="DKD1" t="s">
        <v>7262</v>
      </c>
      <c r="DKE1" t="s">
        <v>7263</v>
      </c>
      <c r="DKF1" t="s">
        <v>7264</v>
      </c>
      <c r="DKG1" t="s">
        <v>7265</v>
      </c>
      <c r="DKH1" t="s">
        <v>7266</v>
      </c>
      <c r="DKI1" t="s">
        <v>7267</v>
      </c>
      <c r="DKJ1" t="s">
        <v>7268</v>
      </c>
      <c r="DKK1" t="s">
        <v>7269</v>
      </c>
      <c r="DKL1" t="s">
        <v>7270</v>
      </c>
      <c r="DKM1" t="s">
        <v>7271</v>
      </c>
      <c r="DKN1" t="s">
        <v>7272</v>
      </c>
      <c r="DKO1" t="s">
        <v>7273</v>
      </c>
      <c r="DKP1" t="s">
        <v>7274</v>
      </c>
      <c r="DKQ1" t="s">
        <v>7275</v>
      </c>
      <c r="DKR1" t="s">
        <v>7276</v>
      </c>
      <c r="DKS1" t="s">
        <v>7277</v>
      </c>
      <c r="DKT1" t="s">
        <v>7278</v>
      </c>
      <c r="DKU1" t="s">
        <v>7279</v>
      </c>
      <c r="DKV1" t="s">
        <v>7280</v>
      </c>
      <c r="DKW1" t="s">
        <v>7281</v>
      </c>
      <c r="DKX1" t="s">
        <v>7282</v>
      </c>
      <c r="DKY1" t="s">
        <v>7283</v>
      </c>
      <c r="DKZ1" t="s">
        <v>7284</v>
      </c>
      <c r="DLA1" t="s">
        <v>7285</v>
      </c>
      <c r="DLB1" t="s">
        <v>7286</v>
      </c>
      <c r="DLC1" t="s">
        <v>7287</v>
      </c>
      <c r="DLD1" t="s">
        <v>7288</v>
      </c>
      <c r="DLE1" t="s">
        <v>7289</v>
      </c>
      <c r="DLF1" t="s">
        <v>7290</v>
      </c>
      <c r="DLG1" t="s">
        <v>7291</v>
      </c>
      <c r="DLH1" t="s">
        <v>7292</v>
      </c>
      <c r="DLI1" t="s">
        <v>7293</v>
      </c>
      <c r="DLJ1" t="s">
        <v>7294</v>
      </c>
      <c r="DLK1" t="s">
        <v>7295</v>
      </c>
      <c r="DLL1" t="s">
        <v>7296</v>
      </c>
      <c r="DLM1" t="s">
        <v>7297</v>
      </c>
      <c r="DLN1" t="s">
        <v>7298</v>
      </c>
      <c r="DLO1" t="s">
        <v>7299</v>
      </c>
      <c r="DLP1" t="s">
        <v>7300</v>
      </c>
      <c r="DLQ1" t="s">
        <v>7301</v>
      </c>
      <c r="DLR1" t="s">
        <v>7302</v>
      </c>
      <c r="DLS1" t="s">
        <v>7303</v>
      </c>
      <c r="DLT1" t="s">
        <v>7304</v>
      </c>
      <c r="DLU1" t="s">
        <v>7305</v>
      </c>
      <c r="DLV1" t="s">
        <v>7306</v>
      </c>
      <c r="DLW1" t="s">
        <v>7307</v>
      </c>
      <c r="DLX1" t="s">
        <v>7308</v>
      </c>
      <c r="DLY1" t="s">
        <v>7309</v>
      </c>
      <c r="DLZ1" t="s">
        <v>7310</v>
      </c>
      <c r="DMA1" t="s">
        <v>7311</v>
      </c>
      <c r="DMB1" t="s">
        <v>7312</v>
      </c>
      <c r="DMC1" t="s">
        <v>7313</v>
      </c>
      <c r="DMD1" t="s">
        <v>7314</v>
      </c>
      <c r="DME1" t="s">
        <v>7315</v>
      </c>
      <c r="DMF1" t="s">
        <v>7316</v>
      </c>
      <c r="DMG1" t="s">
        <v>7317</v>
      </c>
      <c r="DMH1" t="s">
        <v>7318</v>
      </c>
      <c r="DMI1" t="s">
        <v>7319</v>
      </c>
      <c r="DMJ1" t="s">
        <v>7320</v>
      </c>
      <c r="DMK1" t="s">
        <v>7321</v>
      </c>
      <c r="DML1" t="s">
        <v>7322</v>
      </c>
      <c r="DMM1" t="s">
        <v>7323</v>
      </c>
      <c r="DMN1" t="s">
        <v>7324</v>
      </c>
      <c r="DMO1" t="s">
        <v>7325</v>
      </c>
      <c r="DMP1" t="s">
        <v>7326</v>
      </c>
      <c r="DMQ1" t="s">
        <v>7327</v>
      </c>
      <c r="DMR1" t="s">
        <v>7328</v>
      </c>
      <c r="DMS1" t="s">
        <v>7329</v>
      </c>
      <c r="DMT1" t="s">
        <v>7330</v>
      </c>
      <c r="DMU1" t="s">
        <v>7331</v>
      </c>
      <c r="DMV1" t="s">
        <v>7332</v>
      </c>
      <c r="DMW1" t="s">
        <v>7333</v>
      </c>
      <c r="DMX1" t="s">
        <v>7334</v>
      </c>
      <c r="DMY1" t="s">
        <v>7335</v>
      </c>
      <c r="DMZ1" t="s">
        <v>7336</v>
      </c>
      <c r="DNA1" t="s">
        <v>7337</v>
      </c>
      <c r="DNB1" t="s">
        <v>7338</v>
      </c>
      <c r="DNC1" t="s">
        <v>7339</v>
      </c>
      <c r="DND1" t="s">
        <v>7340</v>
      </c>
      <c r="DNE1" t="s">
        <v>7341</v>
      </c>
      <c r="DNF1" t="s">
        <v>7342</v>
      </c>
      <c r="DNG1" t="s">
        <v>7343</v>
      </c>
      <c r="DNH1" t="s">
        <v>7344</v>
      </c>
      <c r="DNI1" t="s">
        <v>7345</v>
      </c>
      <c r="DNJ1" t="s">
        <v>7346</v>
      </c>
      <c r="DNK1" t="s">
        <v>7347</v>
      </c>
      <c r="DNL1" t="s">
        <v>7348</v>
      </c>
      <c r="DNM1" t="s">
        <v>7349</v>
      </c>
      <c r="DNN1" t="s">
        <v>7350</v>
      </c>
      <c r="DNO1" t="s">
        <v>7351</v>
      </c>
      <c r="DNP1" t="s">
        <v>7352</v>
      </c>
      <c r="DNQ1" t="s">
        <v>7353</v>
      </c>
      <c r="DNR1" t="s">
        <v>7354</v>
      </c>
      <c r="DNS1" t="s">
        <v>7355</v>
      </c>
      <c r="DNT1" t="s">
        <v>7356</v>
      </c>
      <c r="DNU1" t="s">
        <v>7357</v>
      </c>
      <c r="DNV1" t="s">
        <v>7358</v>
      </c>
      <c r="DNW1" t="s">
        <v>7359</v>
      </c>
      <c r="DNX1" t="s">
        <v>7360</v>
      </c>
      <c r="DNY1" t="s">
        <v>7361</v>
      </c>
      <c r="DNZ1" t="s">
        <v>7362</v>
      </c>
      <c r="DOA1" t="s">
        <v>7363</v>
      </c>
      <c r="DOB1" t="s">
        <v>7364</v>
      </c>
      <c r="DOC1" t="s">
        <v>7365</v>
      </c>
      <c r="DOD1" t="s">
        <v>7366</v>
      </c>
      <c r="DOE1" t="s">
        <v>7367</v>
      </c>
      <c r="DOF1" t="s">
        <v>7368</v>
      </c>
      <c r="DOG1" t="s">
        <v>7369</v>
      </c>
      <c r="DOH1" t="s">
        <v>7370</v>
      </c>
      <c r="DOI1" t="s">
        <v>7371</v>
      </c>
      <c r="DOJ1" t="s">
        <v>7372</v>
      </c>
      <c r="DOK1" t="s">
        <v>7373</v>
      </c>
      <c r="DOL1" t="s">
        <v>7374</v>
      </c>
      <c r="DOM1" t="s">
        <v>7375</v>
      </c>
      <c r="DON1" t="s">
        <v>7376</v>
      </c>
      <c r="DOO1" t="s">
        <v>7377</v>
      </c>
      <c r="DOP1" t="s">
        <v>7378</v>
      </c>
      <c r="DOQ1" t="s">
        <v>7379</v>
      </c>
      <c r="DOR1" t="s">
        <v>7380</v>
      </c>
      <c r="DOS1" t="s">
        <v>7381</v>
      </c>
      <c r="DOT1" t="s">
        <v>7382</v>
      </c>
      <c r="DOU1" t="s">
        <v>7383</v>
      </c>
      <c r="DOV1" t="s">
        <v>7384</v>
      </c>
      <c r="DOW1" t="s">
        <v>7385</v>
      </c>
      <c r="DOX1" t="s">
        <v>7386</v>
      </c>
      <c r="DOY1" t="s">
        <v>7387</v>
      </c>
      <c r="DOZ1" t="s">
        <v>7388</v>
      </c>
      <c r="DPA1" t="s">
        <v>7389</v>
      </c>
      <c r="DPB1" t="s">
        <v>7390</v>
      </c>
      <c r="DPC1" t="s">
        <v>7391</v>
      </c>
      <c r="DPD1" t="s">
        <v>7392</v>
      </c>
      <c r="DPE1" t="s">
        <v>7393</v>
      </c>
      <c r="DPF1" t="s">
        <v>7394</v>
      </c>
      <c r="DPG1" t="s">
        <v>7395</v>
      </c>
      <c r="DPH1" t="s">
        <v>7396</v>
      </c>
      <c r="DPI1" t="s">
        <v>7397</v>
      </c>
      <c r="DPJ1" t="s">
        <v>7398</v>
      </c>
      <c r="DPK1" t="s">
        <v>7399</v>
      </c>
      <c r="DPL1" t="s">
        <v>7400</v>
      </c>
      <c r="DPM1" t="s">
        <v>7401</v>
      </c>
      <c r="DPN1" t="s">
        <v>7402</v>
      </c>
      <c r="DPO1" t="s">
        <v>7403</v>
      </c>
      <c r="DPP1" t="s">
        <v>7404</v>
      </c>
      <c r="DPQ1" t="s">
        <v>7405</v>
      </c>
      <c r="DPR1" t="s">
        <v>7406</v>
      </c>
      <c r="DPS1" t="s">
        <v>7407</v>
      </c>
      <c r="DPT1" t="s">
        <v>7408</v>
      </c>
      <c r="DPU1" t="s">
        <v>7409</v>
      </c>
      <c r="DPV1" t="s">
        <v>7410</v>
      </c>
      <c r="DPW1" t="s">
        <v>7411</v>
      </c>
      <c r="DPX1" t="s">
        <v>7412</v>
      </c>
      <c r="DPY1" t="s">
        <v>7413</v>
      </c>
      <c r="DPZ1" t="s">
        <v>7414</v>
      </c>
      <c r="DQA1" t="s">
        <v>7415</v>
      </c>
      <c r="DQB1" t="s">
        <v>7416</v>
      </c>
      <c r="DQC1" t="s">
        <v>7417</v>
      </c>
      <c r="DQD1" t="s">
        <v>7418</v>
      </c>
      <c r="DQE1" t="s">
        <v>7419</v>
      </c>
      <c r="DQF1" t="s">
        <v>7420</v>
      </c>
      <c r="DQG1" t="s">
        <v>7421</v>
      </c>
      <c r="DQH1" t="s">
        <v>7422</v>
      </c>
      <c r="DQI1" t="s">
        <v>7423</v>
      </c>
      <c r="DQJ1" t="s">
        <v>7424</v>
      </c>
      <c r="DQK1" t="s">
        <v>7425</v>
      </c>
      <c r="DQL1" t="s">
        <v>7426</v>
      </c>
      <c r="DQM1" t="s">
        <v>7427</v>
      </c>
      <c r="DQN1" t="s">
        <v>7428</v>
      </c>
      <c r="DQO1" t="s">
        <v>7429</v>
      </c>
      <c r="DQP1" t="s">
        <v>7430</v>
      </c>
      <c r="DQQ1" t="s">
        <v>7431</v>
      </c>
      <c r="DQR1" t="s">
        <v>7432</v>
      </c>
      <c r="DQS1" t="s">
        <v>7433</v>
      </c>
      <c r="DQT1" t="s">
        <v>7434</v>
      </c>
      <c r="DQU1" t="s">
        <v>7435</v>
      </c>
      <c r="DQV1" t="s">
        <v>7436</v>
      </c>
      <c r="DQW1" t="s">
        <v>7437</v>
      </c>
      <c r="DQX1" t="s">
        <v>7438</v>
      </c>
      <c r="DQY1" t="s">
        <v>7439</v>
      </c>
      <c r="DQZ1" t="s">
        <v>7440</v>
      </c>
      <c r="DRA1" t="s">
        <v>7441</v>
      </c>
      <c r="DRB1" t="s">
        <v>7442</v>
      </c>
      <c r="DRC1" t="s">
        <v>7443</v>
      </c>
      <c r="DRD1" t="s">
        <v>7444</v>
      </c>
      <c r="DRE1" t="s">
        <v>7445</v>
      </c>
      <c r="DRF1" t="s">
        <v>7446</v>
      </c>
      <c r="DRG1" t="s">
        <v>7447</v>
      </c>
      <c r="DRH1" t="s">
        <v>7448</v>
      </c>
      <c r="DRI1" t="s">
        <v>7449</v>
      </c>
      <c r="DRJ1" t="s">
        <v>7450</v>
      </c>
      <c r="DRK1" t="s">
        <v>7451</v>
      </c>
      <c r="DRL1" t="s">
        <v>7452</v>
      </c>
      <c r="DRM1" t="s">
        <v>7453</v>
      </c>
      <c r="DRN1" t="s">
        <v>7454</v>
      </c>
      <c r="DRO1" t="s">
        <v>7455</v>
      </c>
      <c r="DRP1" t="s">
        <v>7456</v>
      </c>
      <c r="DRQ1" t="s">
        <v>7457</v>
      </c>
      <c r="DRR1" t="s">
        <v>7458</v>
      </c>
      <c r="DRS1" t="s">
        <v>7459</v>
      </c>
      <c r="DRT1" t="s">
        <v>7460</v>
      </c>
      <c r="DRU1" t="s">
        <v>7461</v>
      </c>
      <c r="DRV1" t="s">
        <v>7462</v>
      </c>
      <c r="DRW1" t="s">
        <v>7463</v>
      </c>
      <c r="DRX1" t="s">
        <v>7464</v>
      </c>
      <c r="DRY1" t="s">
        <v>7465</v>
      </c>
      <c r="DRZ1" t="s">
        <v>7466</v>
      </c>
      <c r="DSA1" t="s">
        <v>7467</v>
      </c>
      <c r="DSB1" t="s">
        <v>7468</v>
      </c>
      <c r="DSC1" t="s">
        <v>7469</v>
      </c>
      <c r="DSD1" t="s">
        <v>7470</v>
      </c>
      <c r="DSE1" t="s">
        <v>7471</v>
      </c>
      <c r="DSF1" t="s">
        <v>7472</v>
      </c>
      <c r="DSG1" t="s">
        <v>7473</v>
      </c>
      <c r="DSH1" t="s">
        <v>7474</v>
      </c>
      <c r="DSI1" t="s">
        <v>7475</v>
      </c>
      <c r="DSJ1" t="s">
        <v>7476</v>
      </c>
      <c r="DSK1" t="s">
        <v>7477</v>
      </c>
      <c r="DSL1" t="s">
        <v>7478</v>
      </c>
      <c r="DSM1" t="s">
        <v>7479</v>
      </c>
      <c r="DSN1" t="s">
        <v>7480</v>
      </c>
      <c r="DSO1" t="s">
        <v>7481</v>
      </c>
      <c r="DSP1" t="s">
        <v>7482</v>
      </c>
      <c r="DSQ1" t="s">
        <v>7483</v>
      </c>
      <c r="DSR1" t="s">
        <v>7484</v>
      </c>
      <c r="DSS1" t="s">
        <v>7485</v>
      </c>
      <c r="DST1" t="s">
        <v>7486</v>
      </c>
      <c r="DSU1" t="s">
        <v>7487</v>
      </c>
      <c r="DSV1" t="s">
        <v>7488</v>
      </c>
      <c r="DSW1" t="s">
        <v>7489</v>
      </c>
      <c r="DSX1" t="s">
        <v>7490</v>
      </c>
      <c r="DSY1" t="s">
        <v>7491</v>
      </c>
      <c r="DSZ1" t="s">
        <v>7492</v>
      </c>
      <c r="DTA1" t="s">
        <v>7493</v>
      </c>
      <c r="DTB1" t="s">
        <v>7494</v>
      </c>
      <c r="DTC1" t="s">
        <v>7495</v>
      </c>
      <c r="DTD1" t="s">
        <v>7496</v>
      </c>
      <c r="DTE1" t="s">
        <v>7497</v>
      </c>
      <c r="DTF1" t="s">
        <v>7498</v>
      </c>
      <c r="DTG1" t="s">
        <v>7499</v>
      </c>
      <c r="DTH1" t="s">
        <v>7500</v>
      </c>
      <c r="DTI1" t="s">
        <v>7501</v>
      </c>
      <c r="DTJ1" t="s">
        <v>7502</v>
      </c>
      <c r="DTK1" t="s">
        <v>7503</v>
      </c>
      <c r="DTL1" t="s">
        <v>7504</v>
      </c>
      <c r="DTM1" t="s">
        <v>7505</v>
      </c>
      <c r="DTN1" t="s">
        <v>7506</v>
      </c>
      <c r="DTO1" t="s">
        <v>7507</v>
      </c>
      <c r="DTP1" t="s">
        <v>7508</v>
      </c>
      <c r="DTQ1" t="s">
        <v>7509</v>
      </c>
      <c r="DTR1" t="s">
        <v>7510</v>
      </c>
      <c r="DTS1" t="s">
        <v>7511</v>
      </c>
      <c r="DTT1" t="s">
        <v>7512</v>
      </c>
      <c r="DTU1" t="s">
        <v>7513</v>
      </c>
      <c r="DTV1" t="s">
        <v>7514</v>
      </c>
      <c r="DTW1" t="s">
        <v>7515</v>
      </c>
      <c r="DTX1" t="s">
        <v>7516</v>
      </c>
      <c r="DTY1" t="s">
        <v>7517</v>
      </c>
      <c r="DTZ1" t="s">
        <v>7518</v>
      </c>
      <c r="DUA1" t="s">
        <v>7519</v>
      </c>
      <c r="DUB1" t="s">
        <v>7520</v>
      </c>
      <c r="DUC1" t="s">
        <v>7521</v>
      </c>
      <c r="DUD1" t="s">
        <v>7522</v>
      </c>
      <c r="DUE1" t="s">
        <v>7523</v>
      </c>
      <c r="DUF1" t="s">
        <v>7524</v>
      </c>
      <c r="DUG1" t="s">
        <v>7525</v>
      </c>
      <c r="DUH1" t="s">
        <v>7526</v>
      </c>
      <c r="DUI1" t="s">
        <v>7527</v>
      </c>
      <c r="DUJ1" t="s">
        <v>7528</v>
      </c>
      <c r="DUK1" t="s">
        <v>7529</v>
      </c>
      <c r="DUL1" t="s">
        <v>7530</v>
      </c>
      <c r="DUM1" t="s">
        <v>7531</v>
      </c>
      <c r="DUN1" t="s">
        <v>7532</v>
      </c>
      <c r="DUO1" t="s">
        <v>7533</v>
      </c>
      <c r="DUP1" t="s">
        <v>7534</v>
      </c>
      <c r="DUQ1" t="s">
        <v>7535</v>
      </c>
      <c r="DUR1" t="s">
        <v>7536</v>
      </c>
      <c r="DUS1" t="s">
        <v>7537</v>
      </c>
      <c r="DUT1" t="s">
        <v>7538</v>
      </c>
      <c r="DUU1" t="s">
        <v>7539</v>
      </c>
      <c r="DUV1" t="s">
        <v>7540</v>
      </c>
      <c r="DUW1" t="s">
        <v>7541</v>
      </c>
      <c r="DUX1" t="s">
        <v>7542</v>
      </c>
      <c r="DUY1" t="s">
        <v>7543</v>
      </c>
      <c r="DUZ1" t="s">
        <v>7544</v>
      </c>
      <c r="DVA1" t="s">
        <v>7545</v>
      </c>
      <c r="DVB1" t="s">
        <v>7546</v>
      </c>
      <c r="DVC1" t="s">
        <v>7547</v>
      </c>
      <c r="DVD1" t="s">
        <v>7548</v>
      </c>
      <c r="DVE1" t="s">
        <v>7549</v>
      </c>
      <c r="DVF1" t="s">
        <v>7550</v>
      </c>
      <c r="DVG1" t="s">
        <v>7551</v>
      </c>
      <c r="DVH1" t="s">
        <v>7552</v>
      </c>
      <c r="DVI1" t="s">
        <v>7553</v>
      </c>
      <c r="DVJ1" t="s">
        <v>7554</v>
      </c>
      <c r="DVK1" t="s">
        <v>7555</v>
      </c>
      <c r="DVL1" t="s">
        <v>7556</v>
      </c>
      <c r="DVM1" t="s">
        <v>7557</v>
      </c>
      <c r="DVN1" t="s">
        <v>7558</v>
      </c>
      <c r="DVO1" t="s">
        <v>7559</v>
      </c>
      <c r="DVP1" t="s">
        <v>7560</v>
      </c>
      <c r="DVQ1" t="s">
        <v>7561</v>
      </c>
      <c r="DVR1" t="s">
        <v>7562</v>
      </c>
      <c r="DVS1" t="s">
        <v>7563</v>
      </c>
      <c r="DVT1" t="s">
        <v>7564</v>
      </c>
      <c r="DVU1" t="s">
        <v>7565</v>
      </c>
      <c r="DVV1" t="s">
        <v>7566</v>
      </c>
      <c r="DVW1" t="s">
        <v>7567</v>
      </c>
      <c r="DVX1" t="s">
        <v>7568</v>
      </c>
      <c r="DVY1" t="s">
        <v>7569</v>
      </c>
      <c r="DVZ1" t="s">
        <v>7570</v>
      </c>
      <c r="DWA1" t="s">
        <v>7571</v>
      </c>
      <c r="DWB1" t="s">
        <v>7572</v>
      </c>
      <c r="DWC1" t="s">
        <v>7573</v>
      </c>
      <c r="DWD1" t="s">
        <v>7574</v>
      </c>
      <c r="DWE1" t="s">
        <v>7575</v>
      </c>
      <c r="DWF1" t="s">
        <v>7576</v>
      </c>
      <c r="DWG1" t="s">
        <v>7577</v>
      </c>
      <c r="DWH1" t="s">
        <v>7578</v>
      </c>
      <c r="DWI1" t="s">
        <v>7579</v>
      </c>
      <c r="DWJ1" t="s">
        <v>7580</v>
      </c>
      <c r="DWK1" t="s">
        <v>7581</v>
      </c>
      <c r="DWL1" t="s">
        <v>7582</v>
      </c>
      <c r="DWM1" t="s">
        <v>7583</v>
      </c>
      <c r="DWN1" t="s">
        <v>7584</v>
      </c>
      <c r="DWO1" t="s">
        <v>7585</v>
      </c>
      <c r="DWP1" t="s">
        <v>7586</v>
      </c>
      <c r="DWQ1" t="s">
        <v>7587</v>
      </c>
      <c r="DWR1" t="s">
        <v>7588</v>
      </c>
      <c r="DWS1" t="s">
        <v>7589</v>
      </c>
      <c r="DWT1" t="s">
        <v>7590</v>
      </c>
      <c r="DWU1" t="s">
        <v>7591</v>
      </c>
      <c r="DWV1" t="s">
        <v>7592</v>
      </c>
      <c r="DWW1" t="s">
        <v>7593</v>
      </c>
      <c r="DWX1" t="s">
        <v>7594</v>
      </c>
      <c r="DWY1" t="s">
        <v>7595</v>
      </c>
      <c r="DWZ1" t="s">
        <v>7596</v>
      </c>
      <c r="DXA1" t="s">
        <v>7597</v>
      </c>
      <c r="DXB1" t="s">
        <v>7598</v>
      </c>
      <c r="DXC1" t="s">
        <v>7599</v>
      </c>
      <c r="DXD1" t="s">
        <v>7600</v>
      </c>
      <c r="DXE1" t="s">
        <v>7601</v>
      </c>
      <c r="DXF1" t="s">
        <v>7602</v>
      </c>
      <c r="DXG1" t="s">
        <v>7603</v>
      </c>
      <c r="DXH1" t="s">
        <v>7604</v>
      </c>
      <c r="DXI1" t="s">
        <v>7605</v>
      </c>
      <c r="DXJ1" t="s">
        <v>7606</v>
      </c>
      <c r="DXK1" t="s">
        <v>7607</v>
      </c>
      <c r="DXL1" t="s">
        <v>7608</v>
      </c>
      <c r="DXM1" t="s">
        <v>7609</v>
      </c>
      <c r="DXN1" t="s">
        <v>7610</v>
      </c>
      <c r="DXO1" t="s">
        <v>7611</v>
      </c>
      <c r="DXP1" t="s">
        <v>7612</v>
      </c>
      <c r="DXQ1" t="s">
        <v>7613</v>
      </c>
      <c r="DXR1" t="s">
        <v>7614</v>
      </c>
      <c r="DXS1" t="s">
        <v>7615</v>
      </c>
      <c r="DXT1" t="s">
        <v>7616</v>
      </c>
      <c r="DXU1" t="s">
        <v>7617</v>
      </c>
      <c r="DXV1" t="s">
        <v>7618</v>
      </c>
      <c r="DXW1" t="s">
        <v>7619</v>
      </c>
      <c r="DXX1" t="s">
        <v>7620</v>
      </c>
      <c r="DXY1" t="s">
        <v>7621</v>
      </c>
      <c r="DXZ1" t="s">
        <v>7622</v>
      </c>
      <c r="DYA1" t="s">
        <v>7623</v>
      </c>
      <c r="DYB1" t="s">
        <v>7624</v>
      </c>
      <c r="DYC1" t="s">
        <v>7625</v>
      </c>
      <c r="DYD1" t="s">
        <v>7626</v>
      </c>
      <c r="DYE1" t="s">
        <v>7627</v>
      </c>
      <c r="DYF1" t="s">
        <v>7628</v>
      </c>
      <c r="DYG1" t="s">
        <v>7629</v>
      </c>
      <c r="DYH1" t="s">
        <v>7630</v>
      </c>
      <c r="DYI1" t="s">
        <v>7631</v>
      </c>
      <c r="DYJ1" t="s">
        <v>7632</v>
      </c>
      <c r="DYK1" t="s">
        <v>7633</v>
      </c>
      <c r="DYL1" t="s">
        <v>7634</v>
      </c>
      <c r="DYM1" t="s">
        <v>7635</v>
      </c>
      <c r="DYN1" t="s">
        <v>7636</v>
      </c>
      <c r="DYO1" t="s">
        <v>7637</v>
      </c>
      <c r="DYP1" t="s">
        <v>7638</v>
      </c>
      <c r="DYQ1" t="s">
        <v>7639</v>
      </c>
      <c r="DYR1" t="s">
        <v>7640</v>
      </c>
      <c r="DYS1" t="s">
        <v>7641</v>
      </c>
      <c r="DYT1" t="s">
        <v>7642</v>
      </c>
      <c r="DYU1" t="s">
        <v>7643</v>
      </c>
      <c r="DYV1" t="s">
        <v>7644</v>
      </c>
      <c r="DYW1" t="s">
        <v>7645</v>
      </c>
      <c r="DYX1" t="s">
        <v>7646</v>
      </c>
      <c r="DYY1" t="s">
        <v>7647</v>
      </c>
      <c r="DYZ1" t="s">
        <v>7648</v>
      </c>
      <c r="DZA1" t="s">
        <v>7649</v>
      </c>
      <c r="DZB1" t="s">
        <v>7650</v>
      </c>
      <c r="DZC1" t="s">
        <v>7651</v>
      </c>
      <c r="DZD1" t="s">
        <v>7652</v>
      </c>
      <c r="DZE1" t="s">
        <v>7653</v>
      </c>
      <c r="DZF1" t="s">
        <v>7654</v>
      </c>
      <c r="DZG1" t="s">
        <v>7655</v>
      </c>
      <c r="DZH1" t="s">
        <v>7656</v>
      </c>
      <c r="DZI1" t="s">
        <v>7657</v>
      </c>
      <c r="DZJ1" t="s">
        <v>7658</v>
      </c>
      <c r="DZK1" t="s">
        <v>7659</v>
      </c>
      <c r="DZL1" t="s">
        <v>7660</v>
      </c>
      <c r="DZM1" t="s">
        <v>7661</v>
      </c>
      <c r="DZN1" t="s">
        <v>7662</v>
      </c>
      <c r="DZO1" t="s">
        <v>7663</v>
      </c>
      <c r="DZP1" t="s">
        <v>7664</v>
      </c>
      <c r="DZQ1" t="s">
        <v>7665</v>
      </c>
      <c r="DZR1" t="s">
        <v>7666</v>
      </c>
      <c r="DZS1" t="s">
        <v>7667</v>
      </c>
      <c r="DZT1" t="s">
        <v>7668</v>
      </c>
      <c r="DZU1" t="s">
        <v>7669</v>
      </c>
      <c r="DZV1" t="s">
        <v>7670</v>
      </c>
      <c r="DZW1" t="s">
        <v>7671</v>
      </c>
      <c r="DZX1" t="s">
        <v>7672</v>
      </c>
      <c r="DZY1" t="s">
        <v>7673</v>
      </c>
      <c r="DZZ1" t="s">
        <v>7674</v>
      </c>
      <c r="EAA1" t="s">
        <v>7675</v>
      </c>
      <c r="EAB1" t="s">
        <v>7676</v>
      </c>
      <c r="EAC1" t="s">
        <v>7677</v>
      </c>
      <c r="EAD1" t="s">
        <v>7678</v>
      </c>
      <c r="EAE1" t="s">
        <v>7679</v>
      </c>
      <c r="EAF1" t="s">
        <v>7680</v>
      </c>
      <c r="EAG1" t="s">
        <v>7681</v>
      </c>
      <c r="EAH1" t="s">
        <v>7682</v>
      </c>
      <c r="EAI1" t="s">
        <v>7683</v>
      </c>
      <c r="EAJ1" t="s">
        <v>7684</v>
      </c>
      <c r="EAK1" t="s">
        <v>7685</v>
      </c>
      <c r="EAL1" t="s">
        <v>7686</v>
      </c>
      <c r="EAM1" t="s">
        <v>7687</v>
      </c>
      <c r="EAN1" t="s">
        <v>7688</v>
      </c>
      <c r="EAO1" t="s">
        <v>7689</v>
      </c>
      <c r="EAP1" t="s">
        <v>7690</v>
      </c>
      <c r="EAQ1" t="s">
        <v>7691</v>
      </c>
      <c r="EAR1" t="s">
        <v>7692</v>
      </c>
      <c r="EAS1" t="s">
        <v>7693</v>
      </c>
      <c r="EAT1" t="s">
        <v>7694</v>
      </c>
      <c r="EAU1" t="s">
        <v>7695</v>
      </c>
      <c r="EAV1" t="s">
        <v>7696</v>
      </c>
      <c r="EAW1" t="s">
        <v>7697</v>
      </c>
      <c r="EAX1" t="s">
        <v>7698</v>
      </c>
      <c r="EAY1" t="s">
        <v>7699</v>
      </c>
      <c r="EAZ1" t="s">
        <v>7700</v>
      </c>
      <c r="EBA1" t="s">
        <v>7701</v>
      </c>
      <c r="EBB1" t="s">
        <v>7702</v>
      </c>
      <c r="EBC1" t="s">
        <v>7703</v>
      </c>
      <c r="EBD1" t="s">
        <v>7704</v>
      </c>
      <c r="EBE1" t="s">
        <v>7705</v>
      </c>
      <c r="EBF1" t="s">
        <v>7706</v>
      </c>
      <c r="EBG1" t="s">
        <v>7707</v>
      </c>
      <c r="EBH1" t="s">
        <v>7708</v>
      </c>
      <c r="EBI1" t="s">
        <v>7709</v>
      </c>
      <c r="EBJ1" t="s">
        <v>7710</v>
      </c>
      <c r="EBK1" t="s">
        <v>7711</v>
      </c>
      <c r="EBL1" t="s">
        <v>7712</v>
      </c>
      <c r="EBM1" t="s">
        <v>7713</v>
      </c>
      <c r="EBN1" t="s">
        <v>7714</v>
      </c>
      <c r="EBO1" t="s">
        <v>7715</v>
      </c>
      <c r="EBP1" t="s">
        <v>7716</v>
      </c>
      <c r="EBQ1" t="s">
        <v>7717</v>
      </c>
      <c r="EBR1" t="s">
        <v>7718</v>
      </c>
      <c r="EBS1" t="s">
        <v>7719</v>
      </c>
      <c r="EBT1" t="s">
        <v>7720</v>
      </c>
      <c r="EBU1" t="s">
        <v>7721</v>
      </c>
      <c r="EBV1" t="s">
        <v>7722</v>
      </c>
      <c r="EBW1" t="s">
        <v>7723</v>
      </c>
      <c r="EBX1" t="s">
        <v>7724</v>
      </c>
      <c r="EBY1" t="s">
        <v>7725</v>
      </c>
      <c r="EBZ1" t="s">
        <v>7726</v>
      </c>
      <c r="ECA1" t="s">
        <v>7727</v>
      </c>
      <c r="ECB1" t="s">
        <v>7728</v>
      </c>
      <c r="ECC1" t="s">
        <v>7729</v>
      </c>
      <c r="ECD1" t="s">
        <v>7730</v>
      </c>
      <c r="ECE1" t="s">
        <v>7731</v>
      </c>
      <c r="ECF1" t="s">
        <v>7732</v>
      </c>
      <c r="ECG1" t="s">
        <v>7733</v>
      </c>
      <c r="ECH1" t="s">
        <v>7734</v>
      </c>
      <c r="ECI1" t="s">
        <v>7735</v>
      </c>
      <c r="ECJ1" t="s">
        <v>7736</v>
      </c>
      <c r="ECK1" t="s">
        <v>7737</v>
      </c>
      <c r="ECL1" t="s">
        <v>7738</v>
      </c>
      <c r="ECM1" t="s">
        <v>7739</v>
      </c>
      <c r="ECN1" t="s">
        <v>7740</v>
      </c>
      <c r="ECO1" t="s">
        <v>7741</v>
      </c>
      <c r="ECP1" t="s">
        <v>7742</v>
      </c>
      <c r="ECQ1" t="s">
        <v>7743</v>
      </c>
      <c r="ECR1" t="s">
        <v>7744</v>
      </c>
      <c r="ECS1" t="s">
        <v>7745</v>
      </c>
      <c r="ECT1" t="s">
        <v>7746</v>
      </c>
      <c r="ECU1" t="s">
        <v>7747</v>
      </c>
      <c r="ECV1" t="s">
        <v>7748</v>
      </c>
      <c r="ECW1" t="s">
        <v>7749</v>
      </c>
      <c r="ECX1" t="s">
        <v>7750</v>
      </c>
      <c r="ECY1" t="s">
        <v>7751</v>
      </c>
      <c r="ECZ1" t="s">
        <v>7752</v>
      </c>
      <c r="EDA1" t="s">
        <v>7753</v>
      </c>
      <c r="EDB1" t="s">
        <v>7754</v>
      </c>
      <c r="EDC1" t="s">
        <v>7755</v>
      </c>
      <c r="EDD1" t="s">
        <v>7756</v>
      </c>
      <c r="EDE1" t="s">
        <v>7757</v>
      </c>
      <c r="EDF1" t="s">
        <v>7758</v>
      </c>
      <c r="EDG1" t="s">
        <v>7759</v>
      </c>
      <c r="EDH1" t="s">
        <v>7760</v>
      </c>
      <c r="EDI1" t="s">
        <v>7761</v>
      </c>
      <c r="EDJ1" t="s">
        <v>7762</v>
      </c>
      <c r="EDK1" t="s">
        <v>7763</v>
      </c>
      <c r="EDL1" t="s">
        <v>7764</v>
      </c>
      <c r="EDM1" t="s">
        <v>7765</v>
      </c>
      <c r="EDN1" t="s">
        <v>7766</v>
      </c>
      <c r="EDO1" t="s">
        <v>7767</v>
      </c>
      <c r="EDP1" t="s">
        <v>7768</v>
      </c>
      <c r="EDQ1" t="s">
        <v>7769</v>
      </c>
      <c r="EDR1" t="s">
        <v>7770</v>
      </c>
      <c r="EDS1" t="s">
        <v>7771</v>
      </c>
      <c r="EDT1" t="s">
        <v>7772</v>
      </c>
      <c r="EDU1" t="s">
        <v>7773</v>
      </c>
      <c r="EDV1" t="s">
        <v>7774</v>
      </c>
      <c r="EDW1" t="s">
        <v>7775</v>
      </c>
      <c r="EDX1" t="s">
        <v>7776</v>
      </c>
      <c r="EDY1" t="s">
        <v>7777</v>
      </c>
      <c r="EDZ1" t="s">
        <v>7778</v>
      </c>
      <c r="EEA1" t="s">
        <v>7779</v>
      </c>
      <c r="EEB1" t="s">
        <v>7780</v>
      </c>
      <c r="EEC1" t="s">
        <v>7781</v>
      </c>
      <c r="EED1" t="s">
        <v>7782</v>
      </c>
      <c r="EEE1" t="s">
        <v>7783</v>
      </c>
      <c r="EEF1" t="s">
        <v>7784</v>
      </c>
      <c r="EEG1" t="s">
        <v>7785</v>
      </c>
      <c r="EEH1" t="s">
        <v>7786</v>
      </c>
      <c r="EEI1" t="s">
        <v>7787</v>
      </c>
      <c r="EEJ1" t="s">
        <v>7788</v>
      </c>
      <c r="EEK1" t="s">
        <v>7789</v>
      </c>
      <c r="EEL1" t="s">
        <v>7790</v>
      </c>
      <c r="EEM1" t="s">
        <v>7791</v>
      </c>
      <c r="EEN1" t="s">
        <v>7792</v>
      </c>
      <c r="EEO1" t="s">
        <v>7793</v>
      </c>
      <c r="EEP1" t="s">
        <v>7794</v>
      </c>
      <c r="EEQ1" t="s">
        <v>7795</v>
      </c>
      <c r="EER1" t="s">
        <v>7796</v>
      </c>
      <c r="EES1" t="s">
        <v>7797</v>
      </c>
      <c r="EET1" t="s">
        <v>7798</v>
      </c>
      <c r="EEU1" t="s">
        <v>7799</v>
      </c>
      <c r="EEV1" t="s">
        <v>7800</v>
      </c>
      <c r="EEW1" t="s">
        <v>7801</v>
      </c>
      <c r="EEX1" t="s">
        <v>7802</v>
      </c>
      <c r="EEY1" t="s">
        <v>7803</v>
      </c>
      <c r="EEZ1" t="s">
        <v>7804</v>
      </c>
      <c r="EFA1" t="s">
        <v>7805</v>
      </c>
      <c r="EFB1" t="s">
        <v>7806</v>
      </c>
      <c r="EFC1" t="s">
        <v>7807</v>
      </c>
      <c r="EFD1" t="s">
        <v>7808</v>
      </c>
      <c r="EFE1" t="s">
        <v>7809</v>
      </c>
      <c r="EFF1" t="s">
        <v>7810</v>
      </c>
      <c r="EFG1" t="s">
        <v>7811</v>
      </c>
      <c r="EFH1" t="s">
        <v>7812</v>
      </c>
      <c r="EFI1" t="s">
        <v>7813</v>
      </c>
      <c r="EFJ1" t="s">
        <v>7814</v>
      </c>
      <c r="EFK1" t="s">
        <v>7815</v>
      </c>
      <c r="EFL1" t="s">
        <v>7816</v>
      </c>
      <c r="EFM1" t="s">
        <v>7817</v>
      </c>
      <c r="EFN1" t="s">
        <v>7818</v>
      </c>
      <c r="EFO1" t="s">
        <v>7819</v>
      </c>
      <c r="EFP1" t="s">
        <v>7820</v>
      </c>
      <c r="EFQ1" t="s">
        <v>7821</v>
      </c>
      <c r="EFR1" t="s">
        <v>7822</v>
      </c>
      <c r="EFS1" t="s">
        <v>7823</v>
      </c>
      <c r="EFT1" t="s">
        <v>7824</v>
      </c>
      <c r="EFU1" t="s">
        <v>7825</v>
      </c>
      <c r="EFV1" t="s">
        <v>7826</v>
      </c>
      <c r="EFW1" t="s">
        <v>7827</v>
      </c>
      <c r="EFX1" t="s">
        <v>7828</v>
      </c>
      <c r="EFY1" t="s">
        <v>7829</v>
      </c>
      <c r="EFZ1" t="s">
        <v>7830</v>
      </c>
      <c r="EGA1" t="s">
        <v>7831</v>
      </c>
      <c r="EGB1" t="s">
        <v>7832</v>
      </c>
      <c r="EGC1" t="s">
        <v>7833</v>
      </c>
      <c r="EGD1" t="s">
        <v>7834</v>
      </c>
      <c r="EGE1" t="s">
        <v>7835</v>
      </c>
      <c r="EGF1" t="s">
        <v>7836</v>
      </c>
      <c r="EGG1" t="s">
        <v>7837</v>
      </c>
      <c r="EGH1" t="s">
        <v>7838</v>
      </c>
      <c r="EGI1" t="s">
        <v>7839</v>
      </c>
      <c r="EGJ1" t="s">
        <v>7840</v>
      </c>
      <c r="EGK1" t="s">
        <v>7841</v>
      </c>
      <c r="EGL1" t="s">
        <v>7842</v>
      </c>
      <c r="EGM1" t="s">
        <v>7843</v>
      </c>
      <c r="EGN1" t="s">
        <v>7844</v>
      </c>
      <c r="EGO1" t="s">
        <v>7845</v>
      </c>
      <c r="EGP1" t="s">
        <v>7846</v>
      </c>
      <c r="EGQ1" t="s">
        <v>7847</v>
      </c>
      <c r="EGR1" t="s">
        <v>7848</v>
      </c>
      <c r="EGS1" t="s">
        <v>7849</v>
      </c>
      <c r="EGT1" t="s">
        <v>7850</v>
      </c>
      <c r="EGU1" t="s">
        <v>7851</v>
      </c>
      <c r="EGV1" t="s">
        <v>7852</v>
      </c>
      <c r="EGW1" t="s">
        <v>7853</v>
      </c>
      <c r="EGX1" t="s">
        <v>7854</v>
      </c>
      <c r="EGY1" t="s">
        <v>7855</v>
      </c>
      <c r="EGZ1" t="s">
        <v>7856</v>
      </c>
      <c r="EHA1" t="s">
        <v>7857</v>
      </c>
      <c r="EHB1" t="s">
        <v>7858</v>
      </c>
      <c r="EHC1" t="s">
        <v>7859</v>
      </c>
      <c r="EHD1" t="s">
        <v>7860</v>
      </c>
      <c r="EHE1" t="s">
        <v>7861</v>
      </c>
      <c r="EHF1" t="s">
        <v>7862</v>
      </c>
      <c r="EHG1" t="s">
        <v>7863</v>
      </c>
      <c r="EHH1" t="s">
        <v>7864</v>
      </c>
      <c r="EHI1" t="s">
        <v>7865</v>
      </c>
      <c r="EHJ1" t="s">
        <v>7866</v>
      </c>
      <c r="EHK1" t="s">
        <v>7867</v>
      </c>
      <c r="EHL1" t="s">
        <v>7868</v>
      </c>
      <c r="EHM1" t="s">
        <v>7869</v>
      </c>
      <c r="EHN1" t="s">
        <v>7870</v>
      </c>
      <c r="EHO1" t="s">
        <v>7871</v>
      </c>
      <c r="EHP1" t="s">
        <v>7872</v>
      </c>
      <c r="EHQ1" t="s">
        <v>7873</v>
      </c>
      <c r="EHR1" t="s">
        <v>7874</v>
      </c>
      <c r="EHS1" t="s">
        <v>7875</v>
      </c>
      <c r="EHT1" t="s">
        <v>7876</v>
      </c>
      <c r="EHU1" t="s">
        <v>7877</v>
      </c>
      <c r="EHV1" t="s">
        <v>7878</v>
      </c>
      <c r="EHW1" t="s">
        <v>7879</v>
      </c>
      <c r="EHX1" t="s">
        <v>7880</v>
      </c>
      <c r="EHY1" t="s">
        <v>7881</v>
      </c>
      <c r="EHZ1" t="s">
        <v>7882</v>
      </c>
      <c r="EIA1" t="s">
        <v>7883</v>
      </c>
      <c r="EIB1" t="s">
        <v>7884</v>
      </c>
      <c r="EIC1" t="s">
        <v>7885</v>
      </c>
      <c r="EID1" t="s">
        <v>7886</v>
      </c>
      <c r="EIE1" t="s">
        <v>7887</v>
      </c>
      <c r="EIF1" t="s">
        <v>7888</v>
      </c>
      <c r="EIG1" t="s">
        <v>7889</v>
      </c>
      <c r="EIH1" t="s">
        <v>7890</v>
      </c>
      <c r="EII1" t="s">
        <v>7891</v>
      </c>
      <c r="EIJ1" t="s">
        <v>7892</v>
      </c>
      <c r="EIK1" t="s">
        <v>7893</v>
      </c>
      <c r="EIL1" t="s">
        <v>7894</v>
      </c>
      <c r="EIM1" t="s">
        <v>7895</v>
      </c>
      <c r="EIN1" t="s">
        <v>7896</v>
      </c>
      <c r="EIO1" t="s">
        <v>7897</v>
      </c>
      <c r="EIP1" t="s">
        <v>7898</v>
      </c>
      <c r="EIQ1" t="s">
        <v>7899</v>
      </c>
      <c r="EIR1" t="s">
        <v>7900</v>
      </c>
      <c r="EIS1" t="s">
        <v>7901</v>
      </c>
      <c r="EIT1" t="s">
        <v>7902</v>
      </c>
      <c r="EIU1" t="s">
        <v>7903</v>
      </c>
      <c r="EIV1" t="s">
        <v>7904</v>
      </c>
      <c r="EIW1" t="s">
        <v>7905</v>
      </c>
      <c r="EIX1" t="s">
        <v>7906</v>
      </c>
      <c r="EIY1" t="s">
        <v>7907</v>
      </c>
      <c r="EIZ1" t="s">
        <v>7908</v>
      </c>
      <c r="EJA1" t="s">
        <v>7909</v>
      </c>
      <c r="EJB1" t="s">
        <v>7910</v>
      </c>
      <c r="EJC1" t="s">
        <v>7911</v>
      </c>
      <c r="EJD1" t="s">
        <v>7912</v>
      </c>
      <c r="EJE1" t="s">
        <v>7913</v>
      </c>
      <c r="EJF1" t="s">
        <v>7914</v>
      </c>
      <c r="EJG1" t="s">
        <v>7915</v>
      </c>
      <c r="EJH1" t="s">
        <v>7916</v>
      </c>
      <c r="EJI1" t="s">
        <v>7917</v>
      </c>
      <c r="EJJ1" t="s">
        <v>7918</v>
      </c>
      <c r="EJK1" t="s">
        <v>7919</v>
      </c>
      <c r="EJL1" t="s">
        <v>7920</v>
      </c>
      <c r="EJM1" t="s">
        <v>7921</v>
      </c>
      <c r="EJN1" t="s">
        <v>7922</v>
      </c>
      <c r="EJO1" t="s">
        <v>7923</v>
      </c>
      <c r="EJP1" t="s">
        <v>7924</v>
      </c>
      <c r="EJQ1" t="s">
        <v>7925</v>
      </c>
      <c r="EJR1" t="s">
        <v>7926</v>
      </c>
      <c r="EJS1" t="s">
        <v>7927</v>
      </c>
      <c r="EJT1" t="s">
        <v>7928</v>
      </c>
      <c r="EJU1" t="s">
        <v>7929</v>
      </c>
      <c r="EJV1" t="s">
        <v>7930</v>
      </c>
      <c r="EJW1" t="s">
        <v>7931</v>
      </c>
      <c r="EJX1" t="s">
        <v>7932</v>
      </c>
      <c r="EJY1" t="s">
        <v>7933</v>
      </c>
      <c r="EJZ1" t="s">
        <v>7934</v>
      </c>
      <c r="EKA1" t="s">
        <v>7935</v>
      </c>
      <c r="EKB1" t="s">
        <v>7936</v>
      </c>
      <c r="EKC1" t="s">
        <v>7937</v>
      </c>
      <c r="EKD1" t="s">
        <v>7938</v>
      </c>
      <c r="EKE1" t="s">
        <v>7939</v>
      </c>
      <c r="EKF1" t="s">
        <v>7940</v>
      </c>
      <c r="EKG1" t="s">
        <v>7941</v>
      </c>
      <c r="EKH1" t="s">
        <v>7942</v>
      </c>
      <c r="EKI1" t="s">
        <v>7943</v>
      </c>
      <c r="EKJ1" t="s">
        <v>7944</v>
      </c>
      <c r="EKK1" t="s">
        <v>7945</v>
      </c>
      <c r="EKL1" t="s">
        <v>7946</v>
      </c>
      <c r="EKM1" t="s">
        <v>7947</v>
      </c>
      <c r="EKN1" t="s">
        <v>7948</v>
      </c>
      <c r="EKO1" t="s">
        <v>7949</v>
      </c>
      <c r="EKP1" t="s">
        <v>7950</v>
      </c>
      <c r="EKQ1" t="s">
        <v>7951</v>
      </c>
      <c r="EKR1" t="s">
        <v>7952</v>
      </c>
      <c r="EKS1" t="s">
        <v>7953</v>
      </c>
      <c r="EKT1" t="s">
        <v>7954</v>
      </c>
      <c r="EKU1" t="s">
        <v>7955</v>
      </c>
      <c r="EKV1" t="s">
        <v>7956</v>
      </c>
      <c r="EKW1" t="s">
        <v>7957</v>
      </c>
      <c r="EKX1" t="s">
        <v>7958</v>
      </c>
      <c r="EKY1" t="s">
        <v>7959</v>
      </c>
      <c r="EKZ1" t="s">
        <v>7960</v>
      </c>
      <c r="ELA1" t="s">
        <v>7961</v>
      </c>
      <c r="ELB1" t="s">
        <v>7962</v>
      </c>
      <c r="ELC1" t="s">
        <v>7963</v>
      </c>
      <c r="ELD1" t="s">
        <v>7964</v>
      </c>
      <c r="ELE1" t="s">
        <v>7965</v>
      </c>
      <c r="ELF1" t="s">
        <v>7966</v>
      </c>
      <c r="ELG1" t="s">
        <v>7967</v>
      </c>
      <c r="ELH1" t="s">
        <v>7968</v>
      </c>
      <c r="ELI1" t="s">
        <v>7969</v>
      </c>
      <c r="ELJ1" t="s">
        <v>7970</v>
      </c>
      <c r="ELK1" t="s">
        <v>7971</v>
      </c>
      <c r="ELL1" t="s">
        <v>7972</v>
      </c>
      <c r="ELM1" t="s">
        <v>7973</v>
      </c>
      <c r="ELN1" t="s">
        <v>7974</v>
      </c>
      <c r="ELO1" t="s">
        <v>7975</v>
      </c>
      <c r="ELP1" t="s">
        <v>7976</v>
      </c>
      <c r="ELQ1" t="s">
        <v>7977</v>
      </c>
      <c r="ELR1" t="s">
        <v>7978</v>
      </c>
      <c r="ELS1" t="s">
        <v>7979</v>
      </c>
      <c r="ELT1" t="s">
        <v>7980</v>
      </c>
      <c r="ELU1" t="s">
        <v>7981</v>
      </c>
      <c r="ELV1" t="s">
        <v>7982</v>
      </c>
      <c r="ELW1" t="s">
        <v>7983</v>
      </c>
      <c r="ELX1" t="s">
        <v>7984</v>
      </c>
      <c r="ELY1" t="s">
        <v>7985</v>
      </c>
      <c r="ELZ1" t="s">
        <v>7986</v>
      </c>
      <c r="EMA1" t="s">
        <v>7987</v>
      </c>
      <c r="EMB1" t="s">
        <v>7988</v>
      </c>
      <c r="EMC1" t="s">
        <v>7989</v>
      </c>
      <c r="EMD1" t="s">
        <v>7990</v>
      </c>
      <c r="EME1" t="s">
        <v>7991</v>
      </c>
      <c r="EMF1" t="s">
        <v>7992</v>
      </c>
      <c r="EMG1" t="s">
        <v>7993</v>
      </c>
      <c r="EMH1" t="s">
        <v>7994</v>
      </c>
      <c r="EMI1" t="s">
        <v>7995</v>
      </c>
      <c r="EMJ1" t="s">
        <v>7996</v>
      </c>
      <c r="EMK1" t="s">
        <v>7997</v>
      </c>
      <c r="EML1" t="s">
        <v>7998</v>
      </c>
      <c r="EMM1" t="s">
        <v>7999</v>
      </c>
      <c r="EMN1" t="s">
        <v>8000</v>
      </c>
      <c r="EMO1" t="s">
        <v>8001</v>
      </c>
      <c r="EMP1" t="s">
        <v>8002</v>
      </c>
      <c r="EMQ1" t="s">
        <v>8003</v>
      </c>
      <c r="EMR1" t="s">
        <v>8004</v>
      </c>
      <c r="EMS1" t="s">
        <v>8005</v>
      </c>
      <c r="EMT1" t="s">
        <v>8006</v>
      </c>
      <c r="EMU1" t="s">
        <v>8007</v>
      </c>
      <c r="EMV1" t="s">
        <v>8008</v>
      </c>
      <c r="EMW1" t="s">
        <v>8009</v>
      </c>
      <c r="EMX1" t="s">
        <v>8010</v>
      </c>
      <c r="EMY1" t="s">
        <v>8011</v>
      </c>
      <c r="EMZ1" t="s">
        <v>8012</v>
      </c>
      <c r="ENA1" t="s">
        <v>8013</v>
      </c>
      <c r="ENB1" t="s">
        <v>8014</v>
      </c>
      <c r="ENC1" t="s">
        <v>8015</v>
      </c>
      <c r="END1" t="s">
        <v>8016</v>
      </c>
      <c r="ENE1" t="s">
        <v>8017</v>
      </c>
      <c r="ENF1" t="s">
        <v>8018</v>
      </c>
      <c r="ENG1" t="s">
        <v>8019</v>
      </c>
      <c r="ENH1" t="s">
        <v>8020</v>
      </c>
      <c r="ENI1" t="s">
        <v>8021</v>
      </c>
      <c r="ENJ1" t="s">
        <v>8022</v>
      </c>
      <c r="ENK1" t="s">
        <v>8023</v>
      </c>
      <c r="ENL1" t="s">
        <v>8024</v>
      </c>
      <c r="ENM1" t="s">
        <v>8025</v>
      </c>
      <c r="ENN1" t="s">
        <v>8026</v>
      </c>
      <c r="ENO1" t="s">
        <v>8027</v>
      </c>
      <c r="ENP1" t="s">
        <v>8028</v>
      </c>
      <c r="ENQ1" t="s">
        <v>8029</v>
      </c>
      <c r="ENR1" t="s">
        <v>8030</v>
      </c>
      <c r="ENS1" t="s">
        <v>8031</v>
      </c>
      <c r="ENT1" t="s">
        <v>8032</v>
      </c>
      <c r="ENU1" t="s">
        <v>8033</v>
      </c>
      <c r="ENV1" t="s">
        <v>8034</v>
      </c>
      <c r="ENW1" t="s">
        <v>8035</v>
      </c>
      <c r="ENX1" t="s">
        <v>8036</v>
      </c>
      <c r="ENY1" t="s">
        <v>8037</v>
      </c>
      <c r="ENZ1" t="s">
        <v>8038</v>
      </c>
      <c r="EOA1" t="s">
        <v>8039</v>
      </c>
      <c r="EOB1" t="s">
        <v>8040</v>
      </c>
      <c r="EOC1" t="s">
        <v>8041</v>
      </c>
      <c r="EOD1" t="s">
        <v>8042</v>
      </c>
      <c r="EOE1" t="s">
        <v>8043</v>
      </c>
      <c r="EOF1" t="s">
        <v>8044</v>
      </c>
      <c r="EOG1" t="s">
        <v>8045</v>
      </c>
      <c r="EOH1" t="s">
        <v>8046</v>
      </c>
      <c r="EOI1" t="s">
        <v>8047</v>
      </c>
      <c r="EOJ1" t="s">
        <v>8048</v>
      </c>
      <c r="EOK1" t="s">
        <v>8049</v>
      </c>
      <c r="EOL1" t="s">
        <v>8050</v>
      </c>
      <c r="EOM1" t="s">
        <v>8051</v>
      </c>
      <c r="EON1" t="s">
        <v>8052</v>
      </c>
      <c r="EOO1" t="s">
        <v>8053</v>
      </c>
      <c r="EOP1" t="s">
        <v>8054</v>
      </c>
      <c r="EOQ1" t="s">
        <v>8055</v>
      </c>
      <c r="EOR1" t="s">
        <v>8056</v>
      </c>
      <c r="EOS1" t="s">
        <v>8057</v>
      </c>
      <c r="EOT1" t="s">
        <v>8058</v>
      </c>
      <c r="EOU1" t="s">
        <v>8059</v>
      </c>
      <c r="EOV1" t="s">
        <v>8060</v>
      </c>
      <c r="EOW1" t="s">
        <v>8061</v>
      </c>
      <c r="EOX1" t="s">
        <v>8062</v>
      </c>
      <c r="EOY1" t="s">
        <v>8063</v>
      </c>
      <c r="EOZ1" t="s">
        <v>8064</v>
      </c>
      <c r="EPA1" t="s">
        <v>8065</v>
      </c>
      <c r="EPB1" t="s">
        <v>8066</v>
      </c>
      <c r="EPC1" t="s">
        <v>8067</v>
      </c>
      <c r="EPD1" t="s">
        <v>8068</v>
      </c>
      <c r="EPE1" t="s">
        <v>8069</v>
      </c>
      <c r="EPF1" t="s">
        <v>8070</v>
      </c>
      <c r="EPG1" t="s">
        <v>8071</v>
      </c>
      <c r="EPH1" t="s">
        <v>8072</v>
      </c>
      <c r="EPI1" t="s">
        <v>8073</v>
      </c>
      <c r="EPJ1" t="s">
        <v>8074</v>
      </c>
      <c r="EPK1" t="s">
        <v>8075</v>
      </c>
      <c r="EPL1" t="s">
        <v>8076</v>
      </c>
      <c r="EPM1" t="s">
        <v>8077</v>
      </c>
      <c r="EPN1" t="s">
        <v>8078</v>
      </c>
      <c r="EPO1" t="s">
        <v>8079</v>
      </c>
      <c r="EPP1" t="s">
        <v>8080</v>
      </c>
      <c r="EPQ1" t="s">
        <v>8081</v>
      </c>
      <c r="EPR1" t="s">
        <v>8082</v>
      </c>
      <c r="EPS1" t="s">
        <v>8083</v>
      </c>
      <c r="EPT1" t="s">
        <v>8084</v>
      </c>
      <c r="EPU1" t="s">
        <v>8085</v>
      </c>
      <c r="EPV1" t="s">
        <v>8086</v>
      </c>
      <c r="EPW1" t="s">
        <v>8087</v>
      </c>
      <c r="EPX1" t="s">
        <v>8088</v>
      </c>
      <c r="EPY1" t="s">
        <v>8089</v>
      </c>
      <c r="EPZ1" t="s">
        <v>8090</v>
      </c>
      <c r="EQA1" t="s">
        <v>8091</v>
      </c>
      <c r="EQB1" t="s">
        <v>8092</v>
      </c>
      <c r="EQC1" t="s">
        <v>8093</v>
      </c>
      <c r="EQD1" t="s">
        <v>8094</v>
      </c>
      <c r="EQE1" t="s">
        <v>8095</v>
      </c>
      <c r="EQF1" t="s">
        <v>8096</v>
      </c>
      <c r="EQG1" t="s">
        <v>8097</v>
      </c>
      <c r="EQH1" t="s">
        <v>8098</v>
      </c>
      <c r="EQI1" t="s">
        <v>8099</v>
      </c>
      <c r="EQJ1" t="s">
        <v>8100</v>
      </c>
      <c r="EQK1" t="s">
        <v>8101</v>
      </c>
      <c r="EQL1" t="s">
        <v>8102</v>
      </c>
      <c r="EQM1" t="s">
        <v>8103</v>
      </c>
      <c r="EQN1" t="s">
        <v>8104</v>
      </c>
      <c r="EQO1" t="s">
        <v>8105</v>
      </c>
      <c r="EQP1" t="s">
        <v>8106</v>
      </c>
      <c r="EQQ1" t="s">
        <v>8107</v>
      </c>
      <c r="EQR1" t="s">
        <v>8108</v>
      </c>
      <c r="EQS1" t="s">
        <v>8109</v>
      </c>
      <c r="EQT1" t="s">
        <v>8110</v>
      </c>
      <c r="EQU1" t="s">
        <v>8111</v>
      </c>
      <c r="EQV1" t="s">
        <v>8112</v>
      </c>
      <c r="EQW1" t="s">
        <v>8113</v>
      </c>
      <c r="EQX1" t="s">
        <v>8114</v>
      </c>
      <c r="EQY1" t="s">
        <v>8115</v>
      </c>
      <c r="EQZ1" t="s">
        <v>8116</v>
      </c>
      <c r="ERA1" t="s">
        <v>8117</v>
      </c>
      <c r="ERB1" t="s">
        <v>8118</v>
      </c>
      <c r="ERC1" t="s">
        <v>8119</v>
      </c>
      <c r="ERD1" t="s">
        <v>8120</v>
      </c>
      <c r="ERE1" t="s">
        <v>8121</v>
      </c>
      <c r="ERF1" t="s">
        <v>8122</v>
      </c>
      <c r="ERG1" t="s">
        <v>8123</v>
      </c>
      <c r="ERH1" t="s">
        <v>8124</v>
      </c>
      <c r="ERI1" t="s">
        <v>8125</v>
      </c>
      <c r="ERJ1" t="s">
        <v>8126</v>
      </c>
      <c r="ERK1" t="s">
        <v>8127</v>
      </c>
      <c r="ERL1" t="s">
        <v>8128</v>
      </c>
      <c r="ERM1" t="s">
        <v>8129</v>
      </c>
      <c r="ERN1" t="s">
        <v>8130</v>
      </c>
      <c r="ERO1" t="s">
        <v>8131</v>
      </c>
      <c r="ERP1" t="s">
        <v>8132</v>
      </c>
      <c r="ERQ1" t="s">
        <v>8133</v>
      </c>
      <c r="ERR1" t="s">
        <v>8134</v>
      </c>
      <c r="ERS1" t="s">
        <v>8135</v>
      </c>
      <c r="ERT1" t="s">
        <v>8136</v>
      </c>
      <c r="ERU1" t="s">
        <v>8137</v>
      </c>
      <c r="ERV1" t="s">
        <v>8138</v>
      </c>
      <c r="ERW1" t="s">
        <v>8139</v>
      </c>
      <c r="ERX1" t="s">
        <v>8140</v>
      </c>
      <c r="ERY1" t="s">
        <v>8141</v>
      </c>
      <c r="ERZ1" t="s">
        <v>8142</v>
      </c>
      <c r="ESA1" t="s">
        <v>8143</v>
      </c>
      <c r="ESB1" t="s">
        <v>8144</v>
      </c>
      <c r="ESC1" t="s">
        <v>8145</v>
      </c>
      <c r="ESD1" t="s">
        <v>8146</v>
      </c>
      <c r="ESE1" t="s">
        <v>8147</v>
      </c>
      <c r="ESF1" t="s">
        <v>8148</v>
      </c>
      <c r="ESG1" t="s">
        <v>8149</v>
      </c>
      <c r="ESH1" t="s">
        <v>8150</v>
      </c>
      <c r="ESI1" t="s">
        <v>8151</v>
      </c>
      <c r="ESJ1" t="s">
        <v>8152</v>
      </c>
      <c r="ESK1" t="s">
        <v>8153</v>
      </c>
      <c r="ESL1" t="s">
        <v>8154</v>
      </c>
      <c r="ESM1" t="s">
        <v>8155</v>
      </c>
      <c r="ESN1" t="s">
        <v>8156</v>
      </c>
      <c r="ESO1" t="s">
        <v>8157</v>
      </c>
      <c r="ESP1" t="s">
        <v>8158</v>
      </c>
      <c r="ESQ1" t="s">
        <v>8159</v>
      </c>
      <c r="ESR1" t="s">
        <v>8160</v>
      </c>
      <c r="ESS1" t="s">
        <v>8161</v>
      </c>
      <c r="EST1" t="s">
        <v>8162</v>
      </c>
      <c r="ESU1" t="s">
        <v>8163</v>
      </c>
      <c r="ESV1" t="s">
        <v>8164</v>
      </c>
      <c r="ESW1" t="s">
        <v>8165</v>
      </c>
      <c r="ESX1" t="s">
        <v>8166</v>
      </c>
      <c r="ESY1" t="s">
        <v>8167</v>
      </c>
      <c r="ESZ1" t="s">
        <v>8168</v>
      </c>
      <c r="ETA1" t="s">
        <v>8169</v>
      </c>
      <c r="ETB1" t="s">
        <v>8170</v>
      </c>
      <c r="ETC1" t="s">
        <v>8171</v>
      </c>
      <c r="ETD1" t="s">
        <v>8172</v>
      </c>
      <c r="ETE1" t="s">
        <v>8173</v>
      </c>
      <c r="ETF1" t="s">
        <v>8174</v>
      </c>
      <c r="ETG1" t="s">
        <v>8175</v>
      </c>
      <c r="ETH1" t="s">
        <v>8176</v>
      </c>
      <c r="ETI1" t="s">
        <v>8177</v>
      </c>
      <c r="ETJ1" t="s">
        <v>8178</v>
      </c>
      <c r="ETK1" t="s">
        <v>8179</v>
      </c>
      <c r="ETL1" t="s">
        <v>8180</v>
      </c>
      <c r="ETM1" t="s">
        <v>8181</v>
      </c>
      <c r="ETN1" t="s">
        <v>8182</v>
      </c>
      <c r="ETO1" t="s">
        <v>8183</v>
      </c>
      <c r="ETP1" t="s">
        <v>8184</v>
      </c>
      <c r="ETQ1" t="s">
        <v>8185</v>
      </c>
      <c r="ETR1" t="s">
        <v>8186</v>
      </c>
      <c r="ETS1" t="s">
        <v>8187</v>
      </c>
      <c r="ETT1" t="s">
        <v>8188</v>
      </c>
      <c r="ETU1" t="s">
        <v>8189</v>
      </c>
      <c r="ETV1" t="s">
        <v>8190</v>
      </c>
      <c r="ETW1" t="s">
        <v>8191</v>
      </c>
      <c r="ETX1" t="s">
        <v>8192</v>
      </c>
      <c r="ETY1" t="s">
        <v>8193</v>
      </c>
      <c r="ETZ1" t="s">
        <v>8194</v>
      </c>
      <c r="EUA1" t="s">
        <v>8195</v>
      </c>
      <c r="EUB1" t="s">
        <v>8196</v>
      </c>
      <c r="EUC1" t="s">
        <v>8197</v>
      </c>
      <c r="EUD1" t="s">
        <v>8198</v>
      </c>
      <c r="EUE1" t="s">
        <v>8199</v>
      </c>
      <c r="EUF1" t="s">
        <v>8200</v>
      </c>
      <c r="EUG1" t="s">
        <v>8201</v>
      </c>
      <c r="EUH1" t="s">
        <v>8202</v>
      </c>
      <c r="EUI1" t="s">
        <v>8203</v>
      </c>
      <c r="EUJ1" t="s">
        <v>8204</v>
      </c>
      <c r="EUK1" t="s">
        <v>8205</v>
      </c>
      <c r="EUL1" t="s">
        <v>8206</v>
      </c>
      <c r="EUM1" t="s">
        <v>8207</v>
      </c>
      <c r="EUN1" t="s">
        <v>8208</v>
      </c>
      <c r="EUO1" t="s">
        <v>8209</v>
      </c>
      <c r="EUP1" t="s">
        <v>8210</v>
      </c>
      <c r="EUQ1" t="s">
        <v>8211</v>
      </c>
      <c r="EUR1" t="s">
        <v>8212</v>
      </c>
      <c r="EUS1" t="s">
        <v>8213</v>
      </c>
      <c r="EUT1" t="s">
        <v>8214</v>
      </c>
      <c r="EUU1" t="s">
        <v>8215</v>
      </c>
      <c r="EUV1" t="s">
        <v>8216</v>
      </c>
      <c r="EUW1" t="s">
        <v>8217</v>
      </c>
      <c r="EUX1" t="s">
        <v>8218</v>
      </c>
      <c r="EUY1" t="s">
        <v>8219</v>
      </c>
      <c r="EUZ1" t="s">
        <v>8220</v>
      </c>
      <c r="EVA1" t="s">
        <v>8221</v>
      </c>
      <c r="EVB1" t="s">
        <v>8222</v>
      </c>
      <c r="EVC1" t="s">
        <v>8223</v>
      </c>
      <c r="EVD1" t="s">
        <v>8224</v>
      </c>
      <c r="EVE1" t="s">
        <v>8225</v>
      </c>
      <c r="EVF1" t="s">
        <v>8226</v>
      </c>
      <c r="EVG1" t="s">
        <v>8227</v>
      </c>
      <c r="EVH1" t="s">
        <v>8228</v>
      </c>
      <c r="EVI1" t="s">
        <v>8229</v>
      </c>
      <c r="EVJ1" t="s">
        <v>8230</v>
      </c>
      <c r="EVK1" t="s">
        <v>8231</v>
      </c>
      <c r="EVL1" t="s">
        <v>8232</v>
      </c>
      <c r="EVM1" t="s">
        <v>8233</v>
      </c>
      <c r="EVN1" t="s">
        <v>8234</v>
      </c>
      <c r="EVO1" t="s">
        <v>8235</v>
      </c>
      <c r="EVP1" t="s">
        <v>8236</v>
      </c>
      <c r="EVQ1" t="s">
        <v>8237</v>
      </c>
      <c r="EVR1" t="s">
        <v>8238</v>
      </c>
      <c r="EVS1" t="s">
        <v>8239</v>
      </c>
      <c r="EVT1" t="s">
        <v>8240</v>
      </c>
      <c r="EVU1" t="s">
        <v>8241</v>
      </c>
      <c r="EVV1" t="s">
        <v>8242</v>
      </c>
      <c r="EVW1" t="s">
        <v>8243</v>
      </c>
      <c r="EVX1" t="s">
        <v>8244</v>
      </c>
      <c r="EVY1" t="s">
        <v>8245</v>
      </c>
      <c r="EVZ1" t="s">
        <v>8246</v>
      </c>
      <c r="EWA1" t="s">
        <v>8247</v>
      </c>
      <c r="EWB1" t="s">
        <v>8248</v>
      </c>
      <c r="EWC1" t="s">
        <v>8249</v>
      </c>
      <c r="EWD1" t="s">
        <v>8250</v>
      </c>
      <c r="EWE1" t="s">
        <v>8251</v>
      </c>
      <c r="EWF1" t="s">
        <v>8252</v>
      </c>
      <c r="EWG1" t="s">
        <v>8253</v>
      </c>
      <c r="EWH1" t="s">
        <v>8254</v>
      </c>
      <c r="EWI1" t="s">
        <v>8255</v>
      </c>
      <c r="EWJ1" t="s">
        <v>8256</v>
      </c>
      <c r="EWK1" t="s">
        <v>8257</v>
      </c>
      <c r="EWL1" t="s">
        <v>8258</v>
      </c>
      <c r="EWM1" t="s">
        <v>8259</v>
      </c>
      <c r="EWN1" t="s">
        <v>8260</v>
      </c>
      <c r="EWO1" t="s">
        <v>8261</v>
      </c>
      <c r="EWP1" t="s">
        <v>8262</v>
      </c>
      <c r="EWQ1" t="s">
        <v>8263</v>
      </c>
      <c r="EWR1" t="s">
        <v>8264</v>
      </c>
      <c r="EWS1" t="s">
        <v>8265</v>
      </c>
      <c r="EWT1" t="s">
        <v>8266</v>
      </c>
      <c r="EWU1" t="s">
        <v>8267</v>
      </c>
      <c r="EWV1" t="s">
        <v>8268</v>
      </c>
      <c r="EWW1" t="s">
        <v>8269</v>
      </c>
      <c r="EWX1" t="s">
        <v>8270</v>
      </c>
      <c r="EWY1" t="s">
        <v>8271</v>
      </c>
      <c r="EWZ1" t="s">
        <v>8272</v>
      </c>
      <c r="EXA1" t="s">
        <v>8273</v>
      </c>
      <c r="EXB1" t="s">
        <v>8274</v>
      </c>
      <c r="EXC1" t="s">
        <v>8275</v>
      </c>
      <c r="EXD1" t="s">
        <v>8276</v>
      </c>
      <c r="EXE1" t="s">
        <v>8277</v>
      </c>
      <c r="EXF1" t="s">
        <v>8278</v>
      </c>
      <c r="EXG1" t="s">
        <v>8279</v>
      </c>
      <c r="EXH1" t="s">
        <v>8280</v>
      </c>
      <c r="EXI1" t="s">
        <v>8281</v>
      </c>
      <c r="EXJ1" t="s">
        <v>8282</v>
      </c>
      <c r="EXK1" t="s">
        <v>8283</v>
      </c>
      <c r="EXL1" t="s">
        <v>8284</v>
      </c>
      <c r="EXM1" t="s">
        <v>8285</v>
      </c>
      <c r="EXN1" t="s">
        <v>8286</v>
      </c>
      <c r="EXO1" t="s">
        <v>8287</v>
      </c>
      <c r="EXP1" t="s">
        <v>8288</v>
      </c>
      <c r="EXQ1" t="s">
        <v>8289</v>
      </c>
      <c r="EXR1" t="s">
        <v>8290</v>
      </c>
      <c r="EXS1" t="s">
        <v>8291</v>
      </c>
      <c r="EXT1" t="s">
        <v>8292</v>
      </c>
      <c r="EXU1" t="s">
        <v>8293</v>
      </c>
      <c r="EXV1" t="s">
        <v>8294</v>
      </c>
      <c r="EXW1" t="s">
        <v>8295</v>
      </c>
      <c r="EXX1" t="s">
        <v>8296</v>
      </c>
      <c r="EXY1" t="s">
        <v>8297</v>
      </c>
      <c r="EXZ1" t="s">
        <v>8298</v>
      </c>
      <c r="EYA1" t="s">
        <v>8299</v>
      </c>
      <c r="EYB1" t="s">
        <v>8300</v>
      </c>
      <c r="EYC1" t="s">
        <v>8301</v>
      </c>
      <c r="EYD1" t="s">
        <v>8302</v>
      </c>
      <c r="EYE1" t="s">
        <v>8303</v>
      </c>
      <c r="EYF1" t="s">
        <v>8304</v>
      </c>
      <c r="EYG1" t="s">
        <v>8305</v>
      </c>
      <c r="EYH1" t="s">
        <v>8306</v>
      </c>
      <c r="EYI1" t="s">
        <v>8307</v>
      </c>
      <c r="EYJ1" t="s">
        <v>8308</v>
      </c>
      <c r="EYK1" t="s">
        <v>8309</v>
      </c>
      <c r="EYL1" t="s">
        <v>8310</v>
      </c>
      <c r="EYM1" t="s">
        <v>8311</v>
      </c>
      <c r="EYN1" t="s">
        <v>8312</v>
      </c>
      <c r="EYO1" t="s">
        <v>8313</v>
      </c>
      <c r="EYP1" t="s">
        <v>8314</v>
      </c>
      <c r="EYQ1" t="s">
        <v>8315</v>
      </c>
      <c r="EYR1" t="s">
        <v>8316</v>
      </c>
      <c r="EYS1" t="s">
        <v>8317</v>
      </c>
      <c r="EYT1" t="s">
        <v>8318</v>
      </c>
      <c r="EYU1" t="s">
        <v>8319</v>
      </c>
      <c r="EYV1" t="s">
        <v>8320</v>
      </c>
      <c r="EYW1" t="s">
        <v>8321</v>
      </c>
      <c r="EYX1" t="s">
        <v>8322</v>
      </c>
      <c r="EYY1" t="s">
        <v>8323</v>
      </c>
      <c r="EYZ1" t="s">
        <v>8324</v>
      </c>
      <c r="EZA1" t="s">
        <v>8325</v>
      </c>
      <c r="EZB1" t="s">
        <v>8326</v>
      </c>
      <c r="EZC1" t="s">
        <v>8327</v>
      </c>
      <c r="EZD1" t="s">
        <v>8328</v>
      </c>
      <c r="EZE1" t="s">
        <v>8329</v>
      </c>
      <c r="EZF1" t="s">
        <v>8330</v>
      </c>
      <c r="EZG1" t="s">
        <v>8331</v>
      </c>
      <c r="EZH1" t="s">
        <v>8332</v>
      </c>
      <c r="EZI1" t="s">
        <v>8333</v>
      </c>
      <c r="EZJ1" t="s">
        <v>8334</v>
      </c>
      <c r="EZK1" t="s">
        <v>8335</v>
      </c>
      <c r="EZL1" t="s">
        <v>8336</v>
      </c>
      <c r="EZM1" t="s">
        <v>8337</v>
      </c>
      <c r="EZN1" t="s">
        <v>8338</v>
      </c>
      <c r="EZO1" t="s">
        <v>8339</v>
      </c>
      <c r="EZP1" t="s">
        <v>8340</v>
      </c>
      <c r="EZQ1" t="s">
        <v>8341</v>
      </c>
      <c r="EZR1" t="s">
        <v>8342</v>
      </c>
      <c r="EZS1" t="s">
        <v>8343</v>
      </c>
      <c r="EZT1" t="s">
        <v>8344</v>
      </c>
      <c r="EZU1" t="s">
        <v>8345</v>
      </c>
      <c r="EZV1" t="s">
        <v>8346</v>
      </c>
      <c r="EZW1" t="s">
        <v>8347</v>
      </c>
      <c r="EZX1" t="s">
        <v>8348</v>
      </c>
      <c r="EZY1" t="s">
        <v>8349</v>
      </c>
      <c r="EZZ1" t="s">
        <v>8350</v>
      </c>
      <c r="FAA1" t="s">
        <v>8351</v>
      </c>
      <c r="FAB1" t="s">
        <v>8352</v>
      </c>
      <c r="FAC1" t="s">
        <v>8353</v>
      </c>
      <c r="FAD1" t="s">
        <v>8354</v>
      </c>
      <c r="FAE1" t="s">
        <v>8355</v>
      </c>
      <c r="FAF1" t="s">
        <v>8356</v>
      </c>
      <c r="FAG1" t="s">
        <v>8357</v>
      </c>
      <c r="FAH1" t="s">
        <v>8358</v>
      </c>
      <c r="FAI1" t="s">
        <v>8359</v>
      </c>
      <c r="FAJ1" t="s">
        <v>8360</v>
      </c>
      <c r="FAK1" t="s">
        <v>8361</v>
      </c>
      <c r="FAL1" t="s">
        <v>8362</v>
      </c>
      <c r="FAM1" t="s">
        <v>8363</v>
      </c>
      <c r="FAN1" t="s">
        <v>8364</v>
      </c>
      <c r="FAO1" t="s">
        <v>8365</v>
      </c>
      <c r="FAP1" t="s">
        <v>8366</v>
      </c>
      <c r="FAQ1" t="s">
        <v>8367</v>
      </c>
      <c r="FAR1" t="s">
        <v>8368</v>
      </c>
      <c r="FAS1" t="s">
        <v>8369</v>
      </c>
      <c r="FAT1" t="s">
        <v>8370</v>
      </c>
      <c r="FAU1" t="s">
        <v>8371</v>
      </c>
      <c r="FAV1" t="s">
        <v>8372</v>
      </c>
      <c r="FAW1" t="s">
        <v>8373</v>
      </c>
      <c r="FAX1" t="s">
        <v>8374</v>
      </c>
      <c r="FAY1" t="s">
        <v>8375</v>
      </c>
      <c r="FAZ1" t="s">
        <v>8376</v>
      </c>
      <c r="FBA1" t="s">
        <v>8377</v>
      </c>
      <c r="FBB1" t="s">
        <v>8378</v>
      </c>
      <c r="FBC1" t="s">
        <v>8379</v>
      </c>
      <c r="FBD1" t="s">
        <v>8380</v>
      </c>
      <c r="FBE1" t="s">
        <v>8381</v>
      </c>
      <c r="FBF1" t="s">
        <v>8382</v>
      </c>
      <c r="FBG1" t="s">
        <v>8383</v>
      </c>
      <c r="FBH1" t="s">
        <v>8384</v>
      </c>
      <c r="FBI1" t="s">
        <v>8385</v>
      </c>
      <c r="FBJ1" t="s">
        <v>8386</v>
      </c>
      <c r="FBK1" t="s">
        <v>8387</v>
      </c>
      <c r="FBL1" t="s">
        <v>8388</v>
      </c>
      <c r="FBM1" t="s">
        <v>8389</v>
      </c>
      <c r="FBN1" t="s">
        <v>8390</v>
      </c>
      <c r="FBO1" t="s">
        <v>8391</v>
      </c>
      <c r="FBP1" t="s">
        <v>8392</v>
      </c>
      <c r="FBQ1" t="s">
        <v>8393</v>
      </c>
      <c r="FBR1" t="s">
        <v>8394</v>
      </c>
      <c r="FBS1" t="s">
        <v>8395</v>
      </c>
      <c r="FBT1" t="s">
        <v>8396</v>
      </c>
      <c r="FBU1" t="s">
        <v>8397</v>
      </c>
      <c r="FBV1" t="s">
        <v>8398</v>
      </c>
      <c r="FBW1" t="s">
        <v>8399</v>
      </c>
      <c r="FBX1" t="s">
        <v>8400</v>
      </c>
      <c r="FBY1" t="s">
        <v>8401</v>
      </c>
      <c r="FBZ1" t="s">
        <v>8402</v>
      </c>
      <c r="FCA1" t="s">
        <v>8403</v>
      </c>
      <c r="FCB1" t="s">
        <v>8404</v>
      </c>
      <c r="FCC1" t="s">
        <v>8405</v>
      </c>
      <c r="FCD1" t="s">
        <v>8406</v>
      </c>
      <c r="FCE1" t="s">
        <v>8407</v>
      </c>
      <c r="FCF1" t="s">
        <v>8408</v>
      </c>
      <c r="FCG1" t="s">
        <v>8409</v>
      </c>
      <c r="FCH1" t="s">
        <v>8410</v>
      </c>
      <c r="FCI1" t="s">
        <v>8411</v>
      </c>
      <c r="FCJ1" t="s">
        <v>8412</v>
      </c>
      <c r="FCK1" t="s">
        <v>8413</v>
      </c>
      <c r="FCL1" t="s">
        <v>8414</v>
      </c>
      <c r="FCM1" t="s">
        <v>8415</v>
      </c>
      <c r="FCN1" t="s">
        <v>8416</v>
      </c>
      <c r="FCO1" t="s">
        <v>8417</v>
      </c>
      <c r="FCP1" t="s">
        <v>8418</v>
      </c>
      <c r="FCQ1" t="s">
        <v>8419</v>
      </c>
      <c r="FCR1" t="s">
        <v>8420</v>
      </c>
      <c r="FCS1" t="s">
        <v>8421</v>
      </c>
      <c r="FCT1" t="s">
        <v>8422</v>
      </c>
      <c r="FCU1" t="s">
        <v>8423</v>
      </c>
      <c r="FCV1" t="s">
        <v>8424</v>
      </c>
      <c r="FCW1" t="s">
        <v>8425</v>
      </c>
      <c r="FCX1" t="s">
        <v>8426</v>
      </c>
      <c r="FCY1" t="s">
        <v>8427</v>
      </c>
      <c r="FCZ1" t="s">
        <v>8428</v>
      </c>
      <c r="FDA1" t="s">
        <v>8429</v>
      </c>
      <c r="FDB1" t="s">
        <v>8430</v>
      </c>
      <c r="FDC1" t="s">
        <v>8431</v>
      </c>
      <c r="FDD1" t="s">
        <v>8432</v>
      </c>
      <c r="FDE1" t="s">
        <v>8433</v>
      </c>
      <c r="FDF1" t="s">
        <v>8434</v>
      </c>
      <c r="FDG1" t="s">
        <v>8435</v>
      </c>
      <c r="FDH1" t="s">
        <v>8436</v>
      </c>
      <c r="FDI1" t="s">
        <v>8437</v>
      </c>
      <c r="FDJ1" t="s">
        <v>8438</v>
      </c>
      <c r="FDK1" t="s">
        <v>8439</v>
      </c>
      <c r="FDL1" t="s">
        <v>8440</v>
      </c>
      <c r="FDM1" t="s">
        <v>8441</v>
      </c>
      <c r="FDN1" t="s">
        <v>8442</v>
      </c>
      <c r="FDO1" t="s">
        <v>8443</v>
      </c>
      <c r="FDP1" t="s">
        <v>8444</v>
      </c>
      <c r="FDQ1" t="s">
        <v>8445</v>
      </c>
      <c r="FDR1" t="s">
        <v>8446</v>
      </c>
      <c r="FDS1" t="s">
        <v>8447</v>
      </c>
      <c r="FDT1" t="s">
        <v>8448</v>
      </c>
      <c r="FDU1" t="s">
        <v>8449</v>
      </c>
      <c r="FDV1" t="s">
        <v>8450</v>
      </c>
      <c r="FDW1" t="s">
        <v>8451</v>
      </c>
      <c r="FDX1" t="s">
        <v>8452</v>
      </c>
      <c r="FDY1" t="s">
        <v>8453</v>
      </c>
      <c r="FDZ1" t="s">
        <v>8454</v>
      </c>
      <c r="FEA1" t="s">
        <v>8455</v>
      </c>
      <c r="FEB1" t="s">
        <v>8456</v>
      </c>
      <c r="FEC1" t="s">
        <v>8457</v>
      </c>
      <c r="FED1" t="s">
        <v>8458</v>
      </c>
      <c r="FEE1" t="s">
        <v>8459</v>
      </c>
      <c r="FEF1" t="s">
        <v>8460</v>
      </c>
      <c r="FEG1" t="s">
        <v>8461</v>
      </c>
      <c r="FEH1" t="s">
        <v>8462</v>
      </c>
      <c r="FEI1" t="s">
        <v>8463</v>
      </c>
      <c r="FEJ1" t="s">
        <v>8464</v>
      </c>
      <c r="FEK1" t="s">
        <v>8465</v>
      </c>
      <c r="FEL1" t="s">
        <v>8466</v>
      </c>
      <c r="FEM1" t="s">
        <v>8467</v>
      </c>
      <c r="FEN1" t="s">
        <v>8468</v>
      </c>
      <c r="FEO1" t="s">
        <v>8469</v>
      </c>
      <c r="FEP1" t="s">
        <v>8470</v>
      </c>
      <c r="FEQ1" t="s">
        <v>8471</v>
      </c>
      <c r="FER1" t="s">
        <v>8472</v>
      </c>
      <c r="FES1" t="s">
        <v>8473</v>
      </c>
      <c r="FET1" t="s">
        <v>8474</v>
      </c>
      <c r="FEU1" t="s">
        <v>8475</v>
      </c>
      <c r="FEV1" t="s">
        <v>8476</v>
      </c>
      <c r="FEW1" t="s">
        <v>8477</v>
      </c>
      <c r="FEX1" t="s">
        <v>8478</v>
      </c>
      <c r="FEY1" t="s">
        <v>8479</v>
      </c>
      <c r="FEZ1" t="s">
        <v>8480</v>
      </c>
      <c r="FFA1" t="s">
        <v>8481</v>
      </c>
      <c r="FFB1" t="s">
        <v>8482</v>
      </c>
      <c r="FFC1" t="s">
        <v>8483</v>
      </c>
      <c r="FFD1" t="s">
        <v>8484</v>
      </c>
      <c r="FFE1" t="s">
        <v>8485</v>
      </c>
      <c r="FFF1" t="s">
        <v>8486</v>
      </c>
      <c r="FFG1" t="s">
        <v>8487</v>
      </c>
      <c r="FFH1" t="s">
        <v>8488</v>
      </c>
      <c r="FFI1" t="s">
        <v>8489</v>
      </c>
      <c r="FFJ1" t="s">
        <v>8490</v>
      </c>
      <c r="FFK1" t="s">
        <v>8491</v>
      </c>
      <c r="FFL1" t="s">
        <v>8492</v>
      </c>
      <c r="FFM1" t="s">
        <v>8493</v>
      </c>
      <c r="FFN1" t="s">
        <v>8494</v>
      </c>
      <c r="FFO1" t="s">
        <v>8495</v>
      </c>
      <c r="FFP1" t="s">
        <v>8496</v>
      </c>
      <c r="FFQ1" t="s">
        <v>8497</v>
      </c>
      <c r="FFR1" t="s">
        <v>8498</v>
      </c>
      <c r="FFS1" t="s">
        <v>8499</v>
      </c>
      <c r="FFT1" t="s">
        <v>8500</v>
      </c>
      <c r="FFU1" t="s">
        <v>8501</v>
      </c>
      <c r="FFV1" t="s">
        <v>8502</v>
      </c>
      <c r="FFW1" t="s">
        <v>8503</v>
      </c>
      <c r="FFX1" t="s">
        <v>8504</v>
      </c>
      <c r="FFY1" t="s">
        <v>8505</v>
      </c>
      <c r="FFZ1" t="s">
        <v>8506</v>
      </c>
      <c r="FGA1" t="s">
        <v>8507</v>
      </c>
      <c r="FGB1" t="s">
        <v>8508</v>
      </c>
      <c r="FGC1" t="s">
        <v>8509</v>
      </c>
      <c r="FGD1" t="s">
        <v>8510</v>
      </c>
      <c r="FGE1" t="s">
        <v>8511</v>
      </c>
      <c r="FGF1" t="s">
        <v>8512</v>
      </c>
      <c r="FGG1" t="s">
        <v>8513</v>
      </c>
      <c r="FGH1" t="s">
        <v>8514</v>
      </c>
      <c r="FGI1" t="s">
        <v>8515</v>
      </c>
      <c r="FGJ1" t="s">
        <v>8516</v>
      </c>
      <c r="FGK1" t="s">
        <v>8517</v>
      </c>
      <c r="FGL1" t="s">
        <v>8518</v>
      </c>
      <c r="FGM1" t="s">
        <v>8519</v>
      </c>
      <c r="FGN1" t="s">
        <v>8520</v>
      </c>
      <c r="FGO1" t="s">
        <v>8521</v>
      </c>
      <c r="FGP1" t="s">
        <v>8522</v>
      </c>
      <c r="FGQ1" t="s">
        <v>8523</v>
      </c>
      <c r="FGR1" t="s">
        <v>8524</v>
      </c>
      <c r="FGS1" t="s">
        <v>8525</v>
      </c>
      <c r="FGT1" t="s">
        <v>8526</v>
      </c>
      <c r="FGU1" t="s">
        <v>8527</v>
      </c>
      <c r="FGV1" t="s">
        <v>8528</v>
      </c>
      <c r="FGW1" t="s">
        <v>8529</v>
      </c>
      <c r="FGX1" t="s">
        <v>8530</v>
      </c>
      <c r="FGY1" t="s">
        <v>8531</v>
      </c>
      <c r="FGZ1" t="s">
        <v>8532</v>
      </c>
      <c r="FHA1" t="s">
        <v>8533</v>
      </c>
      <c r="FHB1" t="s">
        <v>8534</v>
      </c>
      <c r="FHC1" t="s">
        <v>8535</v>
      </c>
      <c r="FHD1" t="s">
        <v>8536</v>
      </c>
      <c r="FHE1" t="s">
        <v>8537</v>
      </c>
      <c r="FHF1" t="s">
        <v>8538</v>
      </c>
      <c r="FHG1" t="s">
        <v>8539</v>
      </c>
      <c r="FHH1" t="s">
        <v>8540</v>
      </c>
      <c r="FHI1" t="s">
        <v>8541</v>
      </c>
      <c r="FHJ1" t="s">
        <v>8542</v>
      </c>
      <c r="FHK1" t="s">
        <v>8543</v>
      </c>
      <c r="FHL1" t="s">
        <v>8544</v>
      </c>
      <c r="FHM1" t="s">
        <v>8545</v>
      </c>
      <c r="FHN1" t="s">
        <v>8546</v>
      </c>
      <c r="FHO1" t="s">
        <v>8547</v>
      </c>
      <c r="FHP1" t="s">
        <v>8548</v>
      </c>
      <c r="FHQ1" t="s">
        <v>8549</v>
      </c>
      <c r="FHR1" t="s">
        <v>8550</v>
      </c>
      <c r="FHS1" t="s">
        <v>8551</v>
      </c>
      <c r="FHT1" t="s">
        <v>8552</v>
      </c>
      <c r="FHU1" t="s">
        <v>8553</v>
      </c>
      <c r="FHV1" t="s">
        <v>8554</v>
      </c>
      <c r="FHW1" t="s">
        <v>8555</v>
      </c>
      <c r="FHX1" t="s">
        <v>8556</v>
      </c>
      <c r="FHY1" t="s">
        <v>8557</v>
      </c>
      <c r="FHZ1" t="s">
        <v>8558</v>
      </c>
      <c r="FIA1" t="s">
        <v>8559</v>
      </c>
      <c r="FIB1" t="s">
        <v>8560</v>
      </c>
      <c r="FIC1" t="s">
        <v>8561</v>
      </c>
      <c r="FID1" t="s">
        <v>8562</v>
      </c>
      <c r="FIE1" t="s">
        <v>8563</v>
      </c>
      <c r="FIF1" t="s">
        <v>8564</v>
      </c>
      <c r="FIG1" t="s">
        <v>8565</v>
      </c>
      <c r="FIH1" t="s">
        <v>8566</v>
      </c>
      <c r="FII1" t="s">
        <v>8567</v>
      </c>
      <c r="FIJ1" t="s">
        <v>8568</v>
      </c>
      <c r="FIK1" t="s">
        <v>8569</v>
      </c>
      <c r="FIL1" t="s">
        <v>8570</v>
      </c>
      <c r="FIM1" t="s">
        <v>8571</v>
      </c>
      <c r="FIN1" t="s">
        <v>8572</v>
      </c>
      <c r="FIO1" t="s">
        <v>8573</v>
      </c>
      <c r="FIP1" t="s">
        <v>8574</v>
      </c>
      <c r="FIQ1" t="s">
        <v>8575</v>
      </c>
      <c r="FIR1" t="s">
        <v>8576</v>
      </c>
      <c r="FIS1" t="s">
        <v>8577</v>
      </c>
      <c r="FIT1" t="s">
        <v>8578</v>
      </c>
      <c r="FIU1" t="s">
        <v>8579</v>
      </c>
      <c r="FIV1" t="s">
        <v>8580</v>
      </c>
      <c r="FIW1" t="s">
        <v>8581</v>
      </c>
      <c r="FIX1" t="s">
        <v>8582</v>
      </c>
      <c r="FIY1" t="s">
        <v>8583</v>
      </c>
      <c r="FIZ1" t="s">
        <v>8584</v>
      </c>
      <c r="FJA1" t="s">
        <v>8585</v>
      </c>
      <c r="FJB1" t="s">
        <v>8586</v>
      </c>
      <c r="FJC1" t="s">
        <v>8587</v>
      </c>
      <c r="FJD1" t="s">
        <v>8588</v>
      </c>
      <c r="FJE1" t="s">
        <v>8589</v>
      </c>
      <c r="FJF1" t="s">
        <v>8590</v>
      </c>
      <c r="FJG1" t="s">
        <v>8591</v>
      </c>
      <c r="FJH1" t="s">
        <v>8592</v>
      </c>
      <c r="FJI1" t="s">
        <v>8593</v>
      </c>
      <c r="FJJ1" t="s">
        <v>8594</v>
      </c>
      <c r="FJK1" t="s">
        <v>8595</v>
      </c>
      <c r="FJL1" t="s">
        <v>8596</v>
      </c>
      <c r="FJM1" t="s">
        <v>8597</v>
      </c>
      <c r="FJN1" t="s">
        <v>8598</v>
      </c>
      <c r="FJO1" t="s">
        <v>8599</v>
      </c>
      <c r="FJP1" t="s">
        <v>8600</v>
      </c>
      <c r="FJQ1" t="s">
        <v>8601</v>
      </c>
      <c r="FJR1" t="s">
        <v>8602</v>
      </c>
      <c r="FJS1" t="s">
        <v>8603</v>
      </c>
      <c r="FJT1" t="s">
        <v>8604</v>
      </c>
      <c r="FJU1" t="s">
        <v>8605</v>
      </c>
      <c r="FJV1" t="s">
        <v>8606</v>
      </c>
      <c r="FJW1" t="s">
        <v>8607</v>
      </c>
      <c r="FJX1" t="s">
        <v>8608</v>
      </c>
      <c r="FJY1" t="s">
        <v>8609</v>
      </c>
      <c r="FJZ1" t="s">
        <v>8610</v>
      </c>
      <c r="FKA1" t="s">
        <v>8611</v>
      </c>
      <c r="FKB1" t="s">
        <v>8612</v>
      </c>
      <c r="FKC1" t="s">
        <v>8613</v>
      </c>
      <c r="FKD1" t="s">
        <v>8614</v>
      </c>
      <c r="FKE1" t="s">
        <v>8615</v>
      </c>
      <c r="FKF1" t="s">
        <v>8616</v>
      </c>
      <c r="FKG1" t="s">
        <v>8617</v>
      </c>
      <c r="FKH1" t="s">
        <v>8618</v>
      </c>
      <c r="FKI1" t="s">
        <v>8619</v>
      </c>
      <c r="FKJ1" t="s">
        <v>8620</v>
      </c>
      <c r="FKK1" t="s">
        <v>8621</v>
      </c>
      <c r="FKL1" t="s">
        <v>8622</v>
      </c>
      <c r="FKM1" t="s">
        <v>8623</v>
      </c>
      <c r="FKN1" t="s">
        <v>8624</v>
      </c>
      <c r="FKO1" t="s">
        <v>8625</v>
      </c>
      <c r="FKP1" t="s">
        <v>8626</v>
      </c>
      <c r="FKQ1" t="s">
        <v>8627</v>
      </c>
      <c r="FKR1" t="s">
        <v>8628</v>
      </c>
      <c r="FKS1" t="s">
        <v>8629</v>
      </c>
      <c r="FKT1" t="s">
        <v>8630</v>
      </c>
      <c r="FKU1" t="s">
        <v>8631</v>
      </c>
      <c r="FKV1" t="s">
        <v>8632</v>
      </c>
      <c r="FKW1" t="s">
        <v>8633</v>
      </c>
      <c r="FKX1" t="s">
        <v>8634</v>
      </c>
      <c r="FKY1" t="s">
        <v>8635</v>
      </c>
      <c r="FKZ1" t="s">
        <v>8636</v>
      </c>
      <c r="FLA1" t="s">
        <v>8637</v>
      </c>
      <c r="FLB1" t="s">
        <v>8638</v>
      </c>
      <c r="FLC1" t="s">
        <v>8639</v>
      </c>
      <c r="FLD1" t="s">
        <v>8640</v>
      </c>
      <c r="FLE1" t="s">
        <v>8641</v>
      </c>
      <c r="FLF1" t="s">
        <v>8642</v>
      </c>
      <c r="FLG1" t="s">
        <v>8643</v>
      </c>
      <c r="FLH1" t="s">
        <v>8644</v>
      </c>
      <c r="FLI1" t="s">
        <v>8645</v>
      </c>
      <c r="FLJ1" t="s">
        <v>8646</v>
      </c>
      <c r="FLK1" t="s">
        <v>8647</v>
      </c>
      <c r="FLL1" t="s">
        <v>8648</v>
      </c>
      <c r="FLM1" t="s">
        <v>8649</v>
      </c>
      <c r="FLN1" t="s">
        <v>8650</v>
      </c>
      <c r="FLO1" t="s">
        <v>8651</v>
      </c>
      <c r="FLP1" t="s">
        <v>8652</v>
      </c>
      <c r="FLQ1" t="s">
        <v>8653</v>
      </c>
      <c r="FLR1" t="s">
        <v>8654</v>
      </c>
      <c r="FLS1" t="s">
        <v>8655</v>
      </c>
      <c r="FLT1" t="s">
        <v>8656</v>
      </c>
      <c r="FLU1" t="s">
        <v>8657</v>
      </c>
      <c r="FLV1" t="s">
        <v>8658</v>
      </c>
      <c r="FLW1" t="s">
        <v>8659</v>
      </c>
      <c r="FLX1" t="s">
        <v>8660</v>
      </c>
      <c r="FLY1" t="s">
        <v>8661</v>
      </c>
      <c r="FLZ1" t="s">
        <v>8662</v>
      </c>
      <c r="FMA1" t="s">
        <v>8663</v>
      </c>
      <c r="FMB1" t="s">
        <v>8664</v>
      </c>
      <c r="FMC1" t="s">
        <v>8665</v>
      </c>
      <c r="FMD1" t="s">
        <v>8666</v>
      </c>
      <c r="FME1" t="s">
        <v>8667</v>
      </c>
      <c r="FMF1" t="s">
        <v>8668</v>
      </c>
      <c r="FMG1" t="s">
        <v>8669</v>
      </c>
      <c r="FMH1" t="s">
        <v>8670</v>
      </c>
      <c r="FMI1" t="s">
        <v>8671</v>
      </c>
      <c r="FMJ1" t="s">
        <v>8672</v>
      </c>
      <c r="FMK1" t="s">
        <v>8673</v>
      </c>
      <c r="FML1" t="s">
        <v>8674</v>
      </c>
      <c r="FMM1" t="s">
        <v>8675</v>
      </c>
      <c r="FMN1" t="s">
        <v>8676</v>
      </c>
      <c r="FMO1" t="s">
        <v>8677</v>
      </c>
      <c r="FMP1" t="s">
        <v>8678</v>
      </c>
      <c r="FMQ1" t="s">
        <v>8679</v>
      </c>
      <c r="FMR1" t="s">
        <v>8680</v>
      </c>
      <c r="FMS1" t="s">
        <v>8681</v>
      </c>
      <c r="FMT1" t="s">
        <v>8682</v>
      </c>
      <c r="FMU1" t="s">
        <v>8683</v>
      </c>
      <c r="FMV1" t="s">
        <v>8684</v>
      </c>
      <c r="FMW1" t="s">
        <v>8685</v>
      </c>
      <c r="FMX1" t="s">
        <v>8686</v>
      </c>
      <c r="FMY1" t="s">
        <v>8687</v>
      </c>
      <c r="FMZ1" t="s">
        <v>8688</v>
      </c>
      <c r="FNA1" t="s">
        <v>8689</v>
      </c>
      <c r="FNB1" t="s">
        <v>8690</v>
      </c>
      <c r="FNC1" t="s">
        <v>8691</v>
      </c>
      <c r="FND1" t="s">
        <v>8692</v>
      </c>
      <c r="FNE1" t="s">
        <v>8693</v>
      </c>
      <c r="FNF1" t="s">
        <v>8694</v>
      </c>
      <c r="FNG1" t="s">
        <v>8695</v>
      </c>
      <c r="FNH1" t="s">
        <v>8696</v>
      </c>
      <c r="FNI1" t="s">
        <v>8697</v>
      </c>
      <c r="FNJ1" t="s">
        <v>8698</v>
      </c>
      <c r="FNK1" t="s">
        <v>8699</v>
      </c>
      <c r="FNL1" t="s">
        <v>8700</v>
      </c>
      <c r="FNM1" t="s">
        <v>8701</v>
      </c>
      <c r="FNN1" t="s">
        <v>8702</v>
      </c>
      <c r="FNO1" t="s">
        <v>8703</v>
      </c>
      <c r="FNP1" t="s">
        <v>8704</v>
      </c>
      <c r="FNQ1" t="s">
        <v>8705</v>
      </c>
      <c r="FNR1" t="s">
        <v>8706</v>
      </c>
      <c r="FNS1" t="s">
        <v>8707</v>
      </c>
      <c r="FNT1" t="s">
        <v>8708</v>
      </c>
      <c r="FNU1" t="s">
        <v>8709</v>
      </c>
      <c r="FNV1" t="s">
        <v>8710</v>
      </c>
      <c r="FNW1" t="s">
        <v>8711</v>
      </c>
      <c r="FNX1" t="s">
        <v>8712</v>
      </c>
      <c r="FNY1" t="s">
        <v>8713</v>
      </c>
      <c r="FNZ1" t="s">
        <v>8714</v>
      </c>
      <c r="FOA1" t="s">
        <v>8715</v>
      </c>
      <c r="FOB1" t="s">
        <v>8716</v>
      </c>
      <c r="FOC1" t="s">
        <v>8717</v>
      </c>
      <c r="FOD1" t="s">
        <v>8718</v>
      </c>
      <c r="FOE1" t="s">
        <v>8719</v>
      </c>
      <c r="FOF1" t="s">
        <v>8720</v>
      </c>
      <c r="FOG1" t="s">
        <v>8721</v>
      </c>
      <c r="FOH1" t="s">
        <v>8722</v>
      </c>
      <c r="FOI1" t="s">
        <v>8723</v>
      </c>
      <c r="FOJ1" t="s">
        <v>8724</v>
      </c>
      <c r="FOK1" t="s">
        <v>8725</v>
      </c>
      <c r="FOL1" t="s">
        <v>8726</v>
      </c>
      <c r="FOM1" t="s">
        <v>8727</v>
      </c>
      <c r="FON1" t="s">
        <v>8728</v>
      </c>
      <c r="FOO1" t="s">
        <v>8729</v>
      </c>
      <c r="FOP1" t="s">
        <v>8730</v>
      </c>
      <c r="FOQ1" t="s">
        <v>8731</v>
      </c>
      <c r="FOR1" t="s">
        <v>8732</v>
      </c>
      <c r="FOS1" t="s">
        <v>8733</v>
      </c>
      <c r="FOT1" t="s">
        <v>8734</v>
      </c>
      <c r="FOU1" t="s">
        <v>8735</v>
      </c>
      <c r="FOV1" t="s">
        <v>8736</v>
      </c>
      <c r="FOW1" t="s">
        <v>8737</v>
      </c>
      <c r="FOX1" t="s">
        <v>8738</v>
      </c>
      <c r="FOY1" t="s">
        <v>8739</v>
      </c>
      <c r="FOZ1" t="s">
        <v>8740</v>
      </c>
      <c r="FPA1" t="s">
        <v>8741</v>
      </c>
      <c r="FPB1" t="s">
        <v>8742</v>
      </c>
      <c r="FPC1" t="s">
        <v>8743</v>
      </c>
      <c r="FPD1" t="s">
        <v>8744</v>
      </c>
      <c r="FPE1" t="s">
        <v>8745</v>
      </c>
      <c r="FPF1" t="s">
        <v>8746</v>
      </c>
      <c r="FPG1" t="s">
        <v>8747</v>
      </c>
      <c r="FPH1" t="s">
        <v>8748</v>
      </c>
      <c r="FPI1" t="s">
        <v>8749</v>
      </c>
      <c r="FPJ1" t="s">
        <v>8750</v>
      </c>
      <c r="FPK1" t="s">
        <v>8751</v>
      </c>
      <c r="FPL1" t="s">
        <v>8752</v>
      </c>
      <c r="FPM1" t="s">
        <v>8753</v>
      </c>
      <c r="FPN1" t="s">
        <v>8754</v>
      </c>
      <c r="FPO1" t="s">
        <v>8755</v>
      </c>
      <c r="FPP1" t="s">
        <v>8756</v>
      </c>
      <c r="FPQ1" t="s">
        <v>8757</v>
      </c>
      <c r="FPR1" t="s">
        <v>8758</v>
      </c>
      <c r="FPS1" t="s">
        <v>8759</v>
      </c>
      <c r="FPT1" t="s">
        <v>8760</v>
      </c>
      <c r="FPU1" t="s">
        <v>8761</v>
      </c>
      <c r="FPV1" t="s">
        <v>8762</v>
      </c>
      <c r="FPW1" t="s">
        <v>8763</v>
      </c>
      <c r="FPX1" t="s">
        <v>8764</v>
      </c>
      <c r="FPY1" t="s">
        <v>8765</v>
      </c>
      <c r="FPZ1" t="s">
        <v>8766</v>
      </c>
      <c r="FQA1" t="s">
        <v>8767</v>
      </c>
      <c r="FQB1" t="s">
        <v>8768</v>
      </c>
      <c r="FQC1" t="s">
        <v>8769</v>
      </c>
      <c r="FQD1" t="s">
        <v>8770</v>
      </c>
      <c r="FQE1" t="s">
        <v>8771</v>
      </c>
      <c r="FQF1" t="s">
        <v>8772</v>
      </c>
      <c r="FQG1" t="s">
        <v>8773</v>
      </c>
      <c r="FQH1" t="s">
        <v>8774</v>
      </c>
      <c r="FQI1" t="s">
        <v>8775</v>
      </c>
      <c r="FQJ1" t="s">
        <v>8776</v>
      </c>
      <c r="FQK1" t="s">
        <v>8777</v>
      </c>
      <c r="FQL1" t="s">
        <v>8778</v>
      </c>
      <c r="FQM1" t="s">
        <v>8779</v>
      </c>
      <c r="FQN1" t="s">
        <v>8780</v>
      </c>
      <c r="FQO1" t="s">
        <v>8781</v>
      </c>
      <c r="FQP1" t="s">
        <v>8782</v>
      </c>
      <c r="FQQ1" t="s">
        <v>8783</v>
      </c>
      <c r="FQR1" t="s">
        <v>8784</v>
      </c>
      <c r="FQS1" t="s">
        <v>8785</v>
      </c>
      <c r="FQT1" t="s">
        <v>8786</v>
      </c>
      <c r="FQU1" t="s">
        <v>8787</v>
      </c>
      <c r="FQV1" t="s">
        <v>8788</v>
      </c>
      <c r="FQW1" t="s">
        <v>8789</v>
      </c>
      <c r="FQX1" t="s">
        <v>8790</v>
      </c>
      <c r="FQY1" t="s">
        <v>8791</v>
      </c>
      <c r="FQZ1" t="s">
        <v>8792</v>
      </c>
      <c r="FRA1" t="s">
        <v>8793</v>
      </c>
      <c r="FRB1" t="s">
        <v>8794</v>
      </c>
      <c r="FRC1" t="s">
        <v>8795</v>
      </c>
      <c r="FRD1" t="s">
        <v>8796</v>
      </c>
      <c r="FRE1" t="s">
        <v>8797</v>
      </c>
      <c r="FRF1" t="s">
        <v>8798</v>
      </c>
      <c r="FRG1" t="s">
        <v>8799</v>
      </c>
      <c r="FRH1" t="s">
        <v>8800</v>
      </c>
      <c r="FRI1" t="s">
        <v>8801</v>
      </c>
      <c r="FRJ1" t="s">
        <v>8802</v>
      </c>
      <c r="FRK1" t="s">
        <v>8803</v>
      </c>
      <c r="FRL1" t="s">
        <v>8804</v>
      </c>
      <c r="FRM1" t="s">
        <v>8805</v>
      </c>
      <c r="FRN1" t="s">
        <v>8806</v>
      </c>
      <c r="FRO1" t="s">
        <v>8807</v>
      </c>
      <c r="FRP1" t="s">
        <v>8808</v>
      </c>
      <c r="FRQ1" t="s">
        <v>8809</v>
      </c>
      <c r="FRR1" t="s">
        <v>8810</v>
      </c>
      <c r="FRS1" t="s">
        <v>8811</v>
      </c>
      <c r="FRT1" t="s">
        <v>8812</v>
      </c>
      <c r="FRU1" t="s">
        <v>8813</v>
      </c>
      <c r="FRV1" t="s">
        <v>8814</v>
      </c>
      <c r="FRW1" t="s">
        <v>8815</v>
      </c>
      <c r="FRX1" t="s">
        <v>8816</v>
      </c>
      <c r="FRY1" t="s">
        <v>8817</v>
      </c>
      <c r="FRZ1" t="s">
        <v>8818</v>
      </c>
      <c r="FSA1" t="s">
        <v>8819</v>
      </c>
      <c r="FSB1" t="s">
        <v>8820</v>
      </c>
      <c r="FSC1" t="s">
        <v>8821</v>
      </c>
      <c r="FSD1" t="s">
        <v>8822</v>
      </c>
      <c r="FSE1" t="s">
        <v>8823</v>
      </c>
      <c r="FSF1" t="s">
        <v>8824</v>
      </c>
      <c r="FSG1" t="s">
        <v>8825</v>
      </c>
      <c r="FSH1" t="s">
        <v>8826</v>
      </c>
      <c r="FSI1" t="s">
        <v>8827</v>
      </c>
      <c r="FSJ1" t="s">
        <v>8828</v>
      </c>
      <c r="FSK1" t="s">
        <v>8829</v>
      </c>
      <c r="FSL1" t="s">
        <v>8830</v>
      </c>
      <c r="FSM1" t="s">
        <v>8831</v>
      </c>
      <c r="FSN1" t="s">
        <v>8832</v>
      </c>
      <c r="FSO1" t="s">
        <v>8833</v>
      </c>
      <c r="FSP1" t="s">
        <v>8834</v>
      </c>
      <c r="FSQ1" t="s">
        <v>8835</v>
      </c>
      <c r="FSR1" t="s">
        <v>8836</v>
      </c>
      <c r="FSS1" t="s">
        <v>8837</v>
      </c>
      <c r="FST1" t="s">
        <v>8838</v>
      </c>
      <c r="FSU1" t="s">
        <v>8839</v>
      </c>
      <c r="FSV1" t="s">
        <v>8840</v>
      </c>
      <c r="FSW1" t="s">
        <v>8841</v>
      </c>
      <c r="FSX1" t="s">
        <v>8842</v>
      </c>
      <c r="FSY1" t="s">
        <v>8843</v>
      </c>
      <c r="FSZ1" t="s">
        <v>8844</v>
      </c>
      <c r="FTA1" t="s">
        <v>8845</v>
      </c>
      <c r="FTB1" t="s">
        <v>8846</v>
      </c>
      <c r="FTC1" t="s">
        <v>8847</v>
      </c>
      <c r="FTD1" t="s">
        <v>8848</v>
      </c>
      <c r="FTE1" t="s">
        <v>8849</v>
      </c>
      <c r="FTF1" t="s">
        <v>8850</v>
      </c>
      <c r="FTG1" t="s">
        <v>8851</v>
      </c>
      <c r="FTH1" t="s">
        <v>8852</v>
      </c>
      <c r="FTI1" t="s">
        <v>8853</v>
      </c>
      <c r="FTJ1" t="s">
        <v>8854</v>
      </c>
      <c r="FTK1" t="s">
        <v>8855</v>
      </c>
      <c r="FTL1" t="s">
        <v>8856</v>
      </c>
      <c r="FTM1" t="s">
        <v>8857</v>
      </c>
      <c r="FTN1" t="s">
        <v>8858</v>
      </c>
      <c r="FTO1" t="s">
        <v>8859</v>
      </c>
      <c r="FTP1" t="s">
        <v>8860</v>
      </c>
      <c r="FTQ1" t="s">
        <v>8861</v>
      </c>
      <c r="FTR1" t="s">
        <v>8862</v>
      </c>
      <c r="FTS1" t="s">
        <v>8863</v>
      </c>
      <c r="FTT1" t="s">
        <v>8864</v>
      </c>
      <c r="FTU1" t="s">
        <v>8865</v>
      </c>
      <c r="FTV1" t="s">
        <v>8866</v>
      </c>
      <c r="FTW1" t="s">
        <v>8867</v>
      </c>
      <c r="FTX1" t="s">
        <v>8868</v>
      </c>
      <c r="FTY1" t="s">
        <v>8869</v>
      </c>
      <c r="FTZ1" t="s">
        <v>8870</v>
      </c>
      <c r="FUA1" t="s">
        <v>8871</v>
      </c>
      <c r="FUB1" t="s">
        <v>8872</v>
      </c>
      <c r="FUC1" t="s">
        <v>8873</v>
      </c>
      <c r="FUD1" t="s">
        <v>8874</v>
      </c>
      <c r="FUE1" t="s">
        <v>8875</v>
      </c>
      <c r="FUF1" t="s">
        <v>8876</v>
      </c>
      <c r="FUG1" t="s">
        <v>8877</v>
      </c>
      <c r="FUH1" t="s">
        <v>8878</v>
      </c>
      <c r="FUI1" t="s">
        <v>8879</v>
      </c>
      <c r="FUJ1" t="s">
        <v>8880</v>
      </c>
      <c r="FUK1" t="s">
        <v>8881</v>
      </c>
      <c r="FUL1" t="s">
        <v>8882</v>
      </c>
      <c r="FUM1" t="s">
        <v>8883</v>
      </c>
      <c r="FUN1" t="s">
        <v>8884</v>
      </c>
      <c r="FUO1" t="s">
        <v>8885</v>
      </c>
      <c r="FUP1" t="s">
        <v>8886</v>
      </c>
      <c r="FUQ1" t="s">
        <v>8887</v>
      </c>
      <c r="FUR1" t="s">
        <v>8888</v>
      </c>
      <c r="FUS1" t="s">
        <v>8889</v>
      </c>
      <c r="FUT1" t="s">
        <v>8890</v>
      </c>
      <c r="FUU1" t="s">
        <v>8891</v>
      </c>
      <c r="FUV1" t="s">
        <v>8892</v>
      </c>
      <c r="FUW1" t="s">
        <v>8893</v>
      </c>
      <c r="FUX1" t="s">
        <v>8894</v>
      </c>
      <c r="FUY1" t="s">
        <v>8895</v>
      </c>
      <c r="FUZ1" t="s">
        <v>8896</v>
      </c>
      <c r="FVA1" t="s">
        <v>8897</v>
      </c>
      <c r="FVB1" t="s">
        <v>8898</v>
      </c>
      <c r="FVC1" t="s">
        <v>8899</v>
      </c>
      <c r="FVD1" t="s">
        <v>8900</v>
      </c>
      <c r="FVE1" t="s">
        <v>8901</v>
      </c>
      <c r="FVF1" t="s">
        <v>8902</v>
      </c>
      <c r="FVG1" t="s">
        <v>8903</v>
      </c>
      <c r="FVH1" t="s">
        <v>8904</v>
      </c>
      <c r="FVI1" t="s">
        <v>8905</v>
      </c>
      <c r="FVJ1" t="s">
        <v>8906</v>
      </c>
      <c r="FVK1" t="s">
        <v>8907</v>
      </c>
      <c r="FVL1" t="s">
        <v>8908</v>
      </c>
      <c r="FVM1" t="s">
        <v>8909</v>
      </c>
      <c r="FVN1" t="s">
        <v>8910</v>
      </c>
      <c r="FVO1" t="s">
        <v>8911</v>
      </c>
      <c r="FVP1" t="s">
        <v>8912</v>
      </c>
      <c r="FVQ1" t="s">
        <v>8913</v>
      </c>
      <c r="FVR1" t="s">
        <v>8914</v>
      </c>
      <c r="FVS1" t="s">
        <v>8915</v>
      </c>
      <c r="FVT1" t="s">
        <v>8916</v>
      </c>
      <c r="FVU1" t="s">
        <v>8917</v>
      </c>
      <c r="FVV1" t="s">
        <v>8918</v>
      </c>
      <c r="FVW1" t="s">
        <v>8919</v>
      </c>
      <c r="FVX1" t="s">
        <v>8920</v>
      </c>
      <c r="FVY1" t="s">
        <v>8921</v>
      </c>
      <c r="FVZ1" t="s">
        <v>8922</v>
      </c>
      <c r="FWA1" t="s">
        <v>8923</v>
      </c>
      <c r="FWB1" t="s">
        <v>8924</v>
      </c>
      <c r="FWC1" t="s">
        <v>8925</v>
      </c>
      <c r="FWD1" t="s">
        <v>8926</v>
      </c>
      <c r="FWE1" t="s">
        <v>8927</v>
      </c>
      <c r="FWF1" t="s">
        <v>8928</v>
      </c>
      <c r="FWG1" t="s">
        <v>8929</v>
      </c>
      <c r="FWH1" t="s">
        <v>8930</v>
      </c>
      <c r="FWI1" t="s">
        <v>8931</v>
      </c>
      <c r="FWJ1" t="s">
        <v>8932</v>
      </c>
      <c r="FWK1" t="s">
        <v>8933</v>
      </c>
      <c r="FWL1" t="s">
        <v>8934</v>
      </c>
      <c r="FWM1" t="s">
        <v>8935</v>
      </c>
      <c r="FWN1" t="s">
        <v>8936</v>
      </c>
      <c r="FWO1" t="s">
        <v>8937</v>
      </c>
      <c r="FWP1" t="s">
        <v>8938</v>
      </c>
      <c r="FWQ1" t="s">
        <v>8939</v>
      </c>
      <c r="FWR1" t="s">
        <v>8940</v>
      </c>
      <c r="FWS1" t="s">
        <v>8941</v>
      </c>
      <c r="FWT1" t="s">
        <v>8942</v>
      </c>
      <c r="FWU1" t="s">
        <v>8943</v>
      </c>
      <c r="FWV1" t="s">
        <v>8944</v>
      </c>
      <c r="FWW1" t="s">
        <v>8945</v>
      </c>
      <c r="FWX1" t="s">
        <v>8946</v>
      </c>
      <c r="FWY1" t="s">
        <v>8947</v>
      </c>
      <c r="FWZ1" t="s">
        <v>8948</v>
      </c>
      <c r="FXA1" t="s">
        <v>8949</v>
      </c>
      <c r="FXB1" t="s">
        <v>8950</v>
      </c>
      <c r="FXC1" t="s">
        <v>8951</v>
      </c>
      <c r="FXD1" t="s">
        <v>8952</v>
      </c>
      <c r="FXE1" t="s">
        <v>8953</v>
      </c>
      <c r="FXF1" t="s">
        <v>8954</v>
      </c>
      <c r="FXG1" t="s">
        <v>8955</v>
      </c>
      <c r="FXH1" t="s">
        <v>8956</v>
      </c>
      <c r="FXI1" t="s">
        <v>8957</v>
      </c>
      <c r="FXJ1" t="s">
        <v>8958</v>
      </c>
      <c r="FXK1" t="s">
        <v>8959</v>
      </c>
      <c r="FXL1" t="s">
        <v>8960</v>
      </c>
      <c r="FXM1" t="s">
        <v>8961</v>
      </c>
      <c r="FXN1" t="s">
        <v>8962</v>
      </c>
      <c r="FXO1" t="s">
        <v>8963</v>
      </c>
      <c r="FXP1" t="s">
        <v>8964</v>
      </c>
      <c r="FXQ1" t="s">
        <v>8965</v>
      </c>
      <c r="FXR1" t="s">
        <v>8966</v>
      </c>
      <c r="FXS1" t="s">
        <v>8967</v>
      </c>
      <c r="FXT1" t="s">
        <v>8968</v>
      </c>
      <c r="FXU1" t="s">
        <v>8969</v>
      </c>
      <c r="FXV1" t="s">
        <v>8970</v>
      </c>
      <c r="FXW1" t="s">
        <v>8971</v>
      </c>
      <c r="FXX1" t="s">
        <v>8972</v>
      </c>
      <c r="FXY1" t="s">
        <v>8973</v>
      </c>
      <c r="FXZ1" t="s">
        <v>8974</v>
      </c>
      <c r="FYA1" t="s">
        <v>8975</v>
      </c>
      <c r="FYB1" t="s">
        <v>8976</v>
      </c>
      <c r="FYC1" t="s">
        <v>8977</v>
      </c>
      <c r="FYD1" t="s">
        <v>8978</v>
      </c>
      <c r="FYE1" t="s">
        <v>8979</v>
      </c>
      <c r="FYF1" t="s">
        <v>8980</v>
      </c>
      <c r="FYG1" t="s">
        <v>8981</v>
      </c>
      <c r="FYH1" t="s">
        <v>8982</v>
      </c>
      <c r="FYI1" t="s">
        <v>8983</v>
      </c>
      <c r="FYJ1" t="s">
        <v>8984</v>
      </c>
      <c r="FYK1" t="s">
        <v>8985</v>
      </c>
      <c r="FYL1" t="s">
        <v>8986</v>
      </c>
      <c r="FYM1" t="s">
        <v>8987</v>
      </c>
      <c r="FYN1" t="s">
        <v>8988</v>
      </c>
      <c r="FYO1" t="s">
        <v>8989</v>
      </c>
      <c r="FYP1" t="s">
        <v>8990</v>
      </c>
      <c r="FYQ1" t="s">
        <v>8991</v>
      </c>
      <c r="FYR1" t="s">
        <v>8992</v>
      </c>
      <c r="FYS1" t="s">
        <v>8993</v>
      </c>
      <c r="FYT1" t="s">
        <v>8994</v>
      </c>
      <c r="FYU1" t="s">
        <v>8995</v>
      </c>
      <c r="FYV1" t="s">
        <v>8996</v>
      </c>
      <c r="FYW1" t="s">
        <v>8997</v>
      </c>
      <c r="FYX1" t="s">
        <v>8998</v>
      </c>
      <c r="FYY1" t="s">
        <v>8999</v>
      </c>
      <c r="FYZ1" t="s">
        <v>9000</v>
      </c>
      <c r="FZA1" t="s">
        <v>9001</v>
      </c>
      <c r="FZB1" t="s">
        <v>9002</v>
      </c>
      <c r="FZC1" t="s">
        <v>9003</v>
      </c>
      <c r="FZD1" t="s">
        <v>9004</v>
      </c>
      <c r="FZE1" t="s">
        <v>9005</v>
      </c>
      <c r="FZF1" t="s">
        <v>9006</v>
      </c>
      <c r="FZG1" t="s">
        <v>9007</v>
      </c>
      <c r="FZH1" t="s">
        <v>9008</v>
      </c>
      <c r="FZI1" t="s">
        <v>9009</v>
      </c>
      <c r="FZJ1" t="s">
        <v>9010</v>
      </c>
      <c r="FZK1" t="s">
        <v>9011</v>
      </c>
      <c r="FZL1" t="s">
        <v>9012</v>
      </c>
      <c r="FZM1" t="s">
        <v>9013</v>
      </c>
      <c r="FZN1" t="s">
        <v>9014</v>
      </c>
      <c r="FZO1" t="s">
        <v>9015</v>
      </c>
      <c r="FZP1" t="s">
        <v>9016</v>
      </c>
      <c r="FZQ1" t="s">
        <v>9017</v>
      </c>
      <c r="FZR1" t="s">
        <v>9018</v>
      </c>
      <c r="FZS1" t="s">
        <v>9019</v>
      </c>
      <c r="FZT1" t="s">
        <v>9020</v>
      </c>
      <c r="FZU1" t="s">
        <v>9021</v>
      </c>
      <c r="FZV1" t="s">
        <v>9022</v>
      </c>
      <c r="FZW1" t="s">
        <v>9023</v>
      </c>
      <c r="FZX1" t="s">
        <v>9024</v>
      </c>
      <c r="FZY1" t="s">
        <v>9025</v>
      </c>
      <c r="FZZ1" t="s">
        <v>9026</v>
      </c>
      <c r="GAA1" t="s">
        <v>9027</v>
      </c>
      <c r="GAB1" t="s">
        <v>9028</v>
      </c>
      <c r="GAC1" t="s">
        <v>9029</v>
      </c>
      <c r="GAD1" t="s">
        <v>9030</v>
      </c>
      <c r="GAE1" t="s">
        <v>9031</v>
      </c>
      <c r="GAF1" t="s">
        <v>9032</v>
      </c>
      <c r="GAG1" t="s">
        <v>9033</v>
      </c>
      <c r="GAH1" t="s">
        <v>9034</v>
      </c>
      <c r="GAI1" t="s">
        <v>9035</v>
      </c>
      <c r="GAJ1" t="s">
        <v>9036</v>
      </c>
      <c r="GAK1" t="s">
        <v>9037</v>
      </c>
      <c r="GAL1" t="s">
        <v>9038</v>
      </c>
      <c r="GAM1" t="s">
        <v>9039</v>
      </c>
      <c r="GAN1" t="s">
        <v>9040</v>
      </c>
      <c r="GAO1" t="s">
        <v>9041</v>
      </c>
      <c r="GAP1" t="s">
        <v>9042</v>
      </c>
      <c r="GAQ1" t="s">
        <v>9043</v>
      </c>
      <c r="GAR1" t="s">
        <v>9044</v>
      </c>
      <c r="GAS1" t="s">
        <v>9045</v>
      </c>
      <c r="GAT1" t="s">
        <v>9046</v>
      </c>
      <c r="GAU1" t="s">
        <v>9047</v>
      </c>
      <c r="GAV1" t="s">
        <v>9048</v>
      </c>
      <c r="GAW1" t="s">
        <v>9049</v>
      </c>
      <c r="GAX1" t="s">
        <v>9050</v>
      </c>
      <c r="GAY1" t="s">
        <v>9051</v>
      </c>
      <c r="GAZ1" t="s">
        <v>9052</v>
      </c>
      <c r="GBA1" t="s">
        <v>9053</v>
      </c>
      <c r="GBB1" t="s">
        <v>9054</v>
      </c>
      <c r="GBC1" t="s">
        <v>9055</v>
      </c>
      <c r="GBD1" t="s">
        <v>9056</v>
      </c>
      <c r="GBE1" t="s">
        <v>9057</v>
      </c>
      <c r="GBF1" t="s">
        <v>9058</v>
      </c>
      <c r="GBG1" t="s">
        <v>9059</v>
      </c>
      <c r="GBH1" t="s">
        <v>9060</v>
      </c>
      <c r="GBI1" t="s">
        <v>9061</v>
      </c>
      <c r="GBJ1" t="s">
        <v>9062</v>
      </c>
      <c r="GBK1" t="s">
        <v>9063</v>
      </c>
      <c r="GBL1" t="s">
        <v>9064</v>
      </c>
      <c r="GBM1" t="s">
        <v>9065</v>
      </c>
      <c r="GBN1" t="s">
        <v>9066</v>
      </c>
      <c r="GBO1" t="s">
        <v>9067</v>
      </c>
      <c r="GBP1" t="s">
        <v>9068</v>
      </c>
      <c r="GBQ1" t="s">
        <v>9069</v>
      </c>
      <c r="GBR1" t="s">
        <v>9070</v>
      </c>
      <c r="GBS1" t="s">
        <v>9071</v>
      </c>
      <c r="GBT1" t="s">
        <v>9072</v>
      </c>
      <c r="GBU1" t="s">
        <v>9073</v>
      </c>
      <c r="GBV1" t="s">
        <v>9074</v>
      </c>
      <c r="GBW1" t="s">
        <v>9075</v>
      </c>
      <c r="GBX1" t="s">
        <v>9076</v>
      </c>
      <c r="GBY1" t="s">
        <v>9077</v>
      </c>
      <c r="GBZ1" t="s">
        <v>9078</v>
      </c>
      <c r="GCA1" t="s">
        <v>9079</v>
      </c>
      <c r="GCB1" t="s">
        <v>9080</v>
      </c>
      <c r="GCC1" t="s">
        <v>9081</v>
      </c>
      <c r="GCD1" t="s">
        <v>9082</v>
      </c>
      <c r="GCE1" t="s">
        <v>9083</v>
      </c>
      <c r="GCF1" t="s">
        <v>9084</v>
      </c>
      <c r="GCG1" t="s">
        <v>9085</v>
      </c>
      <c r="GCH1" t="s">
        <v>9086</v>
      </c>
      <c r="GCI1" t="s">
        <v>9087</v>
      </c>
      <c r="GCJ1" t="s">
        <v>9088</v>
      </c>
      <c r="GCK1" t="s">
        <v>9089</v>
      </c>
      <c r="GCL1" t="s">
        <v>9090</v>
      </c>
      <c r="GCM1" t="s">
        <v>9091</v>
      </c>
      <c r="GCN1" t="s">
        <v>9092</v>
      </c>
      <c r="GCO1" t="s">
        <v>9093</v>
      </c>
      <c r="GCP1" t="s">
        <v>9094</v>
      </c>
      <c r="GCQ1" t="s">
        <v>9095</v>
      </c>
      <c r="GCR1" t="s">
        <v>9096</v>
      </c>
      <c r="GCS1" t="s">
        <v>9097</v>
      </c>
      <c r="GCT1" t="s">
        <v>9098</v>
      </c>
      <c r="GCU1" t="s">
        <v>9099</v>
      </c>
      <c r="GCV1" t="s">
        <v>9100</v>
      </c>
      <c r="GCW1" t="s">
        <v>9101</v>
      </c>
      <c r="GCX1" t="s">
        <v>9102</v>
      </c>
      <c r="GCY1" t="s">
        <v>9103</v>
      </c>
      <c r="GCZ1" t="s">
        <v>9104</v>
      </c>
      <c r="GDA1" t="s">
        <v>9105</v>
      </c>
      <c r="GDB1" t="s">
        <v>9106</v>
      </c>
      <c r="GDC1" t="s">
        <v>9107</v>
      </c>
      <c r="GDD1" t="s">
        <v>9108</v>
      </c>
      <c r="GDE1" t="s">
        <v>9109</v>
      </c>
      <c r="GDF1" t="s">
        <v>9110</v>
      </c>
      <c r="GDG1" t="s">
        <v>9111</v>
      </c>
      <c r="GDH1" t="s">
        <v>9112</v>
      </c>
      <c r="GDI1" t="s">
        <v>9113</v>
      </c>
      <c r="GDJ1" t="s">
        <v>9114</v>
      </c>
      <c r="GDK1" t="s">
        <v>9115</v>
      </c>
      <c r="GDL1" t="s">
        <v>9116</v>
      </c>
      <c r="GDM1" t="s">
        <v>9117</v>
      </c>
      <c r="GDN1" t="s">
        <v>9118</v>
      </c>
      <c r="GDO1" t="s">
        <v>9119</v>
      </c>
      <c r="GDP1" t="s">
        <v>9120</v>
      </c>
      <c r="GDQ1" t="s">
        <v>9121</v>
      </c>
      <c r="GDR1" t="s">
        <v>9122</v>
      </c>
      <c r="GDS1" t="s">
        <v>9123</v>
      </c>
      <c r="GDT1" t="s">
        <v>9124</v>
      </c>
      <c r="GDU1" t="s">
        <v>9125</v>
      </c>
      <c r="GDV1" t="s">
        <v>9126</v>
      </c>
      <c r="GDW1" t="s">
        <v>9127</v>
      </c>
      <c r="GDX1" t="s">
        <v>9128</v>
      </c>
      <c r="GDY1" t="s">
        <v>9129</v>
      </c>
      <c r="GDZ1" t="s">
        <v>9130</v>
      </c>
      <c r="GEA1" t="s">
        <v>9131</v>
      </c>
      <c r="GEB1" t="s">
        <v>9132</v>
      </c>
      <c r="GEC1" t="s">
        <v>9133</v>
      </c>
      <c r="GED1" t="s">
        <v>9134</v>
      </c>
      <c r="GEE1" t="s">
        <v>9135</v>
      </c>
      <c r="GEF1" t="s">
        <v>9136</v>
      </c>
      <c r="GEG1" t="s">
        <v>9137</v>
      </c>
      <c r="GEH1" t="s">
        <v>9138</v>
      </c>
      <c r="GEI1" t="s">
        <v>9139</v>
      </c>
      <c r="GEJ1" t="s">
        <v>9140</v>
      </c>
      <c r="GEK1" t="s">
        <v>9141</v>
      </c>
      <c r="GEL1" t="s">
        <v>9142</v>
      </c>
      <c r="GEM1" t="s">
        <v>9143</v>
      </c>
      <c r="GEN1" t="s">
        <v>9144</v>
      </c>
      <c r="GEO1" t="s">
        <v>9145</v>
      </c>
      <c r="GEP1" t="s">
        <v>9146</v>
      </c>
      <c r="GEQ1" t="s">
        <v>9147</v>
      </c>
      <c r="GER1" t="s">
        <v>9148</v>
      </c>
      <c r="GES1" t="s">
        <v>9149</v>
      </c>
      <c r="GET1" t="s">
        <v>9150</v>
      </c>
      <c r="GEU1" t="s">
        <v>9151</v>
      </c>
      <c r="GEV1" t="s">
        <v>9152</v>
      </c>
      <c r="GEW1" t="s">
        <v>9153</v>
      </c>
      <c r="GEX1" t="s">
        <v>9154</v>
      </c>
      <c r="GEY1" t="s">
        <v>9155</v>
      </c>
      <c r="GEZ1" t="s">
        <v>9156</v>
      </c>
      <c r="GFA1" t="s">
        <v>9157</v>
      </c>
      <c r="GFB1" t="s">
        <v>9158</v>
      </c>
      <c r="GFC1" t="s">
        <v>9159</v>
      </c>
      <c r="GFD1" t="s">
        <v>9160</v>
      </c>
      <c r="GFE1" t="s">
        <v>9161</v>
      </c>
      <c r="GFF1" t="s">
        <v>9162</v>
      </c>
      <c r="GFG1" t="s">
        <v>9163</v>
      </c>
      <c r="GFH1" t="s">
        <v>9164</v>
      </c>
      <c r="GFI1" t="s">
        <v>9165</v>
      </c>
      <c r="GFJ1" t="s">
        <v>9166</v>
      </c>
      <c r="GFK1" t="s">
        <v>9167</v>
      </c>
      <c r="GFL1" t="s">
        <v>9168</v>
      </c>
      <c r="GFM1" t="s">
        <v>9169</v>
      </c>
      <c r="GFN1" t="s">
        <v>9170</v>
      </c>
      <c r="GFO1" t="s">
        <v>9171</v>
      </c>
      <c r="GFP1" t="s">
        <v>9172</v>
      </c>
      <c r="GFQ1" t="s">
        <v>9173</v>
      </c>
      <c r="GFR1" t="s">
        <v>9174</v>
      </c>
      <c r="GFS1" t="s">
        <v>9175</v>
      </c>
      <c r="GFT1" t="s">
        <v>9176</v>
      </c>
      <c r="GFU1" t="s">
        <v>9177</v>
      </c>
      <c r="GFV1" t="s">
        <v>9178</v>
      </c>
      <c r="GFW1" t="s">
        <v>9179</v>
      </c>
      <c r="GFX1" t="s">
        <v>9180</v>
      </c>
      <c r="GFY1" t="s">
        <v>9181</v>
      </c>
      <c r="GFZ1" t="s">
        <v>9182</v>
      </c>
      <c r="GGA1" t="s">
        <v>9183</v>
      </c>
      <c r="GGB1" t="s">
        <v>9184</v>
      </c>
      <c r="GGC1" t="s">
        <v>9185</v>
      </c>
      <c r="GGD1" t="s">
        <v>9186</v>
      </c>
      <c r="GGE1" t="s">
        <v>9187</v>
      </c>
      <c r="GGF1" t="s">
        <v>9188</v>
      </c>
      <c r="GGG1" t="s">
        <v>9189</v>
      </c>
      <c r="GGH1" t="s">
        <v>9190</v>
      </c>
      <c r="GGI1" t="s">
        <v>9191</v>
      </c>
      <c r="GGJ1" t="s">
        <v>9192</v>
      </c>
      <c r="GGK1" t="s">
        <v>9193</v>
      </c>
      <c r="GGL1" t="s">
        <v>9194</v>
      </c>
      <c r="GGM1" t="s">
        <v>9195</v>
      </c>
      <c r="GGN1" t="s">
        <v>9196</v>
      </c>
      <c r="GGO1" t="s">
        <v>9197</v>
      </c>
      <c r="GGP1" t="s">
        <v>9198</v>
      </c>
      <c r="GGQ1" t="s">
        <v>9199</v>
      </c>
      <c r="GGR1" t="s">
        <v>9200</v>
      </c>
      <c r="GGS1" t="s">
        <v>9201</v>
      </c>
      <c r="GGT1" t="s">
        <v>9202</v>
      </c>
      <c r="GGU1" t="s">
        <v>9203</v>
      </c>
      <c r="GGV1" t="s">
        <v>9204</v>
      </c>
      <c r="GGW1" t="s">
        <v>9205</v>
      </c>
      <c r="GGX1" t="s">
        <v>9206</v>
      </c>
      <c r="GGY1" t="s">
        <v>9207</v>
      </c>
      <c r="GGZ1" t="s">
        <v>9208</v>
      </c>
      <c r="GHA1" t="s">
        <v>9209</v>
      </c>
      <c r="GHB1" t="s">
        <v>9210</v>
      </c>
      <c r="GHC1" t="s">
        <v>9211</v>
      </c>
      <c r="GHD1" t="s">
        <v>9212</v>
      </c>
      <c r="GHE1" t="s">
        <v>9213</v>
      </c>
      <c r="GHF1" t="s">
        <v>9214</v>
      </c>
      <c r="GHG1" t="s">
        <v>9215</v>
      </c>
      <c r="GHH1" t="s">
        <v>9216</v>
      </c>
      <c r="GHI1" t="s">
        <v>9217</v>
      </c>
      <c r="GHJ1" t="s">
        <v>9218</v>
      </c>
      <c r="GHK1" t="s">
        <v>9219</v>
      </c>
      <c r="GHL1" t="s">
        <v>9220</v>
      </c>
      <c r="GHM1" t="s">
        <v>9221</v>
      </c>
      <c r="GHN1" t="s">
        <v>9222</v>
      </c>
      <c r="GHO1" t="s">
        <v>9223</v>
      </c>
      <c r="GHP1" t="s">
        <v>9224</v>
      </c>
      <c r="GHQ1" t="s">
        <v>9225</v>
      </c>
      <c r="GHR1" t="s">
        <v>9226</v>
      </c>
      <c r="GHS1" t="s">
        <v>9227</v>
      </c>
      <c r="GHT1" t="s">
        <v>9228</v>
      </c>
      <c r="GHU1" t="s">
        <v>9229</v>
      </c>
      <c r="GHV1" t="s">
        <v>9230</v>
      </c>
      <c r="GHW1" t="s">
        <v>9231</v>
      </c>
      <c r="GHX1" t="s">
        <v>9232</v>
      </c>
      <c r="GHY1" t="s">
        <v>9233</v>
      </c>
      <c r="GHZ1" t="s">
        <v>9234</v>
      </c>
      <c r="GIA1" t="s">
        <v>9235</v>
      </c>
      <c r="GIB1" t="s">
        <v>9236</v>
      </c>
      <c r="GIC1" t="s">
        <v>9237</v>
      </c>
      <c r="GID1" t="s">
        <v>9238</v>
      </c>
      <c r="GIE1" t="s">
        <v>9239</v>
      </c>
      <c r="GIF1" t="s">
        <v>9240</v>
      </c>
      <c r="GIG1" t="s">
        <v>9241</v>
      </c>
      <c r="GIH1" t="s">
        <v>9242</v>
      </c>
      <c r="GII1" t="s">
        <v>9243</v>
      </c>
      <c r="GIJ1" t="s">
        <v>9244</v>
      </c>
      <c r="GIK1" t="s">
        <v>9245</v>
      </c>
      <c r="GIL1" t="s">
        <v>9246</v>
      </c>
      <c r="GIM1" t="s">
        <v>9247</v>
      </c>
      <c r="GIN1" t="s">
        <v>9248</v>
      </c>
      <c r="GIO1" t="s">
        <v>9249</v>
      </c>
      <c r="GIP1" t="s">
        <v>9250</v>
      </c>
      <c r="GIQ1" t="s">
        <v>9251</v>
      </c>
      <c r="GIR1" t="s">
        <v>9252</v>
      </c>
      <c r="GIS1" t="s">
        <v>9253</v>
      </c>
      <c r="GIT1" t="s">
        <v>9254</v>
      </c>
      <c r="GIU1" t="s">
        <v>9255</v>
      </c>
      <c r="GIV1" t="s">
        <v>9256</v>
      </c>
      <c r="GIW1" t="s">
        <v>9257</v>
      </c>
      <c r="GIX1" t="s">
        <v>9258</v>
      </c>
      <c r="GIY1" t="s">
        <v>9259</v>
      </c>
      <c r="GIZ1" t="s">
        <v>9260</v>
      </c>
      <c r="GJA1" t="s">
        <v>9261</v>
      </c>
      <c r="GJB1" t="s">
        <v>9262</v>
      </c>
      <c r="GJC1" t="s">
        <v>9263</v>
      </c>
      <c r="GJD1" t="s">
        <v>9264</v>
      </c>
      <c r="GJE1" t="s">
        <v>9265</v>
      </c>
      <c r="GJF1" t="s">
        <v>9266</v>
      </c>
      <c r="GJG1" t="s">
        <v>9267</v>
      </c>
      <c r="GJH1" t="s">
        <v>9268</v>
      </c>
      <c r="GJI1" t="s">
        <v>9269</v>
      </c>
      <c r="GJJ1" t="s">
        <v>9270</v>
      </c>
      <c r="GJK1" t="s">
        <v>9271</v>
      </c>
      <c r="GJL1" t="s">
        <v>9272</v>
      </c>
      <c r="GJM1" t="s">
        <v>9273</v>
      </c>
      <c r="GJN1" t="s">
        <v>9274</v>
      </c>
      <c r="GJO1" t="s">
        <v>9275</v>
      </c>
      <c r="GJP1" t="s">
        <v>9276</v>
      </c>
      <c r="GJQ1" t="s">
        <v>9277</v>
      </c>
      <c r="GJR1" t="s">
        <v>9278</v>
      </c>
      <c r="GJS1" t="s">
        <v>9279</v>
      </c>
      <c r="GJT1" t="s">
        <v>9280</v>
      </c>
      <c r="GJU1" t="s">
        <v>9281</v>
      </c>
      <c r="GJV1" t="s">
        <v>9282</v>
      </c>
      <c r="GJW1" t="s">
        <v>9283</v>
      </c>
      <c r="GJX1" t="s">
        <v>9284</v>
      </c>
      <c r="GJY1" t="s">
        <v>9285</v>
      </c>
      <c r="GJZ1" t="s">
        <v>9286</v>
      </c>
      <c r="GKA1" t="s">
        <v>9287</v>
      </c>
      <c r="GKB1" t="s">
        <v>9288</v>
      </c>
      <c r="GKC1" t="s">
        <v>9289</v>
      </c>
      <c r="GKD1" t="s">
        <v>9290</v>
      </c>
      <c r="GKE1" t="s">
        <v>9291</v>
      </c>
      <c r="GKF1" t="s">
        <v>9292</v>
      </c>
      <c r="GKG1" t="s">
        <v>9293</v>
      </c>
      <c r="GKH1" t="s">
        <v>9294</v>
      </c>
      <c r="GKI1" t="s">
        <v>9295</v>
      </c>
      <c r="GKJ1" t="s">
        <v>9296</v>
      </c>
      <c r="GKK1" t="s">
        <v>9297</v>
      </c>
      <c r="GKL1" t="s">
        <v>9298</v>
      </c>
      <c r="GKM1" t="s">
        <v>9299</v>
      </c>
      <c r="GKN1" t="s">
        <v>9300</v>
      </c>
      <c r="GKO1" t="s">
        <v>9301</v>
      </c>
      <c r="GKP1" t="s">
        <v>9302</v>
      </c>
      <c r="GKQ1" t="s">
        <v>9303</v>
      </c>
      <c r="GKR1" t="s">
        <v>9304</v>
      </c>
      <c r="GKS1" t="s">
        <v>9305</v>
      </c>
      <c r="GKT1" t="s">
        <v>9306</v>
      </c>
      <c r="GKU1" t="s">
        <v>9307</v>
      </c>
      <c r="GKV1" t="s">
        <v>9308</v>
      </c>
      <c r="GKW1" t="s">
        <v>9309</v>
      </c>
      <c r="GKX1" t="s">
        <v>9310</v>
      </c>
      <c r="GKY1" t="s">
        <v>9311</v>
      </c>
      <c r="GKZ1" t="s">
        <v>9312</v>
      </c>
      <c r="GLA1" t="s">
        <v>9313</v>
      </c>
      <c r="GLB1" t="s">
        <v>9314</v>
      </c>
      <c r="GLC1" t="s">
        <v>9315</v>
      </c>
      <c r="GLD1" t="s">
        <v>9316</v>
      </c>
      <c r="GLE1" t="s">
        <v>9317</v>
      </c>
      <c r="GLF1" t="s">
        <v>9318</v>
      </c>
      <c r="GLG1" t="s">
        <v>9319</v>
      </c>
      <c r="GLH1" t="s">
        <v>9320</v>
      </c>
      <c r="GLI1" t="s">
        <v>9321</v>
      </c>
      <c r="GLJ1" t="s">
        <v>9322</v>
      </c>
      <c r="GLK1" t="s">
        <v>9323</v>
      </c>
      <c r="GLL1" t="s">
        <v>9324</v>
      </c>
      <c r="GLM1" t="s">
        <v>9325</v>
      </c>
      <c r="GLN1" t="s">
        <v>9326</v>
      </c>
      <c r="GLO1" t="s">
        <v>9327</v>
      </c>
      <c r="GLP1" t="s">
        <v>9328</v>
      </c>
      <c r="GLQ1" t="s">
        <v>9329</v>
      </c>
      <c r="GLR1" t="s">
        <v>9330</v>
      </c>
      <c r="GLS1" t="s">
        <v>9331</v>
      </c>
      <c r="GLT1" t="s">
        <v>9332</v>
      </c>
      <c r="GLU1" t="s">
        <v>9333</v>
      </c>
      <c r="GLV1" t="s">
        <v>9334</v>
      </c>
      <c r="GLW1" t="s">
        <v>9335</v>
      </c>
      <c r="GLX1" t="s">
        <v>9336</v>
      </c>
      <c r="GLY1" t="s">
        <v>9337</v>
      </c>
      <c r="GLZ1" t="s">
        <v>9338</v>
      </c>
      <c r="GMA1" t="s">
        <v>9339</v>
      </c>
      <c r="GMB1" t="s">
        <v>9340</v>
      </c>
      <c r="GMC1" t="s">
        <v>9341</v>
      </c>
      <c r="GMD1" t="s">
        <v>9342</v>
      </c>
      <c r="GME1" t="s">
        <v>9343</v>
      </c>
      <c r="GMF1" t="s">
        <v>9344</v>
      </c>
      <c r="GMG1" t="s">
        <v>9345</v>
      </c>
      <c r="GMH1" t="s">
        <v>9346</v>
      </c>
      <c r="GMI1" t="s">
        <v>9347</v>
      </c>
      <c r="GMJ1" t="s">
        <v>9348</v>
      </c>
      <c r="GMK1" t="s">
        <v>9349</v>
      </c>
      <c r="GML1" t="s">
        <v>9350</v>
      </c>
      <c r="GMM1" t="s">
        <v>9351</v>
      </c>
      <c r="GMN1" t="s">
        <v>9352</v>
      </c>
      <c r="GMO1" t="s">
        <v>9353</v>
      </c>
      <c r="GMP1" t="s">
        <v>9354</v>
      </c>
      <c r="GMQ1" t="s">
        <v>9355</v>
      </c>
      <c r="GMR1" t="s">
        <v>9356</v>
      </c>
      <c r="GMS1" t="s">
        <v>9357</v>
      </c>
      <c r="GMT1" t="s">
        <v>9358</v>
      </c>
      <c r="GMU1" t="s">
        <v>9359</v>
      </c>
      <c r="GMV1" t="s">
        <v>9360</v>
      </c>
      <c r="GMW1" t="s">
        <v>9361</v>
      </c>
      <c r="GMX1" t="s">
        <v>9362</v>
      </c>
      <c r="GMY1" t="s">
        <v>9363</v>
      </c>
      <c r="GMZ1" t="s">
        <v>9364</v>
      </c>
      <c r="GNA1" t="s">
        <v>9365</v>
      </c>
      <c r="GNB1" t="s">
        <v>9366</v>
      </c>
      <c r="GNC1" t="s">
        <v>9367</v>
      </c>
      <c r="GND1" t="s">
        <v>9368</v>
      </c>
      <c r="GNE1" t="s">
        <v>9369</v>
      </c>
      <c r="GNF1" t="s">
        <v>9370</v>
      </c>
      <c r="GNG1" t="s">
        <v>9371</v>
      </c>
      <c r="GNH1" t="s">
        <v>9372</v>
      </c>
      <c r="GNI1" t="s">
        <v>9373</v>
      </c>
      <c r="GNJ1" t="s">
        <v>9374</v>
      </c>
      <c r="GNK1" t="s">
        <v>9375</v>
      </c>
      <c r="GNL1" t="s">
        <v>9376</v>
      </c>
      <c r="GNM1" t="s">
        <v>9377</v>
      </c>
      <c r="GNN1" t="s">
        <v>9378</v>
      </c>
      <c r="GNO1" t="s">
        <v>9379</v>
      </c>
      <c r="GNP1" t="s">
        <v>9380</v>
      </c>
      <c r="GNQ1" t="s">
        <v>9381</v>
      </c>
      <c r="GNR1" t="s">
        <v>9382</v>
      </c>
      <c r="GNS1" t="s">
        <v>9383</v>
      </c>
      <c r="GNT1" t="s">
        <v>9384</v>
      </c>
      <c r="GNU1" t="s">
        <v>9385</v>
      </c>
      <c r="GNV1" t="s">
        <v>9386</v>
      </c>
      <c r="GNW1" t="s">
        <v>9387</v>
      </c>
      <c r="GNX1" t="s">
        <v>9388</v>
      </c>
      <c r="GNY1" t="s">
        <v>9389</v>
      </c>
      <c r="GNZ1" t="s">
        <v>9390</v>
      </c>
      <c r="GOA1" t="s">
        <v>9391</v>
      </c>
      <c r="GOB1" t="s">
        <v>9392</v>
      </c>
      <c r="GOC1" t="s">
        <v>9393</v>
      </c>
      <c r="GOD1" t="s">
        <v>9394</v>
      </c>
      <c r="GOE1" t="s">
        <v>9395</v>
      </c>
      <c r="GOF1" t="s">
        <v>9396</v>
      </c>
      <c r="GOG1" t="s">
        <v>9397</v>
      </c>
      <c r="GOH1" t="s">
        <v>9398</v>
      </c>
      <c r="GOI1" t="s">
        <v>9399</v>
      </c>
      <c r="GOJ1" t="s">
        <v>9400</v>
      </c>
      <c r="GOK1" t="s">
        <v>9401</v>
      </c>
      <c r="GOL1" t="s">
        <v>9402</v>
      </c>
      <c r="GOM1" t="s">
        <v>9403</v>
      </c>
      <c r="GON1" t="s">
        <v>9404</v>
      </c>
      <c r="GOO1" t="s">
        <v>9405</v>
      </c>
      <c r="GOP1" t="s">
        <v>9406</v>
      </c>
      <c r="GOQ1" t="s">
        <v>9407</v>
      </c>
      <c r="GOR1" t="s">
        <v>9408</v>
      </c>
      <c r="GOS1" t="s">
        <v>9409</v>
      </c>
      <c r="GOT1" t="s">
        <v>9410</v>
      </c>
      <c r="GOU1" t="s">
        <v>9411</v>
      </c>
      <c r="GOV1" t="s">
        <v>9412</v>
      </c>
      <c r="GOW1" t="s">
        <v>9413</v>
      </c>
      <c r="GOX1" t="s">
        <v>9414</v>
      </c>
      <c r="GOY1" t="s">
        <v>9415</v>
      </c>
      <c r="GOZ1" t="s">
        <v>9416</v>
      </c>
      <c r="GPA1" t="s">
        <v>9417</v>
      </c>
      <c r="GPB1" t="s">
        <v>9418</v>
      </c>
      <c r="GPC1" t="s">
        <v>9419</v>
      </c>
      <c r="GPD1" t="s">
        <v>9420</v>
      </c>
      <c r="GPE1" t="s">
        <v>9421</v>
      </c>
      <c r="GPF1" t="s">
        <v>9422</v>
      </c>
      <c r="GPG1" t="s">
        <v>9423</v>
      </c>
      <c r="GPH1" t="s">
        <v>9424</v>
      </c>
      <c r="GPI1" t="s">
        <v>9425</v>
      </c>
      <c r="GPJ1" t="s">
        <v>9426</v>
      </c>
      <c r="GPK1" t="s">
        <v>9427</v>
      </c>
      <c r="GPL1" t="s">
        <v>9428</v>
      </c>
      <c r="GPM1" t="s">
        <v>9429</v>
      </c>
      <c r="GPN1" t="s">
        <v>9430</v>
      </c>
      <c r="GPO1" t="s">
        <v>9431</v>
      </c>
      <c r="GPP1" t="s">
        <v>9432</v>
      </c>
      <c r="GPQ1" t="s">
        <v>9433</v>
      </c>
      <c r="GPR1" t="s">
        <v>9434</v>
      </c>
      <c r="GPS1" t="s">
        <v>9435</v>
      </c>
      <c r="GPT1" t="s">
        <v>9436</v>
      </c>
      <c r="GPU1" t="s">
        <v>9437</v>
      </c>
      <c r="GPV1" t="s">
        <v>9438</v>
      </c>
      <c r="GPW1" t="s">
        <v>9439</v>
      </c>
      <c r="GPX1" t="s">
        <v>9440</v>
      </c>
      <c r="GPY1" t="s">
        <v>9441</v>
      </c>
      <c r="GPZ1" t="s">
        <v>9442</v>
      </c>
      <c r="GQA1" t="s">
        <v>9443</v>
      </c>
      <c r="GQB1" t="s">
        <v>9444</v>
      </c>
      <c r="GQC1" t="s">
        <v>9445</v>
      </c>
      <c r="GQD1" t="s">
        <v>9446</v>
      </c>
      <c r="GQE1" t="s">
        <v>9447</v>
      </c>
      <c r="GQF1" t="s">
        <v>9448</v>
      </c>
      <c r="GQG1" t="s">
        <v>9449</v>
      </c>
      <c r="GQH1" t="s">
        <v>9450</v>
      </c>
      <c r="GQI1" t="s">
        <v>9451</v>
      </c>
      <c r="GQJ1" t="s">
        <v>9452</v>
      </c>
      <c r="GQK1" t="s">
        <v>9453</v>
      </c>
      <c r="GQL1" t="s">
        <v>9454</v>
      </c>
      <c r="GQM1" t="s">
        <v>9455</v>
      </c>
      <c r="GQN1" t="s">
        <v>9456</v>
      </c>
      <c r="GQO1" t="s">
        <v>9457</v>
      </c>
      <c r="GQP1" t="s">
        <v>9458</v>
      </c>
      <c r="GQQ1" t="s">
        <v>9459</v>
      </c>
      <c r="GQR1" t="s">
        <v>9460</v>
      </c>
      <c r="GQS1" t="s">
        <v>9461</v>
      </c>
      <c r="GQT1" t="s">
        <v>9462</v>
      </c>
      <c r="GQU1" t="s">
        <v>9463</v>
      </c>
      <c r="GQV1" t="s">
        <v>9464</v>
      </c>
      <c r="GQW1" t="s">
        <v>9465</v>
      </c>
      <c r="GQX1" t="s">
        <v>9466</v>
      </c>
      <c r="GQY1" t="s">
        <v>9467</v>
      </c>
      <c r="GQZ1" t="s">
        <v>9468</v>
      </c>
      <c r="GRA1" t="s">
        <v>9469</v>
      </c>
      <c r="GRB1" t="s">
        <v>9470</v>
      </c>
      <c r="GRC1" t="s">
        <v>9471</v>
      </c>
      <c r="GRD1" t="s">
        <v>9472</v>
      </c>
      <c r="GRE1" t="s">
        <v>9473</v>
      </c>
      <c r="GRF1" t="s">
        <v>9474</v>
      </c>
      <c r="GRG1" t="s">
        <v>9475</v>
      </c>
      <c r="GRH1" t="s">
        <v>9476</v>
      </c>
      <c r="GRI1" t="s">
        <v>9477</v>
      </c>
      <c r="GRJ1" t="s">
        <v>9478</v>
      </c>
      <c r="GRK1" t="s">
        <v>9479</v>
      </c>
      <c r="GRL1" t="s">
        <v>9480</v>
      </c>
      <c r="GRM1" t="s">
        <v>9481</v>
      </c>
      <c r="GRN1" t="s">
        <v>9482</v>
      </c>
      <c r="GRO1" t="s">
        <v>9483</v>
      </c>
      <c r="GRP1" t="s">
        <v>9484</v>
      </c>
      <c r="GRQ1" t="s">
        <v>9485</v>
      </c>
      <c r="GRR1" t="s">
        <v>9486</v>
      </c>
      <c r="GRS1" t="s">
        <v>9487</v>
      </c>
      <c r="GRT1" t="s">
        <v>9488</v>
      </c>
      <c r="GRU1" t="s">
        <v>9489</v>
      </c>
      <c r="GRV1" t="s">
        <v>9490</v>
      </c>
      <c r="GRW1" t="s">
        <v>9491</v>
      </c>
      <c r="GRX1" t="s">
        <v>9492</v>
      </c>
      <c r="GRY1" t="s">
        <v>9493</v>
      </c>
      <c r="GRZ1" t="s">
        <v>9494</v>
      </c>
      <c r="GSA1" t="s">
        <v>9495</v>
      </c>
      <c r="GSB1" t="s">
        <v>9496</v>
      </c>
      <c r="GSC1" t="s">
        <v>9497</v>
      </c>
      <c r="GSD1" t="s">
        <v>9498</v>
      </c>
      <c r="GSE1" t="s">
        <v>9499</v>
      </c>
      <c r="GSF1" t="s">
        <v>9500</v>
      </c>
      <c r="GSG1" t="s">
        <v>9501</v>
      </c>
      <c r="GSH1" t="s">
        <v>9502</v>
      </c>
      <c r="GSI1" t="s">
        <v>9503</v>
      </c>
      <c r="GSJ1" t="s">
        <v>9504</v>
      </c>
      <c r="GSK1" t="s">
        <v>9505</v>
      </c>
      <c r="GSL1" t="s">
        <v>9506</v>
      </c>
      <c r="GSM1" t="s">
        <v>9507</v>
      </c>
      <c r="GSN1" t="s">
        <v>9508</v>
      </c>
      <c r="GSO1" t="s">
        <v>9509</v>
      </c>
      <c r="GSP1" t="s">
        <v>9510</v>
      </c>
      <c r="GSQ1" t="s">
        <v>9511</v>
      </c>
      <c r="GSR1" t="s">
        <v>9512</v>
      </c>
      <c r="GSS1" t="s">
        <v>9513</v>
      </c>
      <c r="GST1" t="s">
        <v>9514</v>
      </c>
      <c r="GSU1" t="s">
        <v>9515</v>
      </c>
      <c r="GSV1" t="s">
        <v>9516</v>
      </c>
      <c r="GSW1" t="s">
        <v>9517</v>
      </c>
      <c r="GSX1" t="s">
        <v>9518</v>
      </c>
      <c r="GSY1" t="s">
        <v>9519</v>
      </c>
      <c r="GSZ1" t="s">
        <v>9520</v>
      </c>
      <c r="GTA1" t="s">
        <v>9521</v>
      </c>
      <c r="GTB1" t="s">
        <v>9522</v>
      </c>
      <c r="GTC1" t="s">
        <v>9523</v>
      </c>
      <c r="GTD1" t="s">
        <v>9524</v>
      </c>
      <c r="GTE1" t="s">
        <v>9525</v>
      </c>
      <c r="GTF1" t="s">
        <v>9526</v>
      </c>
      <c r="GTG1" t="s">
        <v>9527</v>
      </c>
      <c r="GTH1" t="s">
        <v>9528</v>
      </c>
      <c r="GTI1" t="s">
        <v>9529</v>
      </c>
      <c r="GTJ1" t="s">
        <v>9530</v>
      </c>
      <c r="GTK1" t="s">
        <v>9531</v>
      </c>
      <c r="GTL1" t="s">
        <v>9532</v>
      </c>
      <c r="GTM1" t="s">
        <v>9533</v>
      </c>
      <c r="GTN1" t="s">
        <v>9534</v>
      </c>
      <c r="GTO1" t="s">
        <v>9535</v>
      </c>
      <c r="GTP1" t="s">
        <v>9536</v>
      </c>
      <c r="GTQ1" t="s">
        <v>9537</v>
      </c>
      <c r="GTR1" t="s">
        <v>9538</v>
      </c>
      <c r="GTS1" t="s">
        <v>9539</v>
      </c>
      <c r="GTT1" t="s">
        <v>9540</v>
      </c>
      <c r="GTU1" t="s">
        <v>9541</v>
      </c>
      <c r="GTV1" t="s">
        <v>9542</v>
      </c>
      <c r="GTW1" t="s">
        <v>9543</v>
      </c>
      <c r="GTX1" t="s">
        <v>9544</v>
      </c>
      <c r="GTY1" t="s">
        <v>9545</v>
      </c>
      <c r="GTZ1" t="s">
        <v>9546</v>
      </c>
      <c r="GUA1" t="s">
        <v>9547</v>
      </c>
      <c r="GUB1" t="s">
        <v>9548</v>
      </c>
      <c r="GUC1" t="s">
        <v>9549</v>
      </c>
      <c r="GUD1" t="s">
        <v>9550</v>
      </c>
      <c r="GUE1" t="s">
        <v>9551</v>
      </c>
      <c r="GUF1" t="s">
        <v>9552</v>
      </c>
      <c r="GUG1" t="s">
        <v>9553</v>
      </c>
      <c r="GUH1" t="s">
        <v>9554</v>
      </c>
      <c r="GUI1" t="s">
        <v>9555</v>
      </c>
      <c r="GUJ1" t="s">
        <v>9556</v>
      </c>
      <c r="GUK1" t="s">
        <v>9557</v>
      </c>
      <c r="GUL1" t="s">
        <v>9558</v>
      </c>
      <c r="GUM1" t="s">
        <v>9559</v>
      </c>
      <c r="GUN1" t="s">
        <v>9560</v>
      </c>
      <c r="GUO1" t="s">
        <v>9561</v>
      </c>
      <c r="GUP1" t="s">
        <v>9562</v>
      </c>
      <c r="GUQ1" t="s">
        <v>9563</v>
      </c>
      <c r="GUR1" t="s">
        <v>9564</v>
      </c>
      <c r="GUS1" t="s">
        <v>9565</v>
      </c>
      <c r="GUT1" t="s">
        <v>9566</v>
      </c>
      <c r="GUU1" t="s">
        <v>9567</v>
      </c>
      <c r="GUV1" t="s">
        <v>9568</v>
      </c>
      <c r="GUW1" t="s">
        <v>9569</v>
      </c>
      <c r="GUX1" t="s">
        <v>9570</v>
      </c>
      <c r="GUY1" t="s">
        <v>9571</v>
      </c>
      <c r="GUZ1" t="s">
        <v>9572</v>
      </c>
      <c r="GVA1" t="s">
        <v>9573</v>
      </c>
      <c r="GVB1" t="s">
        <v>9574</v>
      </c>
      <c r="GVC1" t="s">
        <v>9575</v>
      </c>
      <c r="GVD1" t="s">
        <v>9576</v>
      </c>
      <c r="GVE1" t="s">
        <v>9577</v>
      </c>
      <c r="GVF1" t="s">
        <v>9578</v>
      </c>
      <c r="GVG1" t="s">
        <v>9579</v>
      </c>
      <c r="GVH1" t="s">
        <v>9580</v>
      </c>
      <c r="GVI1" t="s">
        <v>9581</v>
      </c>
      <c r="GVJ1" t="s">
        <v>9582</v>
      </c>
      <c r="GVK1" t="s">
        <v>9583</v>
      </c>
      <c r="GVL1" t="s">
        <v>9584</v>
      </c>
      <c r="GVM1" t="s">
        <v>9585</v>
      </c>
      <c r="GVN1" t="s">
        <v>9586</v>
      </c>
      <c r="GVO1" t="s">
        <v>9587</v>
      </c>
      <c r="GVP1" t="s">
        <v>9588</v>
      </c>
      <c r="GVQ1" t="s">
        <v>9589</v>
      </c>
      <c r="GVR1" t="s">
        <v>9590</v>
      </c>
      <c r="GVS1" t="s">
        <v>9591</v>
      </c>
      <c r="GVT1" t="s">
        <v>9592</v>
      </c>
      <c r="GVU1" t="s">
        <v>9593</v>
      </c>
      <c r="GVV1" t="s">
        <v>9594</v>
      </c>
      <c r="GVW1" t="s">
        <v>9595</v>
      </c>
      <c r="GVX1" t="s">
        <v>9596</v>
      </c>
      <c r="GVY1" t="s">
        <v>9597</v>
      </c>
      <c r="GVZ1" t="s">
        <v>9598</v>
      </c>
      <c r="GWA1" t="s">
        <v>9599</v>
      </c>
      <c r="GWB1" t="s">
        <v>9600</v>
      </c>
      <c r="GWC1" t="s">
        <v>9601</v>
      </c>
      <c r="GWD1" t="s">
        <v>9602</v>
      </c>
      <c r="GWE1" t="s">
        <v>9603</v>
      </c>
      <c r="GWF1" t="s">
        <v>9604</v>
      </c>
      <c r="GWG1" t="s">
        <v>9605</v>
      </c>
      <c r="GWH1" t="s">
        <v>9606</v>
      </c>
      <c r="GWI1" t="s">
        <v>9607</v>
      </c>
      <c r="GWJ1" t="s">
        <v>9608</v>
      </c>
      <c r="GWK1" t="s">
        <v>9609</v>
      </c>
      <c r="GWL1" t="s">
        <v>9610</v>
      </c>
      <c r="GWM1" t="s">
        <v>9611</v>
      </c>
      <c r="GWN1" t="s">
        <v>9612</v>
      </c>
      <c r="GWO1" t="s">
        <v>9613</v>
      </c>
      <c r="GWP1" t="s">
        <v>9614</v>
      </c>
      <c r="GWQ1" t="s">
        <v>9615</v>
      </c>
      <c r="GWR1" t="s">
        <v>9616</v>
      </c>
      <c r="GWS1" t="s">
        <v>9617</v>
      </c>
      <c r="GWT1" t="s">
        <v>9618</v>
      </c>
      <c r="GWU1" t="s">
        <v>9619</v>
      </c>
      <c r="GWV1" t="s">
        <v>9620</v>
      </c>
      <c r="GWW1" t="s">
        <v>9621</v>
      </c>
      <c r="GWX1" t="s">
        <v>9622</v>
      </c>
      <c r="GWY1" t="s">
        <v>9623</v>
      </c>
      <c r="GWZ1" t="s">
        <v>9624</v>
      </c>
      <c r="GXA1" t="s">
        <v>9625</v>
      </c>
      <c r="GXB1" t="s">
        <v>9626</v>
      </c>
      <c r="GXC1" t="s">
        <v>9627</v>
      </c>
      <c r="GXD1" t="s">
        <v>9628</v>
      </c>
      <c r="GXE1" t="s">
        <v>9629</v>
      </c>
      <c r="GXF1" t="s">
        <v>9630</v>
      </c>
      <c r="GXG1" t="s">
        <v>9631</v>
      </c>
      <c r="GXH1" t="s">
        <v>9632</v>
      </c>
      <c r="GXI1" t="s">
        <v>9633</v>
      </c>
      <c r="GXJ1" t="s">
        <v>9634</v>
      </c>
      <c r="GXK1" t="s">
        <v>9635</v>
      </c>
      <c r="GXL1" t="s">
        <v>9636</v>
      </c>
      <c r="GXM1" t="s">
        <v>9637</v>
      </c>
      <c r="GXN1" t="s">
        <v>9638</v>
      </c>
      <c r="GXO1" t="s">
        <v>9639</v>
      </c>
      <c r="GXP1" t="s">
        <v>9640</v>
      </c>
      <c r="GXQ1" t="s">
        <v>9641</v>
      </c>
      <c r="GXR1" t="s">
        <v>9642</v>
      </c>
      <c r="GXS1" t="s">
        <v>9643</v>
      </c>
      <c r="GXT1" t="s">
        <v>9644</v>
      </c>
      <c r="GXU1" t="s">
        <v>9645</v>
      </c>
      <c r="GXV1" t="s">
        <v>9646</v>
      </c>
      <c r="GXW1" t="s">
        <v>9647</v>
      </c>
      <c r="GXX1" t="s">
        <v>9648</v>
      </c>
      <c r="GXY1" t="s">
        <v>9649</v>
      </c>
      <c r="GXZ1" t="s">
        <v>9650</v>
      </c>
      <c r="GYA1" t="s">
        <v>9651</v>
      </c>
      <c r="GYB1" t="s">
        <v>9652</v>
      </c>
      <c r="GYC1" t="s">
        <v>9653</v>
      </c>
      <c r="GYD1" t="s">
        <v>9654</v>
      </c>
      <c r="GYE1" t="s">
        <v>9655</v>
      </c>
      <c r="GYF1" t="s">
        <v>9656</v>
      </c>
      <c r="GYG1" t="s">
        <v>9657</v>
      </c>
      <c r="GYH1" t="s">
        <v>9658</v>
      </c>
      <c r="GYI1" t="s">
        <v>9659</v>
      </c>
      <c r="GYJ1" t="s">
        <v>9660</v>
      </c>
      <c r="GYK1" t="s">
        <v>9661</v>
      </c>
      <c r="GYL1" t="s">
        <v>9662</v>
      </c>
      <c r="GYM1" t="s">
        <v>9663</v>
      </c>
      <c r="GYN1" t="s">
        <v>9664</v>
      </c>
      <c r="GYO1" t="s">
        <v>9665</v>
      </c>
      <c r="GYP1" t="s">
        <v>9666</v>
      </c>
      <c r="GYQ1" t="s">
        <v>9667</v>
      </c>
      <c r="GYR1" t="s">
        <v>9668</v>
      </c>
      <c r="GYS1" t="s">
        <v>9669</v>
      </c>
      <c r="GYT1" t="s">
        <v>9670</v>
      </c>
      <c r="GYU1" t="s">
        <v>9671</v>
      </c>
      <c r="GYV1" t="s">
        <v>9672</v>
      </c>
      <c r="GYW1" t="s">
        <v>9673</v>
      </c>
      <c r="GYX1" t="s">
        <v>9674</v>
      </c>
      <c r="GYY1" t="s">
        <v>9675</v>
      </c>
      <c r="GYZ1" t="s">
        <v>9676</v>
      </c>
      <c r="GZA1" t="s">
        <v>9677</v>
      </c>
      <c r="GZB1" t="s">
        <v>9678</v>
      </c>
      <c r="GZC1" t="s">
        <v>9679</v>
      </c>
      <c r="GZD1" t="s">
        <v>9680</v>
      </c>
      <c r="GZE1" t="s">
        <v>9681</v>
      </c>
      <c r="GZF1" t="s">
        <v>9682</v>
      </c>
      <c r="GZG1" t="s">
        <v>9683</v>
      </c>
      <c r="GZH1" t="s">
        <v>9684</v>
      </c>
      <c r="GZI1" t="s">
        <v>9685</v>
      </c>
      <c r="GZJ1" t="s">
        <v>9686</v>
      </c>
      <c r="GZK1" t="s">
        <v>9687</v>
      </c>
      <c r="GZL1" t="s">
        <v>9688</v>
      </c>
      <c r="GZM1" t="s">
        <v>9689</v>
      </c>
      <c r="GZN1" t="s">
        <v>9690</v>
      </c>
      <c r="GZO1" t="s">
        <v>9691</v>
      </c>
      <c r="GZP1" t="s">
        <v>9692</v>
      </c>
      <c r="GZQ1" t="s">
        <v>9693</v>
      </c>
      <c r="GZR1" t="s">
        <v>9694</v>
      </c>
      <c r="GZS1" t="s">
        <v>9695</v>
      </c>
      <c r="GZT1" t="s">
        <v>9696</v>
      </c>
      <c r="GZU1" t="s">
        <v>9697</v>
      </c>
      <c r="GZV1" t="s">
        <v>9698</v>
      </c>
      <c r="GZW1" t="s">
        <v>9699</v>
      </c>
      <c r="GZX1" t="s">
        <v>9700</v>
      </c>
      <c r="GZY1" t="s">
        <v>9701</v>
      </c>
      <c r="GZZ1" t="s">
        <v>9702</v>
      </c>
      <c r="HAA1" t="s">
        <v>9703</v>
      </c>
      <c r="HAB1" t="s">
        <v>9704</v>
      </c>
      <c r="HAC1" t="s">
        <v>9705</v>
      </c>
      <c r="HAD1" t="s">
        <v>9706</v>
      </c>
      <c r="HAE1" t="s">
        <v>9707</v>
      </c>
      <c r="HAF1" t="s">
        <v>9708</v>
      </c>
      <c r="HAG1" t="s">
        <v>9709</v>
      </c>
      <c r="HAH1" t="s">
        <v>9710</v>
      </c>
      <c r="HAI1" t="s">
        <v>9711</v>
      </c>
      <c r="HAJ1" t="s">
        <v>9712</v>
      </c>
      <c r="HAK1" t="s">
        <v>9713</v>
      </c>
      <c r="HAL1" t="s">
        <v>9714</v>
      </c>
      <c r="HAM1" t="s">
        <v>9715</v>
      </c>
      <c r="HAN1" t="s">
        <v>9716</v>
      </c>
      <c r="HAO1" t="s">
        <v>9717</v>
      </c>
      <c r="HAP1" t="s">
        <v>9718</v>
      </c>
      <c r="HAQ1" t="s">
        <v>9719</v>
      </c>
      <c r="HAR1" t="s">
        <v>9720</v>
      </c>
      <c r="HAS1" t="s">
        <v>9721</v>
      </c>
      <c r="HAT1" t="s">
        <v>9722</v>
      </c>
      <c r="HAU1" t="s">
        <v>9723</v>
      </c>
      <c r="HAV1" t="s">
        <v>9724</v>
      </c>
      <c r="HAW1" t="s">
        <v>9725</v>
      </c>
      <c r="HAX1" t="s">
        <v>9726</v>
      </c>
      <c r="HAY1" t="s">
        <v>9727</v>
      </c>
      <c r="HAZ1" t="s">
        <v>9728</v>
      </c>
      <c r="HBA1" t="s">
        <v>9729</v>
      </c>
      <c r="HBB1" t="s">
        <v>9730</v>
      </c>
      <c r="HBC1" t="s">
        <v>9731</v>
      </c>
      <c r="HBD1" t="s">
        <v>9732</v>
      </c>
      <c r="HBE1" t="s">
        <v>9733</v>
      </c>
      <c r="HBF1" t="s">
        <v>9734</v>
      </c>
      <c r="HBG1" t="s">
        <v>9735</v>
      </c>
      <c r="HBH1" t="s">
        <v>9736</v>
      </c>
      <c r="HBI1" t="s">
        <v>9737</v>
      </c>
      <c r="HBJ1" t="s">
        <v>9738</v>
      </c>
      <c r="HBK1" t="s">
        <v>9739</v>
      </c>
      <c r="HBL1" t="s">
        <v>9740</v>
      </c>
      <c r="HBM1" t="s">
        <v>9741</v>
      </c>
      <c r="HBN1" t="s">
        <v>9742</v>
      </c>
      <c r="HBO1" t="s">
        <v>9743</v>
      </c>
      <c r="HBP1" t="s">
        <v>9744</v>
      </c>
      <c r="HBQ1" t="s">
        <v>9745</v>
      </c>
      <c r="HBR1" t="s">
        <v>9746</v>
      </c>
      <c r="HBS1" t="s">
        <v>9747</v>
      </c>
      <c r="HBT1" t="s">
        <v>9748</v>
      </c>
      <c r="HBU1" t="s">
        <v>9749</v>
      </c>
      <c r="HBV1" t="s">
        <v>9750</v>
      </c>
      <c r="HBW1" t="s">
        <v>9751</v>
      </c>
      <c r="HBX1" t="s">
        <v>9752</v>
      </c>
      <c r="HBY1" t="s">
        <v>9753</v>
      </c>
      <c r="HBZ1" t="s">
        <v>9754</v>
      </c>
      <c r="HCA1" t="s">
        <v>9755</v>
      </c>
      <c r="HCB1" t="s">
        <v>9756</v>
      </c>
      <c r="HCC1" t="s">
        <v>9757</v>
      </c>
      <c r="HCD1" t="s">
        <v>9758</v>
      </c>
      <c r="HCE1" t="s">
        <v>9759</v>
      </c>
      <c r="HCF1" t="s">
        <v>9760</v>
      </c>
      <c r="HCG1" t="s">
        <v>9761</v>
      </c>
      <c r="HCH1" t="s">
        <v>9762</v>
      </c>
      <c r="HCI1" t="s">
        <v>9763</v>
      </c>
      <c r="HCJ1" t="s">
        <v>9764</v>
      </c>
      <c r="HCK1" t="s">
        <v>9765</v>
      </c>
      <c r="HCL1" t="s">
        <v>9766</v>
      </c>
      <c r="HCM1" t="s">
        <v>9767</v>
      </c>
      <c r="HCN1" t="s">
        <v>9768</v>
      </c>
      <c r="HCO1" t="s">
        <v>9769</v>
      </c>
      <c r="HCP1" t="s">
        <v>9770</v>
      </c>
      <c r="HCQ1" t="s">
        <v>9771</v>
      </c>
      <c r="HCR1" t="s">
        <v>9772</v>
      </c>
      <c r="HCS1" t="s">
        <v>9773</v>
      </c>
      <c r="HCT1" t="s">
        <v>9774</v>
      </c>
      <c r="HCU1" t="s">
        <v>9775</v>
      </c>
      <c r="HCV1" t="s">
        <v>9776</v>
      </c>
      <c r="HCW1" t="s">
        <v>9777</v>
      </c>
      <c r="HCX1" t="s">
        <v>9778</v>
      </c>
      <c r="HCY1" t="s">
        <v>9779</v>
      </c>
      <c r="HCZ1" t="s">
        <v>9780</v>
      </c>
      <c r="HDA1" t="s">
        <v>9781</v>
      </c>
      <c r="HDB1" t="s">
        <v>9782</v>
      </c>
      <c r="HDC1" t="s">
        <v>9783</v>
      </c>
      <c r="HDD1" t="s">
        <v>9784</v>
      </c>
      <c r="HDE1" t="s">
        <v>9785</v>
      </c>
      <c r="HDF1" t="s">
        <v>9786</v>
      </c>
      <c r="HDG1" t="s">
        <v>9787</v>
      </c>
      <c r="HDH1" t="s">
        <v>9788</v>
      </c>
      <c r="HDI1" t="s">
        <v>9789</v>
      </c>
      <c r="HDJ1" t="s">
        <v>9790</v>
      </c>
      <c r="HDK1" t="s">
        <v>9791</v>
      </c>
      <c r="HDL1" t="s">
        <v>9792</v>
      </c>
      <c r="HDM1" t="s">
        <v>9793</v>
      </c>
      <c r="HDN1" t="s">
        <v>9794</v>
      </c>
      <c r="HDO1" t="s">
        <v>9795</v>
      </c>
      <c r="HDP1" t="s">
        <v>9796</v>
      </c>
      <c r="HDQ1" t="s">
        <v>9797</v>
      </c>
      <c r="HDR1" t="s">
        <v>9798</v>
      </c>
      <c r="HDS1" t="s">
        <v>9799</v>
      </c>
      <c r="HDT1" t="s">
        <v>9800</v>
      </c>
      <c r="HDU1" t="s">
        <v>9801</v>
      </c>
      <c r="HDV1" t="s">
        <v>9802</v>
      </c>
      <c r="HDW1" t="s">
        <v>9803</v>
      </c>
      <c r="HDX1" t="s">
        <v>9804</v>
      </c>
      <c r="HDY1" t="s">
        <v>9805</v>
      </c>
      <c r="HDZ1" t="s">
        <v>9806</v>
      </c>
      <c r="HEA1" t="s">
        <v>9807</v>
      </c>
      <c r="HEB1" t="s">
        <v>9808</v>
      </c>
      <c r="HEC1" t="s">
        <v>9809</v>
      </c>
      <c r="HED1" t="s">
        <v>9810</v>
      </c>
      <c r="HEE1" t="s">
        <v>9811</v>
      </c>
      <c r="HEF1" t="s">
        <v>9812</v>
      </c>
      <c r="HEG1" t="s">
        <v>9813</v>
      </c>
      <c r="HEH1" t="s">
        <v>9814</v>
      </c>
      <c r="HEI1" t="s">
        <v>9815</v>
      </c>
      <c r="HEJ1" t="s">
        <v>9816</v>
      </c>
      <c r="HEK1" t="s">
        <v>9817</v>
      </c>
      <c r="HEL1" t="s">
        <v>9818</v>
      </c>
      <c r="HEM1" t="s">
        <v>9819</v>
      </c>
      <c r="HEN1" t="s">
        <v>9820</v>
      </c>
      <c r="HEO1" t="s">
        <v>9821</v>
      </c>
      <c r="HEP1" t="s">
        <v>9822</v>
      </c>
      <c r="HEQ1" t="s">
        <v>9823</v>
      </c>
      <c r="HER1" t="s">
        <v>9824</v>
      </c>
      <c r="HES1" t="s">
        <v>9825</v>
      </c>
      <c r="HET1" t="s">
        <v>9826</v>
      </c>
      <c r="HEU1" t="s">
        <v>9827</v>
      </c>
      <c r="HEV1" t="s">
        <v>9828</v>
      </c>
      <c r="HEW1" t="s">
        <v>9829</v>
      </c>
      <c r="HEX1" t="s">
        <v>9830</v>
      </c>
      <c r="HEY1" t="s">
        <v>9831</v>
      </c>
      <c r="HEZ1" t="s">
        <v>9832</v>
      </c>
      <c r="HFA1" t="s">
        <v>9833</v>
      </c>
      <c r="HFB1" t="s">
        <v>9834</v>
      </c>
      <c r="HFC1" t="s">
        <v>9835</v>
      </c>
      <c r="HFD1" t="s">
        <v>9836</v>
      </c>
      <c r="HFE1" t="s">
        <v>9837</v>
      </c>
      <c r="HFF1" t="s">
        <v>9838</v>
      </c>
      <c r="HFG1" t="s">
        <v>9839</v>
      </c>
      <c r="HFH1" t="s">
        <v>9840</v>
      </c>
      <c r="HFI1" t="s">
        <v>9841</v>
      </c>
      <c r="HFJ1" t="s">
        <v>9842</v>
      </c>
      <c r="HFK1" t="s">
        <v>9843</v>
      </c>
      <c r="HFL1" t="s">
        <v>9844</v>
      </c>
      <c r="HFM1" t="s">
        <v>9845</v>
      </c>
      <c r="HFN1" t="s">
        <v>9846</v>
      </c>
      <c r="HFO1" t="s">
        <v>9847</v>
      </c>
      <c r="HFP1" t="s">
        <v>9848</v>
      </c>
      <c r="HFQ1" t="s">
        <v>9849</v>
      </c>
      <c r="HFR1" t="s">
        <v>9850</v>
      </c>
      <c r="HFS1" t="s">
        <v>9851</v>
      </c>
      <c r="HFT1" t="s">
        <v>9852</v>
      </c>
      <c r="HFU1" t="s">
        <v>9853</v>
      </c>
      <c r="HFV1" t="s">
        <v>9854</v>
      </c>
      <c r="HFW1" t="s">
        <v>9855</v>
      </c>
      <c r="HFX1" t="s">
        <v>9856</v>
      </c>
      <c r="HFY1" t="s">
        <v>9857</v>
      </c>
      <c r="HFZ1" t="s">
        <v>9858</v>
      </c>
      <c r="HGA1" t="s">
        <v>9859</v>
      </c>
      <c r="HGB1" t="s">
        <v>9860</v>
      </c>
      <c r="HGC1" t="s">
        <v>9861</v>
      </c>
      <c r="HGD1" t="s">
        <v>9862</v>
      </c>
      <c r="HGE1" t="s">
        <v>9863</v>
      </c>
      <c r="HGF1" t="s">
        <v>9864</v>
      </c>
      <c r="HGG1" t="s">
        <v>9865</v>
      </c>
      <c r="HGH1" t="s">
        <v>9866</v>
      </c>
      <c r="HGI1" t="s">
        <v>9867</v>
      </c>
      <c r="HGJ1" t="s">
        <v>9868</v>
      </c>
      <c r="HGK1" t="s">
        <v>9869</v>
      </c>
      <c r="HGL1" t="s">
        <v>9870</v>
      </c>
      <c r="HGM1" t="s">
        <v>9871</v>
      </c>
      <c r="HGN1" t="s">
        <v>9872</v>
      </c>
      <c r="HGO1" t="s">
        <v>9873</v>
      </c>
      <c r="HGP1" t="s">
        <v>9874</v>
      </c>
      <c r="HGQ1" t="s">
        <v>9875</v>
      </c>
      <c r="HGR1" t="s">
        <v>9876</v>
      </c>
      <c r="HGS1" t="s">
        <v>9877</v>
      </c>
      <c r="HGT1" t="s">
        <v>9878</v>
      </c>
      <c r="HGU1" t="s">
        <v>9879</v>
      </c>
      <c r="HGV1" t="s">
        <v>9880</v>
      </c>
      <c r="HGW1" t="s">
        <v>9881</v>
      </c>
      <c r="HGX1" t="s">
        <v>9882</v>
      </c>
      <c r="HGY1" t="s">
        <v>9883</v>
      </c>
      <c r="HGZ1" t="s">
        <v>9884</v>
      </c>
      <c r="HHA1" t="s">
        <v>9885</v>
      </c>
      <c r="HHB1" t="s">
        <v>9886</v>
      </c>
      <c r="HHC1" t="s">
        <v>9887</v>
      </c>
      <c r="HHD1" t="s">
        <v>9888</v>
      </c>
      <c r="HHE1" t="s">
        <v>9889</v>
      </c>
      <c r="HHF1" t="s">
        <v>9890</v>
      </c>
      <c r="HHG1" t="s">
        <v>9891</v>
      </c>
      <c r="HHH1" t="s">
        <v>9892</v>
      </c>
      <c r="HHI1" t="s">
        <v>9893</v>
      </c>
      <c r="HHJ1" t="s">
        <v>9894</v>
      </c>
      <c r="HHK1" t="s">
        <v>9895</v>
      </c>
      <c r="HHL1" t="s">
        <v>9896</v>
      </c>
      <c r="HHM1" t="s">
        <v>9897</v>
      </c>
      <c r="HHN1" t="s">
        <v>9898</v>
      </c>
      <c r="HHO1" t="s">
        <v>9899</v>
      </c>
      <c r="HHP1" t="s">
        <v>9900</v>
      </c>
      <c r="HHQ1" t="s">
        <v>9901</v>
      </c>
      <c r="HHR1" t="s">
        <v>9902</v>
      </c>
      <c r="HHS1" t="s">
        <v>9903</v>
      </c>
      <c r="HHT1" t="s">
        <v>9904</v>
      </c>
      <c r="HHU1" t="s">
        <v>9905</v>
      </c>
      <c r="HHV1" t="s">
        <v>9906</v>
      </c>
      <c r="HHW1" t="s">
        <v>9907</v>
      </c>
      <c r="HHX1" t="s">
        <v>9908</v>
      </c>
      <c r="HHY1" t="s">
        <v>9909</v>
      </c>
      <c r="HHZ1" t="s">
        <v>9910</v>
      </c>
      <c r="HIA1" t="s">
        <v>9911</v>
      </c>
      <c r="HIB1" t="s">
        <v>9912</v>
      </c>
      <c r="HIC1" t="s">
        <v>9913</v>
      </c>
      <c r="HID1" t="s">
        <v>9914</v>
      </c>
      <c r="HIE1" t="s">
        <v>9915</v>
      </c>
      <c r="HIF1" t="s">
        <v>9916</v>
      </c>
      <c r="HIG1" t="s">
        <v>9917</v>
      </c>
      <c r="HIH1" t="s">
        <v>9918</v>
      </c>
      <c r="HII1" t="s">
        <v>9919</v>
      </c>
      <c r="HIJ1" t="s">
        <v>9920</v>
      </c>
      <c r="HIK1" t="s">
        <v>9921</v>
      </c>
      <c r="HIL1" t="s">
        <v>9922</v>
      </c>
      <c r="HIM1" t="s">
        <v>9923</v>
      </c>
      <c r="HIN1" t="s">
        <v>9924</v>
      </c>
      <c r="HIO1" t="s">
        <v>9925</v>
      </c>
      <c r="HIP1" t="s">
        <v>9926</v>
      </c>
      <c r="HIQ1" t="s">
        <v>9927</v>
      </c>
      <c r="HIR1" t="s">
        <v>9928</v>
      </c>
      <c r="HIS1" t="s">
        <v>9929</v>
      </c>
      <c r="HIT1" t="s">
        <v>9930</v>
      </c>
      <c r="HIU1" t="s">
        <v>9931</v>
      </c>
      <c r="HIV1" t="s">
        <v>9932</v>
      </c>
      <c r="HIW1" t="s">
        <v>9933</v>
      </c>
      <c r="HIX1" t="s">
        <v>9934</v>
      </c>
      <c r="HIY1" t="s">
        <v>9935</v>
      </c>
      <c r="HIZ1" t="s">
        <v>9936</v>
      </c>
      <c r="HJA1" t="s">
        <v>9937</v>
      </c>
      <c r="HJB1" t="s">
        <v>9938</v>
      </c>
      <c r="HJC1" t="s">
        <v>9939</v>
      </c>
      <c r="HJD1" t="s">
        <v>9940</v>
      </c>
      <c r="HJE1" t="s">
        <v>9941</v>
      </c>
      <c r="HJF1" t="s">
        <v>9942</v>
      </c>
      <c r="HJG1" t="s">
        <v>9943</v>
      </c>
      <c r="HJH1" t="s">
        <v>9944</v>
      </c>
      <c r="HJI1" t="s">
        <v>9945</v>
      </c>
      <c r="HJJ1" t="s">
        <v>9946</v>
      </c>
      <c r="HJK1" t="s">
        <v>9947</v>
      </c>
      <c r="HJL1" t="s">
        <v>9948</v>
      </c>
      <c r="HJM1" t="s">
        <v>9949</v>
      </c>
      <c r="HJN1" t="s">
        <v>9950</v>
      </c>
      <c r="HJO1" t="s">
        <v>9951</v>
      </c>
      <c r="HJP1" t="s">
        <v>9952</v>
      </c>
      <c r="HJQ1" t="s">
        <v>9953</v>
      </c>
      <c r="HJR1" t="s">
        <v>9954</v>
      </c>
      <c r="HJS1" t="s">
        <v>9955</v>
      </c>
      <c r="HJT1" t="s">
        <v>9956</v>
      </c>
      <c r="HJU1" t="s">
        <v>9957</v>
      </c>
      <c r="HJV1" t="s">
        <v>9958</v>
      </c>
      <c r="HJW1" t="s">
        <v>9959</v>
      </c>
      <c r="HJX1" t="s">
        <v>9960</v>
      </c>
      <c r="HJY1" t="s">
        <v>9961</v>
      </c>
      <c r="HJZ1" t="s">
        <v>9962</v>
      </c>
      <c r="HKA1" t="s">
        <v>9963</v>
      </c>
      <c r="HKB1" t="s">
        <v>9964</v>
      </c>
      <c r="HKC1" t="s">
        <v>9965</v>
      </c>
      <c r="HKD1" t="s">
        <v>9966</v>
      </c>
      <c r="HKE1" t="s">
        <v>9967</v>
      </c>
      <c r="HKF1" t="s">
        <v>9968</v>
      </c>
      <c r="HKG1" t="s">
        <v>9969</v>
      </c>
      <c r="HKH1" t="s">
        <v>9970</v>
      </c>
      <c r="HKI1" t="s">
        <v>9971</v>
      </c>
      <c r="HKJ1" t="s">
        <v>9972</v>
      </c>
      <c r="HKK1" t="s">
        <v>9973</v>
      </c>
      <c r="HKL1" t="s">
        <v>9974</v>
      </c>
      <c r="HKM1" t="s">
        <v>9975</v>
      </c>
      <c r="HKN1" t="s">
        <v>9976</v>
      </c>
      <c r="HKO1" t="s">
        <v>9977</v>
      </c>
      <c r="HKP1" t="s">
        <v>9978</v>
      </c>
      <c r="HKQ1" t="s">
        <v>9979</v>
      </c>
      <c r="HKR1" t="s">
        <v>9980</v>
      </c>
      <c r="HKS1" t="s">
        <v>9981</v>
      </c>
      <c r="HKT1" t="s">
        <v>9982</v>
      </c>
      <c r="HKU1" t="s">
        <v>9983</v>
      </c>
      <c r="HKV1" t="s">
        <v>9984</v>
      </c>
      <c r="HKW1" t="s">
        <v>9985</v>
      </c>
      <c r="HKX1" t="s">
        <v>9986</v>
      </c>
      <c r="HKY1" t="s">
        <v>9987</v>
      </c>
      <c r="HKZ1" t="s">
        <v>9988</v>
      </c>
      <c r="HLA1" t="s">
        <v>9989</v>
      </c>
      <c r="HLB1" t="s">
        <v>9990</v>
      </c>
      <c r="HLC1" t="s">
        <v>9991</v>
      </c>
      <c r="HLD1" t="s">
        <v>9992</v>
      </c>
      <c r="HLE1" t="s">
        <v>9993</v>
      </c>
      <c r="HLF1" t="s">
        <v>9994</v>
      </c>
      <c r="HLG1" t="s">
        <v>9995</v>
      </c>
      <c r="HLH1" t="s">
        <v>9996</v>
      </c>
      <c r="HLI1" t="s">
        <v>9997</v>
      </c>
      <c r="HLJ1" t="s">
        <v>9998</v>
      </c>
      <c r="HLK1" t="s">
        <v>9999</v>
      </c>
      <c r="HLL1" t="s">
        <v>10000</v>
      </c>
      <c r="HLM1" t="s">
        <v>10001</v>
      </c>
      <c r="HLN1" t="s">
        <v>10002</v>
      </c>
      <c r="HLO1" t="s">
        <v>10003</v>
      </c>
      <c r="HLP1" t="s">
        <v>10004</v>
      </c>
      <c r="HLQ1" t="s">
        <v>10005</v>
      </c>
      <c r="HLR1" t="s">
        <v>10006</v>
      </c>
      <c r="HLS1" t="s">
        <v>10007</v>
      </c>
      <c r="HLT1" t="s">
        <v>10008</v>
      </c>
      <c r="HLU1" t="s">
        <v>10009</v>
      </c>
      <c r="HLV1" t="s">
        <v>10010</v>
      </c>
      <c r="HLW1" t="s">
        <v>10011</v>
      </c>
      <c r="HLX1" t="s">
        <v>10012</v>
      </c>
      <c r="HLY1" t="s">
        <v>10013</v>
      </c>
      <c r="HLZ1" t="s">
        <v>10014</v>
      </c>
      <c r="HMA1" t="s">
        <v>10015</v>
      </c>
      <c r="HMB1" t="s">
        <v>10016</v>
      </c>
      <c r="HMC1" t="s">
        <v>10017</v>
      </c>
      <c r="HMD1" t="s">
        <v>10018</v>
      </c>
      <c r="HME1" t="s">
        <v>10019</v>
      </c>
      <c r="HMF1" t="s">
        <v>10020</v>
      </c>
      <c r="HMG1" t="s">
        <v>10021</v>
      </c>
      <c r="HMH1" t="s">
        <v>10022</v>
      </c>
      <c r="HMI1" t="s">
        <v>10023</v>
      </c>
      <c r="HMJ1" t="s">
        <v>10024</v>
      </c>
      <c r="HMK1" t="s">
        <v>10025</v>
      </c>
      <c r="HML1" t="s">
        <v>10026</v>
      </c>
      <c r="HMM1" t="s">
        <v>10027</v>
      </c>
      <c r="HMN1" t="s">
        <v>10028</v>
      </c>
      <c r="HMO1" t="s">
        <v>10029</v>
      </c>
      <c r="HMP1" t="s">
        <v>10030</v>
      </c>
      <c r="HMQ1" t="s">
        <v>10031</v>
      </c>
      <c r="HMR1" t="s">
        <v>10032</v>
      </c>
      <c r="HMS1" t="s">
        <v>10033</v>
      </c>
      <c r="HMT1" t="s">
        <v>10034</v>
      </c>
      <c r="HMU1" t="s">
        <v>10035</v>
      </c>
      <c r="HMV1" t="s">
        <v>10036</v>
      </c>
      <c r="HMW1" t="s">
        <v>10037</v>
      </c>
      <c r="HMX1" t="s">
        <v>10038</v>
      </c>
      <c r="HMY1" t="s">
        <v>10039</v>
      </c>
      <c r="HMZ1" t="s">
        <v>10040</v>
      </c>
      <c r="HNA1" t="s">
        <v>10041</v>
      </c>
      <c r="HNB1" t="s">
        <v>10042</v>
      </c>
      <c r="HNC1" t="s">
        <v>10043</v>
      </c>
      <c r="HND1" t="s">
        <v>10044</v>
      </c>
      <c r="HNE1" t="s">
        <v>10045</v>
      </c>
      <c r="HNF1" t="s">
        <v>10046</v>
      </c>
      <c r="HNG1" t="s">
        <v>10047</v>
      </c>
      <c r="HNH1" t="s">
        <v>10048</v>
      </c>
      <c r="HNI1" t="s">
        <v>10049</v>
      </c>
      <c r="HNJ1" t="s">
        <v>10050</v>
      </c>
      <c r="HNK1" t="s">
        <v>10051</v>
      </c>
      <c r="HNL1" t="s">
        <v>10052</v>
      </c>
      <c r="HNM1" t="s">
        <v>10053</v>
      </c>
      <c r="HNN1" t="s">
        <v>10054</v>
      </c>
      <c r="HNO1" t="s">
        <v>10055</v>
      </c>
      <c r="HNP1" t="s">
        <v>10056</v>
      </c>
      <c r="HNQ1" t="s">
        <v>10057</v>
      </c>
      <c r="HNR1" t="s">
        <v>10058</v>
      </c>
      <c r="HNS1" t="s">
        <v>10059</v>
      </c>
      <c r="HNT1" t="s">
        <v>10060</v>
      </c>
      <c r="HNU1" t="s">
        <v>10061</v>
      </c>
      <c r="HNV1" t="s">
        <v>10062</v>
      </c>
      <c r="HNW1" t="s">
        <v>10063</v>
      </c>
      <c r="HNX1" t="s">
        <v>10064</v>
      </c>
      <c r="HNY1" t="s">
        <v>10065</v>
      </c>
      <c r="HNZ1" t="s">
        <v>10066</v>
      </c>
      <c r="HOA1" t="s">
        <v>10067</v>
      </c>
      <c r="HOB1" t="s">
        <v>10068</v>
      </c>
      <c r="HOC1" t="s">
        <v>10069</v>
      </c>
      <c r="HOD1" t="s">
        <v>10070</v>
      </c>
      <c r="HOE1" t="s">
        <v>10071</v>
      </c>
      <c r="HOF1" t="s">
        <v>10072</v>
      </c>
      <c r="HOG1" t="s">
        <v>10073</v>
      </c>
      <c r="HOH1" t="s">
        <v>10074</v>
      </c>
      <c r="HOI1" t="s">
        <v>10075</v>
      </c>
      <c r="HOJ1" t="s">
        <v>10076</v>
      </c>
      <c r="HOK1" t="s">
        <v>10077</v>
      </c>
      <c r="HOL1" t="s">
        <v>10078</v>
      </c>
      <c r="HOM1" t="s">
        <v>10079</v>
      </c>
      <c r="HON1" t="s">
        <v>10080</v>
      </c>
      <c r="HOO1" t="s">
        <v>10081</v>
      </c>
      <c r="HOP1" t="s">
        <v>10082</v>
      </c>
      <c r="HOQ1" t="s">
        <v>10083</v>
      </c>
      <c r="HOR1" t="s">
        <v>10084</v>
      </c>
      <c r="HOS1" t="s">
        <v>10085</v>
      </c>
      <c r="HOT1" t="s">
        <v>10086</v>
      </c>
      <c r="HOU1" t="s">
        <v>10087</v>
      </c>
      <c r="HOV1" t="s">
        <v>10088</v>
      </c>
      <c r="HOW1" t="s">
        <v>10089</v>
      </c>
      <c r="HOX1" t="s">
        <v>10090</v>
      </c>
      <c r="HOY1" t="s">
        <v>10091</v>
      </c>
      <c r="HOZ1" t="s">
        <v>10092</v>
      </c>
      <c r="HPA1" t="s">
        <v>10093</v>
      </c>
      <c r="HPB1" t="s">
        <v>10094</v>
      </c>
      <c r="HPC1" t="s">
        <v>10095</v>
      </c>
      <c r="HPD1" t="s">
        <v>10096</v>
      </c>
      <c r="HPE1" t="s">
        <v>10097</v>
      </c>
      <c r="HPF1" t="s">
        <v>10098</v>
      </c>
      <c r="HPG1" t="s">
        <v>10099</v>
      </c>
      <c r="HPH1" t="s">
        <v>10100</v>
      </c>
      <c r="HPI1" t="s">
        <v>10101</v>
      </c>
      <c r="HPJ1" t="s">
        <v>10102</v>
      </c>
      <c r="HPK1" t="s">
        <v>10103</v>
      </c>
      <c r="HPL1" t="s">
        <v>10104</v>
      </c>
      <c r="HPM1" t="s">
        <v>10105</v>
      </c>
      <c r="HPN1" t="s">
        <v>10106</v>
      </c>
      <c r="HPO1" t="s">
        <v>10107</v>
      </c>
      <c r="HPP1" t="s">
        <v>10108</v>
      </c>
      <c r="HPQ1" t="s">
        <v>10109</v>
      </c>
      <c r="HPR1" t="s">
        <v>10110</v>
      </c>
      <c r="HPS1" t="s">
        <v>10111</v>
      </c>
      <c r="HPT1" t="s">
        <v>10112</v>
      </c>
      <c r="HPU1" t="s">
        <v>10113</v>
      </c>
      <c r="HPV1" t="s">
        <v>10114</v>
      </c>
      <c r="HPW1" t="s">
        <v>10115</v>
      </c>
      <c r="HPX1" t="s">
        <v>10116</v>
      </c>
      <c r="HPY1" t="s">
        <v>10117</v>
      </c>
      <c r="HPZ1" t="s">
        <v>10118</v>
      </c>
      <c r="HQA1" t="s">
        <v>10119</v>
      </c>
      <c r="HQB1" t="s">
        <v>10120</v>
      </c>
      <c r="HQC1" t="s">
        <v>10121</v>
      </c>
      <c r="HQD1" t="s">
        <v>10122</v>
      </c>
      <c r="HQE1" t="s">
        <v>10123</v>
      </c>
      <c r="HQF1" t="s">
        <v>10124</v>
      </c>
      <c r="HQG1" t="s">
        <v>10125</v>
      </c>
      <c r="HQH1" t="s">
        <v>10126</v>
      </c>
      <c r="HQI1" t="s">
        <v>10127</v>
      </c>
      <c r="HQJ1" t="s">
        <v>10128</v>
      </c>
      <c r="HQK1" t="s">
        <v>10129</v>
      </c>
      <c r="HQL1" t="s">
        <v>10130</v>
      </c>
      <c r="HQM1" t="s">
        <v>10131</v>
      </c>
      <c r="HQN1" t="s">
        <v>10132</v>
      </c>
      <c r="HQO1" t="s">
        <v>10133</v>
      </c>
      <c r="HQP1" t="s">
        <v>10134</v>
      </c>
      <c r="HQQ1" t="s">
        <v>10135</v>
      </c>
      <c r="HQR1" t="s">
        <v>10136</v>
      </c>
      <c r="HQS1" t="s">
        <v>10137</v>
      </c>
      <c r="HQT1" t="s">
        <v>10138</v>
      </c>
      <c r="HQU1" t="s">
        <v>10139</v>
      </c>
      <c r="HQV1" t="s">
        <v>10140</v>
      </c>
      <c r="HQW1" t="s">
        <v>10141</v>
      </c>
      <c r="HQX1" t="s">
        <v>10142</v>
      </c>
      <c r="HQY1" t="s">
        <v>10143</v>
      </c>
      <c r="HQZ1" t="s">
        <v>10144</v>
      </c>
      <c r="HRA1" t="s">
        <v>10145</v>
      </c>
      <c r="HRB1" t="s">
        <v>10146</v>
      </c>
      <c r="HRC1" t="s">
        <v>10147</v>
      </c>
      <c r="HRD1" t="s">
        <v>10148</v>
      </c>
      <c r="HRE1" t="s">
        <v>10149</v>
      </c>
      <c r="HRF1" t="s">
        <v>10150</v>
      </c>
      <c r="HRG1" t="s">
        <v>10151</v>
      </c>
      <c r="HRH1" t="s">
        <v>10152</v>
      </c>
      <c r="HRI1" t="s">
        <v>10153</v>
      </c>
      <c r="HRJ1" t="s">
        <v>10154</v>
      </c>
      <c r="HRK1" t="s">
        <v>10155</v>
      </c>
      <c r="HRL1" t="s">
        <v>10156</v>
      </c>
      <c r="HRM1" t="s">
        <v>10157</v>
      </c>
      <c r="HRN1" t="s">
        <v>10158</v>
      </c>
      <c r="HRO1" t="s">
        <v>10159</v>
      </c>
      <c r="HRP1" t="s">
        <v>10160</v>
      </c>
      <c r="HRQ1" t="s">
        <v>10161</v>
      </c>
      <c r="HRR1" t="s">
        <v>10162</v>
      </c>
      <c r="HRS1" t="s">
        <v>10163</v>
      </c>
      <c r="HRT1" t="s">
        <v>10164</v>
      </c>
      <c r="HRU1" t="s">
        <v>10165</v>
      </c>
      <c r="HRV1" t="s">
        <v>10166</v>
      </c>
      <c r="HRW1" t="s">
        <v>10167</v>
      </c>
      <c r="HRX1" t="s">
        <v>10168</v>
      </c>
      <c r="HRY1" t="s">
        <v>10169</v>
      </c>
      <c r="HRZ1" t="s">
        <v>10170</v>
      </c>
      <c r="HSA1" t="s">
        <v>10171</v>
      </c>
      <c r="HSB1" t="s">
        <v>10172</v>
      </c>
      <c r="HSC1" t="s">
        <v>10173</v>
      </c>
      <c r="HSD1" t="s">
        <v>10174</v>
      </c>
      <c r="HSE1" t="s">
        <v>10175</v>
      </c>
      <c r="HSF1" t="s">
        <v>10176</v>
      </c>
      <c r="HSG1" t="s">
        <v>10177</v>
      </c>
      <c r="HSH1" t="s">
        <v>10178</v>
      </c>
      <c r="HSI1" t="s">
        <v>10179</v>
      </c>
      <c r="HSJ1" t="s">
        <v>10180</v>
      </c>
      <c r="HSK1" t="s">
        <v>10181</v>
      </c>
      <c r="HSL1" t="s">
        <v>10182</v>
      </c>
      <c r="HSM1" t="s">
        <v>10183</v>
      </c>
      <c r="HSN1" t="s">
        <v>10184</v>
      </c>
      <c r="HSO1" t="s">
        <v>10185</v>
      </c>
      <c r="HSP1" t="s">
        <v>10186</v>
      </c>
      <c r="HSQ1" t="s">
        <v>10187</v>
      </c>
      <c r="HSR1" t="s">
        <v>10188</v>
      </c>
      <c r="HSS1" t="s">
        <v>10189</v>
      </c>
      <c r="HST1" t="s">
        <v>10190</v>
      </c>
      <c r="HSU1" t="s">
        <v>10191</v>
      </c>
      <c r="HSV1" t="s">
        <v>10192</v>
      </c>
      <c r="HSW1" t="s">
        <v>10193</v>
      </c>
      <c r="HSX1" t="s">
        <v>10194</v>
      </c>
      <c r="HSY1" t="s">
        <v>10195</v>
      </c>
      <c r="HSZ1" t="s">
        <v>10196</v>
      </c>
      <c r="HTA1" t="s">
        <v>10197</v>
      </c>
      <c r="HTB1" t="s">
        <v>10198</v>
      </c>
      <c r="HTC1" t="s">
        <v>10199</v>
      </c>
      <c r="HTD1" t="s">
        <v>10200</v>
      </c>
      <c r="HTE1" t="s">
        <v>10201</v>
      </c>
      <c r="HTF1" t="s">
        <v>10202</v>
      </c>
      <c r="HTG1" t="s">
        <v>10203</v>
      </c>
      <c r="HTH1" t="s">
        <v>10204</v>
      </c>
      <c r="HTI1" t="s">
        <v>10205</v>
      </c>
      <c r="HTJ1" t="s">
        <v>10206</v>
      </c>
      <c r="HTK1" t="s">
        <v>10207</v>
      </c>
      <c r="HTL1" t="s">
        <v>10208</v>
      </c>
      <c r="HTM1" t="s">
        <v>10209</v>
      </c>
      <c r="HTN1" t="s">
        <v>10210</v>
      </c>
      <c r="HTO1" t="s">
        <v>10211</v>
      </c>
      <c r="HTP1" t="s">
        <v>10212</v>
      </c>
      <c r="HTQ1" t="s">
        <v>10213</v>
      </c>
      <c r="HTR1" t="s">
        <v>10214</v>
      </c>
      <c r="HTS1" t="s">
        <v>10215</v>
      </c>
      <c r="HTT1" t="s">
        <v>10216</v>
      </c>
      <c r="HTU1" t="s">
        <v>10217</v>
      </c>
      <c r="HTV1" t="s">
        <v>10218</v>
      </c>
      <c r="HTW1" t="s">
        <v>10219</v>
      </c>
      <c r="HTX1" t="s">
        <v>10220</v>
      </c>
      <c r="HTY1" t="s">
        <v>10221</v>
      </c>
      <c r="HTZ1" t="s">
        <v>10222</v>
      </c>
      <c r="HUA1" t="s">
        <v>10223</v>
      </c>
      <c r="HUB1" t="s">
        <v>10224</v>
      </c>
      <c r="HUC1" t="s">
        <v>10225</v>
      </c>
      <c r="HUD1" t="s">
        <v>10226</v>
      </c>
      <c r="HUE1" t="s">
        <v>10227</v>
      </c>
      <c r="HUF1" t="s">
        <v>10228</v>
      </c>
      <c r="HUG1" t="s">
        <v>10229</v>
      </c>
      <c r="HUH1" t="s">
        <v>10230</v>
      </c>
      <c r="HUI1" t="s">
        <v>10231</v>
      </c>
      <c r="HUJ1" t="s">
        <v>10232</v>
      </c>
      <c r="HUK1" t="s">
        <v>10233</v>
      </c>
      <c r="HUL1" t="s">
        <v>10234</v>
      </c>
      <c r="HUM1" t="s">
        <v>10235</v>
      </c>
      <c r="HUN1" t="s">
        <v>10236</v>
      </c>
      <c r="HUO1" t="s">
        <v>10237</v>
      </c>
      <c r="HUP1" t="s">
        <v>10238</v>
      </c>
      <c r="HUQ1" t="s">
        <v>10239</v>
      </c>
      <c r="HUR1" t="s">
        <v>10240</v>
      </c>
      <c r="HUS1" t="s">
        <v>10241</v>
      </c>
      <c r="HUT1" t="s">
        <v>10242</v>
      </c>
      <c r="HUU1" t="s">
        <v>10243</v>
      </c>
      <c r="HUV1" t="s">
        <v>10244</v>
      </c>
      <c r="HUW1" t="s">
        <v>10245</v>
      </c>
      <c r="HUX1" t="s">
        <v>10246</v>
      </c>
      <c r="HUY1" t="s">
        <v>10247</v>
      </c>
      <c r="HUZ1" t="s">
        <v>10248</v>
      </c>
      <c r="HVA1" t="s">
        <v>10249</v>
      </c>
      <c r="HVB1" t="s">
        <v>10250</v>
      </c>
      <c r="HVC1" t="s">
        <v>10251</v>
      </c>
      <c r="HVD1" t="s">
        <v>10252</v>
      </c>
      <c r="HVE1" t="s">
        <v>10253</v>
      </c>
      <c r="HVF1" t="s">
        <v>10254</v>
      </c>
      <c r="HVG1" t="s">
        <v>10255</v>
      </c>
      <c r="HVH1" t="s">
        <v>10256</v>
      </c>
      <c r="HVI1" t="s">
        <v>10257</v>
      </c>
      <c r="HVJ1" t="s">
        <v>10258</v>
      </c>
      <c r="HVK1" t="s">
        <v>10259</v>
      </c>
      <c r="HVL1" t="s">
        <v>10260</v>
      </c>
      <c r="HVM1" t="s">
        <v>10261</v>
      </c>
      <c r="HVN1" t="s">
        <v>10262</v>
      </c>
      <c r="HVO1" t="s">
        <v>10263</v>
      </c>
      <c r="HVP1" t="s">
        <v>10264</v>
      </c>
      <c r="HVQ1" t="s">
        <v>10265</v>
      </c>
      <c r="HVR1" t="s">
        <v>10266</v>
      </c>
      <c r="HVS1" t="s">
        <v>10267</v>
      </c>
      <c r="HVT1" t="s">
        <v>10268</v>
      </c>
      <c r="HVU1" t="s">
        <v>10269</v>
      </c>
      <c r="HVV1" t="s">
        <v>10270</v>
      </c>
      <c r="HVW1" t="s">
        <v>10271</v>
      </c>
      <c r="HVX1" t="s">
        <v>10272</v>
      </c>
      <c r="HVY1" t="s">
        <v>10273</v>
      </c>
      <c r="HVZ1" t="s">
        <v>10274</v>
      </c>
      <c r="HWA1" t="s">
        <v>10275</v>
      </c>
      <c r="HWB1" t="s">
        <v>10276</v>
      </c>
      <c r="HWC1" t="s">
        <v>10277</v>
      </c>
      <c r="HWD1" t="s">
        <v>10278</v>
      </c>
      <c r="HWE1" t="s">
        <v>10279</v>
      </c>
      <c r="HWF1" t="s">
        <v>10280</v>
      </c>
      <c r="HWG1" t="s">
        <v>10281</v>
      </c>
      <c r="HWH1" t="s">
        <v>10282</v>
      </c>
      <c r="HWI1" t="s">
        <v>10283</v>
      </c>
      <c r="HWJ1" t="s">
        <v>10284</v>
      </c>
      <c r="HWK1" t="s">
        <v>10285</v>
      </c>
      <c r="HWL1" t="s">
        <v>10286</v>
      </c>
      <c r="HWM1" t="s">
        <v>10287</v>
      </c>
      <c r="HWN1" t="s">
        <v>10288</v>
      </c>
      <c r="HWO1" t="s">
        <v>10289</v>
      </c>
      <c r="HWP1" t="s">
        <v>10290</v>
      </c>
      <c r="HWQ1" t="s">
        <v>10291</v>
      </c>
      <c r="HWR1" t="s">
        <v>10292</v>
      </c>
      <c r="HWS1" t="s">
        <v>10293</v>
      </c>
      <c r="HWT1" t="s">
        <v>10294</v>
      </c>
      <c r="HWU1" t="s">
        <v>10295</v>
      </c>
      <c r="HWV1" t="s">
        <v>10296</v>
      </c>
      <c r="HWW1" t="s">
        <v>10297</v>
      </c>
      <c r="HWX1" t="s">
        <v>10298</v>
      </c>
      <c r="HWY1" t="s">
        <v>10299</v>
      </c>
      <c r="HWZ1" t="s">
        <v>10300</v>
      </c>
      <c r="HXA1" t="s">
        <v>10301</v>
      </c>
      <c r="HXB1" t="s">
        <v>10302</v>
      </c>
      <c r="HXC1" t="s">
        <v>10303</v>
      </c>
      <c r="HXD1" t="s">
        <v>10304</v>
      </c>
      <c r="HXE1" t="s">
        <v>10305</v>
      </c>
      <c r="HXF1" t="s">
        <v>10306</v>
      </c>
      <c r="HXG1" t="s">
        <v>10307</v>
      </c>
      <c r="HXH1" t="s">
        <v>10308</v>
      </c>
      <c r="HXI1" t="s">
        <v>10309</v>
      </c>
      <c r="HXJ1" t="s">
        <v>10310</v>
      </c>
      <c r="HXK1" t="s">
        <v>10311</v>
      </c>
      <c r="HXL1" t="s">
        <v>10312</v>
      </c>
      <c r="HXM1" t="s">
        <v>10313</v>
      </c>
      <c r="HXN1" t="s">
        <v>10314</v>
      </c>
      <c r="HXO1" t="s">
        <v>10315</v>
      </c>
      <c r="HXP1" t="s">
        <v>10316</v>
      </c>
      <c r="HXQ1" t="s">
        <v>10317</v>
      </c>
      <c r="HXR1" t="s">
        <v>10318</v>
      </c>
      <c r="HXS1" t="s">
        <v>10319</v>
      </c>
      <c r="HXT1" t="s">
        <v>10320</v>
      </c>
      <c r="HXU1" t="s">
        <v>10321</v>
      </c>
      <c r="HXV1" t="s">
        <v>10322</v>
      </c>
      <c r="HXW1" t="s">
        <v>10323</v>
      </c>
      <c r="HXX1" t="s">
        <v>10324</v>
      </c>
      <c r="HXY1" t="s">
        <v>10325</v>
      </c>
      <c r="HXZ1" t="s">
        <v>10326</v>
      </c>
      <c r="HYA1" t="s">
        <v>10327</v>
      </c>
      <c r="HYB1" t="s">
        <v>10328</v>
      </c>
      <c r="HYC1" t="s">
        <v>10329</v>
      </c>
      <c r="HYD1" t="s">
        <v>10330</v>
      </c>
      <c r="HYE1" t="s">
        <v>10331</v>
      </c>
      <c r="HYF1" t="s">
        <v>10332</v>
      </c>
      <c r="HYG1" t="s">
        <v>10333</v>
      </c>
      <c r="HYH1" t="s">
        <v>10334</v>
      </c>
      <c r="HYI1" t="s">
        <v>10335</v>
      </c>
      <c r="HYJ1" t="s">
        <v>10336</v>
      </c>
      <c r="HYK1" t="s">
        <v>10337</v>
      </c>
      <c r="HYL1" t="s">
        <v>10338</v>
      </c>
      <c r="HYM1" t="s">
        <v>10339</v>
      </c>
      <c r="HYN1" t="s">
        <v>10340</v>
      </c>
      <c r="HYO1" t="s">
        <v>10341</v>
      </c>
      <c r="HYP1" t="s">
        <v>10342</v>
      </c>
      <c r="HYQ1" t="s">
        <v>10343</v>
      </c>
      <c r="HYR1" t="s">
        <v>10344</v>
      </c>
      <c r="HYS1" t="s">
        <v>10345</v>
      </c>
      <c r="HYT1" t="s">
        <v>10346</v>
      </c>
      <c r="HYU1" t="s">
        <v>10347</v>
      </c>
      <c r="HYV1" t="s">
        <v>10348</v>
      </c>
      <c r="HYW1" t="s">
        <v>10349</v>
      </c>
      <c r="HYX1" t="s">
        <v>10350</v>
      </c>
      <c r="HYY1" t="s">
        <v>10351</v>
      </c>
      <c r="HYZ1" t="s">
        <v>10352</v>
      </c>
      <c r="HZA1" t="s">
        <v>10353</v>
      </c>
      <c r="HZB1" t="s">
        <v>10354</v>
      </c>
      <c r="HZC1" t="s">
        <v>10355</v>
      </c>
      <c r="HZD1" t="s">
        <v>10356</v>
      </c>
      <c r="HZE1" t="s">
        <v>10357</v>
      </c>
      <c r="HZF1" t="s">
        <v>10358</v>
      </c>
      <c r="HZG1" t="s">
        <v>10359</v>
      </c>
      <c r="HZH1" t="s">
        <v>10360</v>
      </c>
      <c r="HZI1" t="s">
        <v>10361</v>
      </c>
      <c r="HZJ1" t="s">
        <v>10362</v>
      </c>
      <c r="HZK1" t="s">
        <v>10363</v>
      </c>
      <c r="HZL1" t="s">
        <v>10364</v>
      </c>
      <c r="HZM1" t="s">
        <v>10365</v>
      </c>
      <c r="HZN1" t="s">
        <v>10366</v>
      </c>
      <c r="HZO1" t="s">
        <v>10367</v>
      </c>
      <c r="HZP1" t="s">
        <v>10368</v>
      </c>
      <c r="HZQ1" t="s">
        <v>10369</v>
      </c>
      <c r="HZR1" t="s">
        <v>10370</v>
      </c>
      <c r="HZS1" t="s">
        <v>10371</v>
      </c>
      <c r="HZT1" t="s">
        <v>10372</v>
      </c>
      <c r="HZU1" t="s">
        <v>10373</v>
      </c>
      <c r="HZV1" t="s">
        <v>10374</v>
      </c>
      <c r="HZW1" t="s">
        <v>10375</v>
      </c>
      <c r="HZX1" t="s">
        <v>10376</v>
      </c>
      <c r="HZY1" t="s">
        <v>10377</v>
      </c>
      <c r="HZZ1" t="s">
        <v>10378</v>
      </c>
      <c r="IAA1" t="s">
        <v>10379</v>
      </c>
      <c r="IAB1" t="s">
        <v>10380</v>
      </c>
      <c r="IAC1" t="s">
        <v>10381</v>
      </c>
      <c r="IAD1" t="s">
        <v>10382</v>
      </c>
      <c r="IAE1" t="s">
        <v>10383</v>
      </c>
      <c r="IAF1" t="s">
        <v>10384</v>
      </c>
      <c r="IAG1" t="s">
        <v>10385</v>
      </c>
      <c r="IAH1" t="s">
        <v>10386</v>
      </c>
      <c r="IAI1" t="s">
        <v>10387</v>
      </c>
      <c r="IAJ1" t="s">
        <v>10388</v>
      </c>
      <c r="IAK1" t="s">
        <v>10389</v>
      </c>
      <c r="IAL1" t="s">
        <v>10390</v>
      </c>
      <c r="IAM1" t="s">
        <v>10391</v>
      </c>
      <c r="IAN1" t="s">
        <v>10392</v>
      </c>
      <c r="IAO1" t="s">
        <v>10393</v>
      </c>
      <c r="IAP1" t="s">
        <v>10394</v>
      </c>
      <c r="IAQ1" t="s">
        <v>10395</v>
      </c>
      <c r="IAR1" t="s">
        <v>10396</v>
      </c>
      <c r="IAS1" t="s">
        <v>10397</v>
      </c>
      <c r="IAT1" t="s">
        <v>10398</v>
      </c>
      <c r="IAU1" t="s">
        <v>10399</v>
      </c>
      <c r="IAV1" t="s">
        <v>10400</v>
      </c>
      <c r="IAW1" t="s">
        <v>10401</v>
      </c>
      <c r="IAX1" t="s">
        <v>10402</v>
      </c>
      <c r="IAY1" t="s">
        <v>10403</v>
      </c>
      <c r="IAZ1" t="s">
        <v>10404</v>
      </c>
      <c r="IBA1" t="s">
        <v>10405</v>
      </c>
      <c r="IBB1" t="s">
        <v>10406</v>
      </c>
      <c r="IBC1" t="s">
        <v>10407</v>
      </c>
      <c r="IBD1" t="s">
        <v>10408</v>
      </c>
      <c r="IBE1" t="s">
        <v>10409</v>
      </c>
      <c r="IBF1" t="s">
        <v>10410</v>
      </c>
      <c r="IBG1" t="s">
        <v>10411</v>
      </c>
      <c r="IBH1" t="s">
        <v>10412</v>
      </c>
      <c r="IBI1" t="s">
        <v>10413</v>
      </c>
      <c r="IBJ1" t="s">
        <v>10414</v>
      </c>
      <c r="IBK1" t="s">
        <v>10415</v>
      </c>
      <c r="IBL1" t="s">
        <v>10416</v>
      </c>
      <c r="IBM1" t="s">
        <v>10417</v>
      </c>
      <c r="IBN1" t="s">
        <v>10418</v>
      </c>
      <c r="IBO1" t="s">
        <v>10419</v>
      </c>
      <c r="IBP1" t="s">
        <v>10420</v>
      </c>
      <c r="IBQ1" t="s">
        <v>10421</v>
      </c>
      <c r="IBR1" t="s">
        <v>10422</v>
      </c>
      <c r="IBS1" t="s">
        <v>10423</v>
      </c>
      <c r="IBT1" t="s">
        <v>10424</v>
      </c>
      <c r="IBU1" t="s">
        <v>10425</v>
      </c>
      <c r="IBV1" t="s">
        <v>10426</v>
      </c>
      <c r="IBW1" t="s">
        <v>10427</v>
      </c>
      <c r="IBX1" t="s">
        <v>10428</v>
      </c>
      <c r="IBY1" t="s">
        <v>10429</v>
      </c>
      <c r="IBZ1" t="s">
        <v>10430</v>
      </c>
      <c r="ICA1" t="s">
        <v>10431</v>
      </c>
      <c r="ICB1" t="s">
        <v>10432</v>
      </c>
      <c r="ICC1" t="s">
        <v>10433</v>
      </c>
      <c r="ICD1" t="s">
        <v>10434</v>
      </c>
      <c r="ICE1" t="s">
        <v>10435</v>
      </c>
      <c r="ICF1" t="s">
        <v>10436</v>
      </c>
      <c r="ICG1" t="s">
        <v>10437</v>
      </c>
      <c r="ICH1" t="s">
        <v>10438</v>
      </c>
      <c r="ICI1" t="s">
        <v>10439</v>
      </c>
      <c r="ICJ1" t="s">
        <v>10440</v>
      </c>
      <c r="ICK1" t="s">
        <v>10441</v>
      </c>
      <c r="ICL1" t="s">
        <v>10442</v>
      </c>
      <c r="ICM1" t="s">
        <v>10443</v>
      </c>
      <c r="ICN1" t="s">
        <v>10444</v>
      </c>
      <c r="ICO1" t="s">
        <v>10445</v>
      </c>
      <c r="ICP1" t="s">
        <v>10446</v>
      </c>
      <c r="ICQ1" t="s">
        <v>10447</v>
      </c>
      <c r="ICR1" t="s">
        <v>10448</v>
      </c>
      <c r="ICS1" t="s">
        <v>10449</v>
      </c>
      <c r="ICT1" t="s">
        <v>10450</v>
      </c>
      <c r="ICU1" t="s">
        <v>10451</v>
      </c>
      <c r="ICV1" t="s">
        <v>10452</v>
      </c>
      <c r="ICW1" t="s">
        <v>10453</v>
      </c>
      <c r="ICX1" t="s">
        <v>10454</v>
      </c>
      <c r="ICY1" t="s">
        <v>10455</v>
      </c>
      <c r="ICZ1" t="s">
        <v>10456</v>
      </c>
      <c r="IDA1" t="s">
        <v>10457</v>
      </c>
      <c r="IDB1" t="s">
        <v>10458</v>
      </c>
      <c r="IDC1" t="s">
        <v>10459</v>
      </c>
      <c r="IDD1" t="s">
        <v>10460</v>
      </c>
      <c r="IDE1" t="s">
        <v>10461</v>
      </c>
      <c r="IDF1" t="s">
        <v>10462</v>
      </c>
      <c r="IDG1" t="s">
        <v>10463</v>
      </c>
      <c r="IDH1" t="s">
        <v>10464</v>
      </c>
      <c r="IDI1" t="s">
        <v>10465</v>
      </c>
      <c r="IDJ1" t="s">
        <v>10466</v>
      </c>
      <c r="IDK1" t="s">
        <v>10467</v>
      </c>
      <c r="IDL1" t="s">
        <v>10468</v>
      </c>
      <c r="IDM1" t="s">
        <v>10469</v>
      </c>
      <c r="IDN1" t="s">
        <v>10470</v>
      </c>
      <c r="IDO1" t="s">
        <v>10471</v>
      </c>
      <c r="IDP1" t="s">
        <v>10472</v>
      </c>
      <c r="IDQ1" t="s">
        <v>10473</v>
      </c>
      <c r="IDR1" t="s">
        <v>10474</v>
      </c>
      <c r="IDS1" t="s">
        <v>10475</v>
      </c>
      <c r="IDT1" t="s">
        <v>10476</v>
      </c>
      <c r="IDU1" t="s">
        <v>10477</v>
      </c>
      <c r="IDV1" t="s">
        <v>10478</v>
      </c>
      <c r="IDW1" t="s">
        <v>10479</v>
      </c>
      <c r="IDX1" t="s">
        <v>10480</v>
      </c>
      <c r="IDY1" t="s">
        <v>10481</v>
      </c>
      <c r="IDZ1" t="s">
        <v>10482</v>
      </c>
      <c r="IEA1" t="s">
        <v>10483</v>
      </c>
      <c r="IEB1" t="s">
        <v>10484</v>
      </c>
      <c r="IEC1" t="s">
        <v>10485</v>
      </c>
      <c r="IED1" t="s">
        <v>10486</v>
      </c>
      <c r="IEE1" t="s">
        <v>10487</v>
      </c>
      <c r="IEF1" t="s">
        <v>10488</v>
      </c>
      <c r="IEG1" t="s">
        <v>10489</v>
      </c>
      <c r="IEH1" t="s">
        <v>10490</v>
      </c>
      <c r="IEI1" t="s">
        <v>10491</v>
      </c>
      <c r="IEJ1" t="s">
        <v>10492</v>
      </c>
      <c r="IEK1" t="s">
        <v>10493</v>
      </c>
      <c r="IEL1" t="s">
        <v>10494</v>
      </c>
      <c r="IEM1" t="s">
        <v>10495</v>
      </c>
      <c r="IEN1" t="s">
        <v>10496</v>
      </c>
      <c r="IEO1" t="s">
        <v>10497</v>
      </c>
      <c r="IEP1" t="s">
        <v>10498</v>
      </c>
      <c r="IEQ1" t="s">
        <v>10499</v>
      </c>
      <c r="IER1" t="s">
        <v>10500</v>
      </c>
      <c r="IES1" t="s">
        <v>10501</v>
      </c>
      <c r="IET1" t="s">
        <v>10502</v>
      </c>
      <c r="IEU1" t="s">
        <v>10503</v>
      </c>
      <c r="IEV1" t="s">
        <v>10504</v>
      </c>
      <c r="IEW1" t="s">
        <v>10505</v>
      </c>
      <c r="IEX1" t="s">
        <v>10506</v>
      </c>
      <c r="IEY1" t="s">
        <v>10507</v>
      </c>
      <c r="IEZ1" t="s">
        <v>10508</v>
      </c>
      <c r="IFA1" t="s">
        <v>10509</v>
      </c>
      <c r="IFB1" t="s">
        <v>10510</v>
      </c>
      <c r="IFC1" t="s">
        <v>10511</v>
      </c>
      <c r="IFD1" t="s">
        <v>10512</v>
      </c>
      <c r="IFE1" t="s">
        <v>10513</v>
      </c>
      <c r="IFF1" t="s">
        <v>10514</v>
      </c>
      <c r="IFG1" t="s">
        <v>10515</v>
      </c>
      <c r="IFH1" t="s">
        <v>10516</v>
      </c>
      <c r="IFI1" t="s">
        <v>10517</v>
      </c>
      <c r="IFJ1" t="s">
        <v>10518</v>
      </c>
      <c r="IFK1" t="s">
        <v>10519</v>
      </c>
      <c r="IFL1" t="s">
        <v>10520</v>
      </c>
      <c r="IFM1" t="s">
        <v>10521</v>
      </c>
      <c r="IFN1" t="s">
        <v>10522</v>
      </c>
      <c r="IFO1" t="s">
        <v>10523</v>
      </c>
      <c r="IFP1" t="s">
        <v>10524</v>
      </c>
      <c r="IFQ1" t="s">
        <v>10525</v>
      </c>
      <c r="IFR1" t="s">
        <v>10526</v>
      </c>
      <c r="IFS1" t="s">
        <v>10527</v>
      </c>
      <c r="IFT1" t="s">
        <v>10528</v>
      </c>
      <c r="IFU1" t="s">
        <v>10529</v>
      </c>
      <c r="IFV1" t="s">
        <v>10530</v>
      </c>
      <c r="IFW1" t="s">
        <v>10531</v>
      </c>
      <c r="IFX1" t="s">
        <v>10532</v>
      </c>
      <c r="IFY1" t="s">
        <v>10533</v>
      </c>
      <c r="IFZ1" t="s">
        <v>10534</v>
      </c>
      <c r="IGA1" t="s">
        <v>10535</v>
      </c>
      <c r="IGB1" t="s">
        <v>10536</v>
      </c>
      <c r="IGC1" t="s">
        <v>10537</v>
      </c>
      <c r="IGD1" t="s">
        <v>10538</v>
      </c>
      <c r="IGE1" t="s">
        <v>10539</v>
      </c>
      <c r="IGF1" t="s">
        <v>10540</v>
      </c>
      <c r="IGG1" t="s">
        <v>10541</v>
      </c>
      <c r="IGH1" t="s">
        <v>10542</v>
      </c>
      <c r="IGI1" t="s">
        <v>10543</v>
      </c>
      <c r="IGJ1" t="s">
        <v>10544</v>
      </c>
      <c r="IGK1" t="s">
        <v>10545</v>
      </c>
      <c r="IGL1" t="s">
        <v>10546</v>
      </c>
      <c r="IGM1" t="s">
        <v>10547</v>
      </c>
      <c r="IGN1" t="s">
        <v>10548</v>
      </c>
      <c r="IGO1" t="s">
        <v>10549</v>
      </c>
      <c r="IGP1" t="s">
        <v>10550</v>
      </c>
      <c r="IGQ1" t="s">
        <v>10551</v>
      </c>
      <c r="IGR1" t="s">
        <v>10552</v>
      </c>
      <c r="IGS1" t="s">
        <v>10553</v>
      </c>
      <c r="IGT1" t="s">
        <v>10554</v>
      </c>
      <c r="IGU1" t="s">
        <v>10555</v>
      </c>
      <c r="IGV1" t="s">
        <v>10556</v>
      </c>
      <c r="IGW1" t="s">
        <v>10557</v>
      </c>
      <c r="IGX1" t="s">
        <v>10558</v>
      </c>
      <c r="IGY1" t="s">
        <v>10559</v>
      </c>
      <c r="IGZ1" t="s">
        <v>10560</v>
      </c>
      <c r="IHA1" t="s">
        <v>10561</v>
      </c>
      <c r="IHB1" t="s">
        <v>10562</v>
      </c>
      <c r="IHC1" t="s">
        <v>10563</v>
      </c>
      <c r="IHD1" t="s">
        <v>10564</v>
      </c>
      <c r="IHE1" t="s">
        <v>10565</v>
      </c>
      <c r="IHF1" t="s">
        <v>10566</v>
      </c>
      <c r="IHG1" t="s">
        <v>10567</v>
      </c>
      <c r="IHH1" t="s">
        <v>10568</v>
      </c>
      <c r="IHI1" t="s">
        <v>10569</v>
      </c>
      <c r="IHJ1" t="s">
        <v>10570</v>
      </c>
      <c r="IHK1" t="s">
        <v>10571</v>
      </c>
      <c r="IHL1" t="s">
        <v>10572</v>
      </c>
      <c r="IHM1" t="s">
        <v>10573</v>
      </c>
      <c r="IHN1" t="s">
        <v>10574</v>
      </c>
      <c r="IHO1" t="s">
        <v>10575</v>
      </c>
      <c r="IHP1" t="s">
        <v>10576</v>
      </c>
      <c r="IHQ1" t="s">
        <v>10577</v>
      </c>
      <c r="IHR1" t="s">
        <v>10578</v>
      </c>
      <c r="IHS1" t="s">
        <v>10579</v>
      </c>
      <c r="IHT1" t="s">
        <v>10580</v>
      </c>
      <c r="IHU1" t="s">
        <v>10581</v>
      </c>
      <c r="IHV1" t="s">
        <v>10582</v>
      </c>
      <c r="IHW1" t="s">
        <v>10583</v>
      </c>
      <c r="IHX1" t="s">
        <v>10584</v>
      </c>
      <c r="IHY1" t="s">
        <v>10585</v>
      </c>
      <c r="IHZ1" t="s">
        <v>10586</v>
      </c>
      <c r="IIA1" t="s">
        <v>10587</v>
      </c>
      <c r="IIB1" t="s">
        <v>10588</v>
      </c>
      <c r="IIC1" t="s">
        <v>10589</v>
      </c>
      <c r="IID1" t="s">
        <v>10590</v>
      </c>
      <c r="IIE1" t="s">
        <v>10591</v>
      </c>
      <c r="IIF1" t="s">
        <v>10592</v>
      </c>
      <c r="IIG1" t="s">
        <v>10593</v>
      </c>
      <c r="IIH1" t="s">
        <v>10594</v>
      </c>
      <c r="III1" t="s">
        <v>10595</v>
      </c>
      <c r="IIJ1" t="s">
        <v>10596</v>
      </c>
      <c r="IIK1" t="s">
        <v>10597</v>
      </c>
      <c r="IIL1" t="s">
        <v>10598</v>
      </c>
      <c r="IIM1" t="s">
        <v>10599</v>
      </c>
      <c r="IIN1" t="s">
        <v>10600</v>
      </c>
      <c r="IIO1" t="s">
        <v>10601</v>
      </c>
      <c r="IIP1" t="s">
        <v>10602</v>
      </c>
      <c r="IIQ1" t="s">
        <v>10603</v>
      </c>
      <c r="IIR1" t="s">
        <v>10604</v>
      </c>
      <c r="IIS1" t="s">
        <v>10605</v>
      </c>
      <c r="IIT1" t="s">
        <v>10606</v>
      </c>
      <c r="IIU1" t="s">
        <v>10607</v>
      </c>
      <c r="IIV1" t="s">
        <v>10608</v>
      </c>
      <c r="IIW1" t="s">
        <v>10609</v>
      </c>
      <c r="IIX1" t="s">
        <v>10610</v>
      </c>
      <c r="IIY1" t="s">
        <v>10611</v>
      </c>
      <c r="IIZ1" t="s">
        <v>10612</v>
      </c>
      <c r="IJA1" t="s">
        <v>10613</v>
      </c>
      <c r="IJB1" t="s">
        <v>10614</v>
      </c>
      <c r="IJC1" t="s">
        <v>10615</v>
      </c>
      <c r="IJD1" t="s">
        <v>10616</v>
      </c>
      <c r="IJE1" t="s">
        <v>10617</v>
      </c>
      <c r="IJF1" t="s">
        <v>10618</v>
      </c>
      <c r="IJG1" t="s">
        <v>10619</v>
      </c>
      <c r="IJH1" t="s">
        <v>10620</v>
      </c>
      <c r="IJI1" t="s">
        <v>10621</v>
      </c>
      <c r="IJJ1" t="s">
        <v>10622</v>
      </c>
      <c r="IJK1" t="s">
        <v>10623</v>
      </c>
      <c r="IJL1" t="s">
        <v>10624</v>
      </c>
      <c r="IJM1" t="s">
        <v>10625</v>
      </c>
      <c r="IJN1" t="s">
        <v>10626</v>
      </c>
      <c r="IJO1" t="s">
        <v>10627</v>
      </c>
      <c r="IJP1" t="s">
        <v>10628</v>
      </c>
      <c r="IJQ1" t="s">
        <v>10629</v>
      </c>
      <c r="IJR1" t="s">
        <v>10630</v>
      </c>
      <c r="IJS1" t="s">
        <v>10631</v>
      </c>
      <c r="IJT1" t="s">
        <v>10632</v>
      </c>
      <c r="IJU1" t="s">
        <v>10633</v>
      </c>
      <c r="IJV1" t="s">
        <v>10634</v>
      </c>
      <c r="IJW1" t="s">
        <v>10635</v>
      </c>
      <c r="IJX1" t="s">
        <v>10636</v>
      </c>
      <c r="IJY1" t="s">
        <v>10637</v>
      </c>
      <c r="IJZ1" t="s">
        <v>10638</v>
      </c>
      <c r="IKA1" t="s">
        <v>10639</v>
      </c>
      <c r="IKB1" t="s">
        <v>10640</v>
      </c>
      <c r="IKC1" t="s">
        <v>10641</v>
      </c>
      <c r="IKD1" t="s">
        <v>10642</v>
      </c>
      <c r="IKE1" t="s">
        <v>10643</v>
      </c>
      <c r="IKF1" t="s">
        <v>10644</v>
      </c>
      <c r="IKG1" t="s">
        <v>10645</v>
      </c>
      <c r="IKH1" t="s">
        <v>10646</v>
      </c>
      <c r="IKI1" t="s">
        <v>10647</v>
      </c>
      <c r="IKJ1" t="s">
        <v>10648</v>
      </c>
      <c r="IKK1" t="s">
        <v>10649</v>
      </c>
      <c r="IKL1" t="s">
        <v>10650</v>
      </c>
      <c r="IKM1" t="s">
        <v>10651</v>
      </c>
      <c r="IKN1" t="s">
        <v>10652</v>
      </c>
      <c r="IKO1" t="s">
        <v>10653</v>
      </c>
      <c r="IKP1" t="s">
        <v>10654</v>
      </c>
      <c r="IKQ1" t="s">
        <v>10655</v>
      </c>
      <c r="IKR1" t="s">
        <v>10656</v>
      </c>
      <c r="IKS1" t="s">
        <v>10657</v>
      </c>
      <c r="IKT1" t="s">
        <v>10658</v>
      </c>
      <c r="IKU1" t="s">
        <v>10659</v>
      </c>
      <c r="IKV1" t="s">
        <v>10660</v>
      </c>
      <c r="IKW1" t="s">
        <v>10661</v>
      </c>
      <c r="IKX1" t="s">
        <v>10662</v>
      </c>
      <c r="IKY1" t="s">
        <v>10663</v>
      </c>
      <c r="IKZ1" t="s">
        <v>10664</v>
      </c>
      <c r="ILA1" t="s">
        <v>10665</v>
      </c>
      <c r="ILB1" t="s">
        <v>10666</v>
      </c>
      <c r="ILC1" t="s">
        <v>10667</v>
      </c>
      <c r="ILD1" t="s">
        <v>10668</v>
      </c>
      <c r="ILE1" t="s">
        <v>10669</v>
      </c>
      <c r="ILF1" t="s">
        <v>10670</v>
      </c>
      <c r="ILG1" t="s">
        <v>10671</v>
      </c>
      <c r="ILH1" t="s">
        <v>10672</v>
      </c>
      <c r="ILI1" t="s">
        <v>10673</v>
      </c>
      <c r="ILJ1" t="s">
        <v>10674</v>
      </c>
      <c r="ILK1" t="s">
        <v>10675</v>
      </c>
      <c r="ILL1" t="s">
        <v>10676</v>
      </c>
      <c r="ILM1" t="s">
        <v>10677</v>
      </c>
      <c r="ILN1" t="s">
        <v>10678</v>
      </c>
      <c r="ILO1" t="s">
        <v>10679</v>
      </c>
      <c r="ILP1" t="s">
        <v>10680</v>
      </c>
      <c r="ILQ1" t="s">
        <v>10681</v>
      </c>
      <c r="ILR1" t="s">
        <v>10682</v>
      </c>
      <c r="ILS1" t="s">
        <v>10683</v>
      </c>
      <c r="ILT1" t="s">
        <v>10684</v>
      </c>
      <c r="ILU1" t="s">
        <v>10685</v>
      </c>
      <c r="ILV1" t="s">
        <v>10686</v>
      </c>
      <c r="ILW1" t="s">
        <v>10687</v>
      </c>
      <c r="ILX1" t="s">
        <v>10688</v>
      </c>
      <c r="ILY1" t="s">
        <v>10689</v>
      </c>
      <c r="ILZ1" t="s">
        <v>10690</v>
      </c>
      <c r="IMA1" t="s">
        <v>10691</v>
      </c>
      <c r="IMB1" t="s">
        <v>10692</v>
      </c>
      <c r="IMC1" t="s">
        <v>10693</v>
      </c>
      <c r="IMD1" t="s">
        <v>10694</v>
      </c>
      <c r="IME1" t="s">
        <v>10695</v>
      </c>
      <c r="IMF1" t="s">
        <v>10696</v>
      </c>
      <c r="IMG1" t="s">
        <v>10697</v>
      </c>
      <c r="IMH1" t="s">
        <v>10698</v>
      </c>
      <c r="IMI1" t="s">
        <v>10699</v>
      </c>
      <c r="IMJ1" t="s">
        <v>10700</v>
      </c>
      <c r="IMK1" t="s">
        <v>10701</v>
      </c>
      <c r="IML1" t="s">
        <v>10702</v>
      </c>
      <c r="IMM1" t="s">
        <v>10703</v>
      </c>
      <c r="IMN1" t="s">
        <v>10704</v>
      </c>
      <c r="IMO1" t="s">
        <v>10705</v>
      </c>
      <c r="IMP1" t="s">
        <v>10706</v>
      </c>
      <c r="IMQ1" t="s">
        <v>10707</v>
      </c>
      <c r="IMR1" t="s">
        <v>10708</v>
      </c>
      <c r="IMS1" t="s">
        <v>10709</v>
      </c>
      <c r="IMT1" t="s">
        <v>10710</v>
      </c>
      <c r="IMU1" t="s">
        <v>10711</v>
      </c>
      <c r="IMV1" t="s">
        <v>10712</v>
      </c>
      <c r="IMW1" t="s">
        <v>10713</v>
      </c>
      <c r="IMX1" t="s">
        <v>10714</v>
      </c>
      <c r="IMY1" t="s">
        <v>10715</v>
      </c>
      <c r="IMZ1" t="s">
        <v>10716</v>
      </c>
      <c r="INA1" t="s">
        <v>10717</v>
      </c>
      <c r="INB1" t="s">
        <v>10718</v>
      </c>
      <c r="INC1" t="s">
        <v>10719</v>
      </c>
      <c r="IND1" t="s">
        <v>10720</v>
      </c>
      <c r="INE1" t="s">
        <v>10721</v>
      </c>
      <c r="INF1" t="s">
        <v>10722</v>
      </c>
      <c r="ING1" t="s">
        <v>10723</v>
      </c>
      <c r="INH1" t="s">
        <v>10724</v>
      </c>
      <c r="INI1" t="s">
        <v>10725</v>
      </c>
      <c r="INJ1" t="s">
        <v>10726</v>
      </c>
      <c r="INK1" t="s">
        <v>10727</v>
      </c>
      <c r="INL1" t="s">
        <v>10728</v>
      </c>
      <c r="INM1" t="s">
        <v>10729</v>
      </c>
      <c r="INN1" t="s">
        <v>10730</v>
      </c>
      <c r="INO1" t="s">
        <v>10731</v>
      </c>
      <c r="INP1" t="s">
        <v>10732</v>
      </c>
      <c r="INQ1" t="s">
        <v>10733</v>
      </c>
      <c r="INR1" t="s">
        <v>10734</v>
      </c>
      <c r="INS1" t="s">
        <v>10735</v>
      </c>
      <c r="INT1" t="s">
        <v>10736</v>
      </c>
      <c r="INU1" t="s">
        <v>10737</v>
      </c>
      <c r="INV1" t="s">
        <v>10738</v>
      </c>
      <c r="INW1" t="s">
        <v>10739</v>
      </c>
      <c r="INX1" t="s">
        <v>10740</v>
      </c>
      <c r="INY1" t="s">
        <v>10741</v>
      </c>
      <c r="INZ1" t="s">
        <v>10742</v>
      </c>
      <c r="IOA1" t="s">
        <v>10743</v>
      </c>
      <c r="IOB1" t="s">
        <v>10744</v>
      </c>
      <c r="IOC1" t="s">
        <v>10745</v>
      </c>
      <c r="IOD1" t="s">
        <v>10746</v>
      </c>
      <c r="IOE1" t="s">
        <v>10747</v>
      </c>
      <c r="IOF1" t="s">
        <v>10748</v>
      </c>
      <c r="IOG1" t="s">
        <v>10749</v>
      </c>
      <c r="IOH1" t="s">
        <v>10750</v>
      </c>
      <c r="IOI1" t="s">
        <v>10751</v>
      </c>
      <c r="IOJ1" t="s">
        <v>10752</v>
      </c>
      <c r="IOK1" t="s">
        <v>10753</v>
      </c>
      <c r="IOL1" t="s">
        <v>10754</v>
      </c>
      <c r="IOM1" t="s">
        <v>10755</v>
      </c>
      <c r="ION1" t="s">
        <v>10756</v>
      </c>
      <c r="IOO1" t="s">
        <v>10757</v>
      </c>
      <c r="IOP1" t="s">
        <v>10758</v>
      </c>
      <c r="IOQ1" t="s">
        <v>10759</v>
      </c>
      <c r="IOR1" t="s">
        <v>10760</v>
      </c>
      <c r="IOS1" t="s">
        <v>10761</v>
      </c>
      <c r="IOT1" t="s">
        <v>10762</v>
      </c>
      <c r="IOU1" t="s">
        <v>10763</v>
      </c>
      <c r="IOV1" t="s">
        <v>10764</v>
      </c>
      <c r="IOW1" t="s">
        <v>10765</v>
      </c>
      <c r="IOX1" t="s">
        <v>10766</v>
      </c>
      <c r="IOY1" t="s">
        <v>10767</v>
      </c>
      <c r="IOZ1" t="s">
        <v>10768</v>
      </c>
      <c r="IPA1" t="s">
        <v>10769</v>
      </c>
      <c r="IPB1" t="s">
        <v>10770</v>
      </c>
      <c r="IPC1" t="s">
        <v>10771</v>
      </c>
      <c r="IPD1" t="s">
        <v>10772</v>
      </c>
      <c r="IPE1" t="s">
        <v>10773</v>
      </c>
      <c r="IPF1" t="s">
        <v>10774</v>
      </c>
      <c r="IPG1" t="s">
        <v>10775</v>
      </c>
      <c r="IPH1" t="s">
        <v>10776</v>
      </c>
      <c r="IPI1" t="s">
        <v>10777</v>
      </c>
      <c r="IPJ1" t="s">
        <v>10778</v>
      </c>
      <c r="IPK1" t="s">
        <v>10779</v>
      </c>
      <c r="IPL1" t="s">
        <v>10780</v>
      </c>
      <c r="IPM1" t="s">
        <v>10781</v>
      </c>
      <c r="IPN1" t="s">
        <v>10782</v>
      </c>
      <c r="IPO1" t="s">
        <v>10783</v>
      </c>
      <c r="IPP1" t="s">
        <v>10784</v>
      </c>
      <c r="IPQ1" t="s">
        <v>10785</v>
      </c>
      <c r="IPR1" t="s">
        <v>10786</v>
      </c>
      <c r="IPS1" t="s">
        <v>10787</v>
      </c>
      <c r="IPT1" t="s">
        <v>10788</v>
      </c>
      <c r="IPU1" t="s">
        <v>10789</v>
      </c>
      <c r="IPV1" t="s">
        <v>10790</v>
      </c>
      <c r="IPW1" t="s">
        <v>10791</v>
      </c>
      <c r="IPX1" t="s">
        <v>10792</v>
      </c>
      <c r="IPY1" t="s">
        <v>10793</v>
      </c>
      <c r="IPZ1" t="s">
        <v>10794</v>
      </c>
      <c r="IQA1" t="s">
        <v>10795</v>
      </c>
      <c r="IQB1" t="s">
        <v>10796</v>
      </c>
      <c r="IQC1" t="s">
        <v>10797</v>
      </c>
      <c r="IQD1" t="s">
        <v>10798</v>
      </c>
      <c r="IQE1" t="s">
        <v>10799</v>
      </c>
      <c r="IQF1" t="s">
        <v>10800</v>
      </c>
      <c r="IQG1" t="s">
        <v>10801</v>
      </c>
      <c r="IQH1" t="s">
        <v>10802</v>
      </c>
      <c r="IQI1" t="s">
        <v>10803</v>
      </c>
      <c r="IQJ1" t="s">
        <v>10804</v>
      </c>
      <c r="IQK1" t="s">
        <v>10805</v>
      </c>
      <c r="IQL1" t="s">
        <v>10806</v>
      </c>
      <c r="IQM1" t="s">
        <v>10807</v>
      </c>
      <c r="IQN1" t="s">
        <v>10808</v>
      </c>
      <c r="IQO1" t="s">
        <v>10809</v>
      </c>
      <c r="IQP1" t="s">
        <v>10810</v>
      </c>
      <c r="IQQ1" t="s">
        <v>10811</v>
      </c>
      <c r="IQR1" t="s">
        <v>10812</v>
      </c>
      <c r="IQS1" t="s">
        <v>10813</v>
      </c>
      <c r="IQT1" t="s">
        <v>10814</v>
      </c>
      <c r="IQU1" t="s">
        <v>10815</v>
      </c>
      <c r="IQV1" t="s">
        <v>10816</v>
      </c>
      <c r="IQW1" t="s">
        <v>10817</v>
      </c>
      <c r="IQX1" t="s">
        <v>10818</v>
      </c>
      <c r="IQY1" t="s">
        <v>10819</v>
      </c>
      <c r="IQZ1" t="s">
        <v>10820</v>
      </c>
      <c r="IRA1" t="s">
        <v>10821</v>
      </c>
      <c r="IRB1" t="s">
        <v>10822</v>
      </c>
      <c r="IRC1" t="s">
        <v>10823</v>
      </c>
      <c r="IRD1" t="s">
        <v>10824</v>
      </c>
      <c r="IRE1" t="s">
        <v>10825</v>
      </c>
      <c r="IRF1" t="s">
        <v>10826</v>
      </c>
      <c r="IRG1" t="s">
        <v>10827</v>
      </c>
      <c r="IRH1" t="s">
        <v>10828</v>
      </c>
      <c r="IRI1" t="s">
        <v>10829</v>
      </c>
      <c r="IRJ1" t="s">
        <v>10830</v>
      </c>
      <c r="IRK1" t="s">
        <v>10831</v>
      </c>
      <c r="IRL1" t="s">
        <v>10832</v>
      </c>
      <c r="IRM1" t="s">
        <v>10833</v>
      </c>
      <c r="IRN1" t="s">
        <v>10834</v>
      </c>
      <c r="IRO1" t="s">
        <v>10835</v>
      </c>
      <c r="IRP1" t="s">
        <v>10836</v>
      </c>
      <c r="IRQ1" t="s">
        <v>10837</v>
      </c>
      <c r="IRR1" t="s">
        <v>10838</v>
      </c>
      <c r="IRS1" t="s">
        <v>10839</v>
      </c>
      <c r="IRT1" t="s">
        <v>10840</v>
      </c>
      <c r="IRU1" t="s">
        <v>10841</v>
      </c>
      <c r="IRV1" t="s">
        <v>10842</v>
      </c>
      <c r="IRW1" t="s">
        <v>10843</v>
      </c>
      <c r="IRX1" t="s">
        <v>10844</v>
      </c>
      <c r="IRY1" t="s">
        <v>10845</v>
      </c>
      <c r="IRZ1" t="s">
        <v>10846</v>
      </c>
      <c r="ISA1" t="s">
        <v>10847</v>
      </c>
      <c r="ISB1" t="s">
        <v>10848</v>
      </c>
      <c r="ISC1" t="s">
        <v>10849</v>
      </c>
      <c r="ISD1" t="s">
        <v>10850</v>
      </c>
      <c r="ISE1" t="s">
        <v>10851</v>
      </c>
      <c r="ISF1" t="s">
        <v>10852</v>
      </c>
      <c r="ISG1" t="s">
        <v>10853</v>
      </c>
      <c r="ISH1" t="s">
        <v>10854</v>
      </c>
      <c r="ISI1" t="s">
        <v>10855</v>
      </c>
      <c r="ISJ1" t="s">
        <v>10856</v>
      </c>
      <c r="ISK1" t="s">
        <v>10857</v>
      </c>
      <c r="ISL1" t="s">
        <v>10858</v>
      </c>
      <c r="ISM1" t="s">
        <v>10859</v>
      </c>
      <c r="ISN1" t="s">
        <v>10860</v>
      </c>
      <c r="ISO1" t="s">
        <v>10861</v>
      </c>
      <c r="ISP1" t="s">
        <v>10862</v>
      </c>
      <c r="ISQ1" t="s">
        <v>10863</v>
      </c>
      <c r="ISR1" t="s">
        <v>10864</v>
      </c>
      <c r="ISS1" t="s">
        <v>10865</v>
      </c>
      <c r="IST1" t="s">
        <v>10866</v>
      </c>
      <c r="ISU1" t="s">
        <v>10867</v>
      </c>
      <c r="ISV1" t="s">
        <v>10868</v>
      </c>
      <c r="ISW1" t="s">
        <v>10869</v>
      </c>
      <c r="ISX1" t="s">
        <v>10870</v>
      </c>
      <c r="ISY1" t="s">
        <v>10871</v>
      </c>
      <c r="ISZ1" t="s">
        <v>10872</v>
      </c>
      <c r="ITA1" t="s">
        <v>10873</v>
      </c>
      <c r="ITB1" t="s">
        <v>10874</v>
      </c>
      <c r="ITC1" t="s">
        <v>10875</v>
      </c>
      <c r="ITD1" t="s">
        <v>10876</v>
      </c>
      <c r="ITE1" t="s">
        <v>10877</v>
      </c>
      <c r="ITF1" t="s">
        <v>10878</v>
      </c>
      <c r="ITG1" t="s">
        <v>10879</v>
      </c>
      <c r="ITH1" t="s">
        <v>10880</v>
      </c>
      <c r="ITI1" t="s">
        <v>10881</v>
      </c>
      <c r="ITJ1" t="s">
        <v>10882</v>
      </c>
      <c r="ITK1" t="s">
        <v>10883</v>
      </c>
      <c r="ITL1" t="s">
        <v>10884</v>
      </c>
      <c r="ITM1" t="s">
        <v>10885</v>
      </c>
      <c r="ITN1" t="s">
        <v>10886</v>
      </c>
      <c r="ITO1" t="s">
        <v>10887</v>
      </c>
      <c r="ITP1" t="s">
        <v>10888</v>
      </c>
      <c r="ITQ1" t="s">
        <v>10889</v>
      </c>
      <c r="ITR1" t="s">
        <v>10890</v>
      </c>
      <c r="ITS1" t="s">
        <v>10891</v>
      </c>
      <c r="ITT1" t="s">
        <v>10892</v>
      </c>
      <c r="ITU1" t="s">
        <v>10893</v>
      </c>
      <c r="ITV1" t="s">
        <v>10894</v>
      </c>
      <c r="ITW1" t="s">
        <v>10895</v>
      </c>
      <c r="ITX1" t="s">
        <v>10896</v>
      </c>
      <c r="ITY1" t="s">
        <v>10897</v>
      </c>
      <c r="ITZ1" t="s">
        <v>10898</v>
      </c>
      <c r="IUA1" t="s">
        <v>10899</v>
      </c>
      <c r="IUB1" t="s">
        <v>10900</v>
      </c>
      <c r="IUC1" t="s">
        <v>10901</v>
      </c>
      <c r="IUD1" t="s">
        <v>10902</v>
      </c>
      <c r="IUE1" t="s">
        <v>10903</v>
      </c>
      <c r="IUF1" t="s">
        <v>10904</v>
      </c>
      <c r="IUG1" t="s">
        <v>10905</v>
      </c>
      <c r="IUH1" t="s">
        <v>10906</v>
      </c>
      <c r="IUI1" t="s">
        <v>10907</v>
      </c>
      <c r="IUJ1" t="s">
        <v>10908</v>
      </c>
      <c r="IUK1" t="s">
        <v>10909</v>
      </c>
      <c r="IUL1" t="s">
        <v>10910</v>
      </c>
      <c r="IUM1" t="s">
        <v>10911</v>
      </c>
      <c r="IUN1" t="s">
        <v>10912</v>
      </c>
      <c r="IUO1" t="s">
        <v>10913</v>
      </c>
      <c r="IUP1" t="s">
        <v>10914</v>
      </c>
      <c r="IUQ1" t="s">
        <v>10915</v>
      </c>
      <c r="IUR1" t="s">
        <v>10916</v>
      </c>
      <c r="IUS1" t="s">
        <v>10917</v>
      </c>
      <c r="IUT1" t="s">
        <v>10918</v>
      </c>
      <c r="IUU1" t="s">
        <v>10919</v>
      </c>
      <c r="IUV1" t="s">
        <v>10920</v>
      </c>
      <c r="IUW1" t="s">
        <v>10921</v>
      </c>
      <c r="IUX1" t="s">
        <v>10922</v>
      </c>
      <c r="IUY1" t="s">
        <v>10923</v>
      </c>
      <c r="IUZ1" t="s">
        <v>10924</v>
      </c>
      <c r="IVA1" t="s">
        <v>10925</v>
      </c>
      <c r="IVB1" t="s">
        <v>10926</v>
      </c>
      <c r="IVC1" t="s">
        <v>10927</v>
      </c>
      <c r="IVD1" t="s">
        <v>10928</v>
      </c>
      <c r="IVE1" t="s">
        <v>10929</v>
      </c>
      <c r="IVF1" t="s">
        <v>10930</v>
      </c>
      <c r="IVG1" t="s">
        <v>10931</v>
      </c>
      <c r="IVH1" t="s">
        <v>10932</v>
      </c>
      <c r="IVI1" t="s">
        <v>10933</v>
      </c>
      <c r="IVJ1" t="s">
        <v>10934</v>
      </c>
      <c r="IVK1" t="s">
        <v>10935</v>
      </c>
      <c r="IVL1" t="s">
        <v>10936</v>
      </c>
      <c r="IVM1" t="s">
        <v>10937</v>
      </c>
      <c r="IVN1" t="s">
        <v>10938</v>
      </c>
      <c r="IVO1" t="s">
        <v>10939</v>
      </c>
      <c r="IVP1" t="s">
        <v>10940</v>
      </c>
      <c r="IVQ1" t="s">
        <v>10941</v>
      </c>
      <c r="IVR1" t="s">
        <v>10942</v>
      </c>
      <c r="IVS1" t="s">
        <v>10943</v>
      </c>
      <c r="IVT1" t="s">
        <v>10944</v>
      </c>
      <c r="IVU1" t="s">
        <v>10945</v>
      </c>
      <c r="IVV1" t="s">
        <v>10946</v>
      </c>
      <c r="IVW1" t="s">
        <v>10947</v>
      </c>
      <c r="IVX1" t="s">
        <v>10948</v>
      </c>
      <c r="IVY1" t="s">
        <v>10949</v>
      </c>
      <c r="IVZ1" t="s">
        <v>10950</v>
      </c>
      <c r="IWA1" t="s">
        <v>10951</v>
      </c>
      <c r="IWB1" t="s">
        <v>10952</v>
      </c>
      <c r="IWC1" t="s">
        <v>10953</v>
      </c>
      <c r="IWD1" t="s">
        <v>10954</v>
      </c>
      <c r="IWE1" t="s">
        <v>10955</v>
      </c>
      <c r="IWF1" t="s">
        <v>10956</v>
      </c>
      <c r="IWG1" t="s">
        <v>10957</v>
      </c>
      <c r="IWH1" t="s">
        <v>10958</v>
      </c>
      <c r="IWI1" t="s">
        <v>10959</v>
      </c>
      <c r="IWJ1" t="s">
        <v>10960</v>
      </c>
      <c r="IWK1" t="s">
        <v>10961</v>
      </c>
      <c r="IWL1" t="s">
        <v>10962</v>
      </c>
      <c r="IWM1" t="s">
        <v>10963</v>
      </c>
      <c r="IWN1" t="s">
        <v>10964</v>
      </c>
      <c r="IWO1" t="s">
        <v>10965</v>
      </c>
      <c r="IWP1" t="s">
        <v>10966</v>
      </c>
      <c r="IWQ1" t="s">
        <v>10967</v>
      </c>
      <c r="IWR1" t="s">
        <v>10968</v>
      </c>
      <c r="IWS1" t="s">
        <v>10969</v>
      </c>
      <c r="IWT1" t="s">
        <v>10970</v>
      </c>
      <c r="IWU1" t="s">
        <v>10971</v>
      </c>
      <c r="IWV1" t="s">
        <v>10972</v>
      </c>
      <c r="IWW1" t="s">
        <v>10973</v>
      </c>
      <c r="IWX1" t="s">
        <v>10974</v>
      </c>
      <c r="IWY1" t="s">
        <v>10975</v>
      </c>
      <c r="IWZ1" t="s">
        <v>10976</v>
      </c>
      <c r="IXA1" t="s">
        <v>10977</v>
      </c>
      <c r="IXB1" t="s">
        <v>10978</v>
      </c>
      <c r="IXC1" t="s">
        <v>10979</v>
      </c>
      <c r="IXD1" t="s">
        <v>10980</v>
      </c>
      <c r="IXE1" t="s">
        <v>10981</v>
      </c>
      <c r="IXF1" t="s">
        <v>10982</v>
      </c>
      <c r="IXG1" t="s">
        <v>10983</v>
      </c>
      <c r="IXH1" t="s">
        <v>10984</v>
      </c>
      <c r="IXI1" t="s">
        <v>10985</v>
      </c>
      <c r="IXJ1" t="s">
        <v>10986</v>
      </c>
      <c r="IXK1" t="s">
        <v>10987</v>
      </c>
      <c r="IXL1" t="s">
        <v>10988</v>
      </c>
      <c r="IXM1" t="s">
        <v>10989</v>
      </c>
      <c r="IXN1" t="s">
        <v>10990</v>
      </c>
      <c r="IXO1" t="s">
        <v>10991</v>
      </c>
      <c r="IXP1" t="s">
        <v>10992</v>
      </c>
      <c r="IXQ1" t="s">
        <v>10993</v>
      </c>
      <c r="IXR1" t="s">
        <v>10994</v>
      </c>
      <c r="IXS1" t="s">
        <v>10995</v>
      </c>
      <c r="IXT1" t="s">
        <v>10996</v>
      </c>
      <c r="IXU1" t="s">
        <v>10997</v>
      </c>
      <c r="IXV1" t="s">
        <v>10998</v>
      </c>
      <c r="IXW1" t="s">
        <v>10999</v>
      </c>
      <c r="IXX1" t="s">
        <v>11000</v>
      </c>
      <c r="IXY1" t="s">
        <v>11001</v>
      </c>
      <c r="IXZ1" t="s">
        <v>11002</v>
      </c>
      <c r="IYA1" t="s">
        <v>11003</v>
      </c>
      <c r="IYB1" t="s">
        <v>11004</v>
      </c>
      <c r="IYC1" t="s">
        <v>11005</v>
      </c>
      <c r="IYD1" t="s">
        <v>11006</v>
      </c>
      <c r="IYE1" t="s">
        <v>11007</v>
      </c>
      <c r="IYF1" t="s">
        <v>11008</v>
      </c>
      <c r="IYG1" t="s">
        <v>11009</v>
      </c>
      <c r="IYH1" t="s">
        <v>11010</v>
      </c>
      <c r="IYI1" t="s">
        <v>11011</v>
      </c>
      <c r="IYJ1" t="s">
        <v>11012</v>
      </c>
      <c r="IYK1" t="s">
        <v>11013</v>
      </c>
      <c r="IYL1" t="s">
        <v>11014</v>
      </c>
      <c r="IYM1" t="s">
        <v>11015</v>
      </c>
      <c r="IYN1" t="s">
        <v>11016</v>
      </c>
      <c r="IYO1" t="s">
        <v>11017</v>
      </c>
      <c r="IYP1" t="s">
        <v>11018</v>
      </c>
      <c r="IYQ1" t="s">
        <v>11019</v>
      </c>
      <c r="IYR1" t="s">
        <v>11020</v>
      </c>
      <c r="IYS1" t="s">
        <v>11021</v>
      </c>
      <c r="IYT1" t="s">
        <v>11022</v>
      </c>
      <c r="IYU1" t="s">
        <v>11023</v>
      </c>
      <c r="IYV1" t="s">
        <v>11024</v>
      </c>
      <c r="IYW1" t="s">
        <v>11025</v>
      </c>
      <c r="IYX1" t="s">
        <v>11026</v>
      </c>
      <c r="IYY1" t="s">
        <v>11027</v>
      </c>
      <c r="IYZ1" t="s">
        <v>11028</v>
      </c>
      <c r="IZA1" t="s">
        <v>11029</v>
      </c>
      <c r="IZB1" t="s">
        <v>11030</v>
      </c>
      <c r="IZC1" t="s">
        <v>11031</v>
      </c>
      <c r="IZD1" t="s">
        <v>11032</v>
      </c>
      <c r="IZE1" t="s">
        <v>11033</v>
      </c>
      <c r="IZF1" t="s">
        <v>11034</v>
      </c>
      <c r="IZG1" t="s">
        <v>11035</v>
      </c>
      <c r="IZH1" t="s">
        <v>11036</v>
      </c>
      <c r="IZI1" t="s">
        <v>11037</v>
      </c>
      <c r="IZJ1" t="s">
        <v>11038</v>
      </c>
      <c r="IZK1" t="s">
        <v>11039</v>
      </c>
      <c r="IZL1" t="s">
        <v>11040</v>
      </c>
      <c r="IZM1" t="s">
        <v>11041</v>
      </c>
      <c r="IZN1" t="s">
        <v>11042</v>
      </c>
      <c r="IZO1" t="s">
        <v>11043</v>
      </c>
      <c r="IZP1" t="s">
        <v>11044</v>
      </c>
      <c r="IZQ1" t="s">
        <v>11045</v>
      </c>
      <c r="IZR1" t="s">
        <v>11046</v>
      </c>
      <c r="IZS1" t="s">
        <v>11047</v>
      </c>
      <c r="IZT1" t="s">
        <v>11048</v>
      </c>
      <c r="IZU1" t="s">
        <v>11049</v>
      </c>
      <c r="IZV1" t="s">
        <v>11050</v>
      </c>
      <c r="IZW1" t="s">
        <v>11051</v>
      </c>
      <c r="IZX1" t="s">
        <v>11052</v>
      </c>
      <c r="IZY1" t="s">
        <v>11053</v>
      </c>
      <c r="IZZ1" t="s">
        <v>11054</v>
      </c>
      <c r="JAA1" t="s">
        <v>11055</v>
      </c>
      <c r="JAB1" t="s">
        <v>11056</v>
      </c>
      <c r="JAC1" t="s">
        <v>11057</v>
      </c>
      <c r="JAD1" t="s">
        <v>11058</v>
      </c>
      <c r="JAE1" t="s">
        <v>11059</v>
      </c>
      <c r="JAF1" t="s">
        <v>11060</v>
      </c>
      <c r="JAG1" t="s">
        <v>11061</v>
      </c>
      <c r="JAH1" t="s">
        <v>11062</v>
      </c>
      <c r="JAI1" t="s">
        <v>11063</v>
      </c>
      <c r="JAJ1" t="s">
        <v>11064</v>
      </c>
      <c r="JAK1" t="s">
        <v>11065</v>
      </c>
      <c r="JAL1" t="s">
        <v>11066</v>
      </c>
      <c r="JAM1" t="s">
        <v>11067</v>
      </c>
      <c r="JAN1" t="s">
        <v>11068</v>
      </c>
      <c r="JAO1" t="s">
        <v>11069</v>
      </c>
      <c r="JAP1" t="s">
        <v>11070</v>
      </c>
      <c r="JAQ1" t="s">
        <v>11071</v>
      </c>
      <c r="JAR1" t="s">
        <v>11072</v>
      </c>
      <c r="JAS1" t="s">
        <v>11073</v>
      </c>
      <c r="JAT1" t="s">
        <v>11074</v>
      </c>
      <c r="JAU1" t="s">
        <v>11075</v>
      </c>
      <c r="JAV1" t="s">
        <v>11076</v>
      </c>
      <c r="JAW1" t="s">
        <v>11077</v>
      </c>
      <c r="JAX1" t="s">
        <v>11078</v>
      </c>
      <c r="JAY1" t="s">
        <v>11079</v>
      </c>
      <c r="JAZ1" t="s">
        <v>11080</v>
      </c>
      <c r="JBA1" t="s">
        <v>11081</v>
      </c>
      <c r="JBB1" t="s">
        <v>11082</v>
      </c>
      <c r="JBC1" t="s">
        <v>11083</v>
      </c>
      <c r="JBD1" t="s">
        <v>11084</v>
      </c>
      <c r="JBE1" t="s">
        <v>11085</v>
      </c>
      <c r="JBF1" t="s">
        <v>11086</v>
      </c>
      <c r="JBG1" t="s">
        <v>11087</v>
      </c>
      <c r="JBH1" t="s">
        <v>11088</v>
      </c>
      <c r="JBI1" t="s">
        <v>11089</v>
      </c>
      <c r="JBJ1" t="s">
        <v>11090</v>
      </c>
      <c r="JBK1" t="s">
        <v>11091</v>
      </c>
      <c r="JBL1" t="s">
        <v>11092</v>
      </c>
      <c r="JBM1" t="s">
        <v>11093</v>
      </c>
      <c r="JBN1" t="s">
        <v>11094</v>
      </c>
      <c r="JBO1" t="s">
        <v>11095</v>
      </c>
      <c r="JBP1" t="s">
        <v>11096</v>
      </c>
      <c r="JBQ1" t="s">
        <v>11097</v>
      </c>
      <c r="JBR1" t="s">
        <v>11098</v>
      </c>
      <c r="JBS1" t="s">
        <v>11099</v>
      </c>
      <c r="JBT1" t="s">
        <v>11100</v>
      </c>
      <c r="JBU1" t="s">
        <v>11101</v>
      </c>
      <c r="JBV1" t="s">
        <v>11102</v>
      </c>
      <c r="JBW1" t="s">
        <v>11103</v>
      </c>
      <c r="JBX1" t="s">
        <v>11104</v>
      </c>
      <c r="JBY1" t="s">
        <v>11105</v>
      </c>
      <c r="JBZ1" t="s">
        <v>11106</v>
      </c>
      <c r="JCA1" t="s">
        <v>11107</v>
      </c>
      <c r="JCB1" t="s">
        <v>11108</v>
      </c>
      <c r="JCC1" t="s">
        <v>11109</v>
      </c>
      <c r="JCD1" t="s">
        <v>11110</v>
      </c>
      <c r="JCE1" t="s">
        <v>11111</v>
      </c>
      <c r="JCF1" t="s">
        <v>11112</v>
      </c>
      <c r="JCG1" t="s">
        <v>11113</v>
      </c>
      <c r="JCH1" t="s">
        <v>11114</v>
      </c>
      <c r="JCI1" t="s">
        <v>11115</v>
      </c>
      <c r="JCJ1" t="s">
        <v>11116</v>
      </c>
      <c r="JCK1" t="s">
        <v>11117</v>
      </c>
      <c r="JCL1" t="s">
        <v>11118</v>
      </c>
      <c r="JCM1" t="s">
        <v>11119</v>
      </c>
      <c r="JCN1" t="s">
        <v>11120</v>
      </c>
      <c r="JCO1" t="s">
        <v>11121</v>
      </c>
      <c r="JCP1" t="s">
        <v>11122</v>
      </c>
      <c r="JCQ1" t="s">
        <v>11123</v>
      </c>
      <c r="JCR1" t="s">
        <v>11124</v>
      </c>
      <c r="JCS1" t="s">
        <v>11125</v>
      </c>
      <c r="JCT1" t="s">
        <v>11126</v>
      </c>
      <c r="JCU1" t="s">
        <v>11127</v>
      </c>
      <c r="JCV1" t="s">
        <v>11128</v>
      </c>
      <c r="JCW1" t="s">
        <v>11129</v>
      </c>
      <c r="JCX1" t="s">
        <v>11130</v>
      </c>
      <c r="JCY1" t="s">
        <v>11131</v>
      </c>
      <c r="JCZ1" t="s">
        <v>11132</v>
      </c>
      <c r="JDA1" t="s">
        <v>11133</v>
      </c>
      <c r="JDB1" t="s">
        <v>11134</v>
      </c>
      <c r="JDC1" t="s">
        <v>11135</v>
      </c>
      <c r="JDD1" t="s">
        <v>11136</v>
      </c>
      <c r="JDE1" t="s">
        <v>11137</v>
      </c>
      <c r="JDF1" t="s">
        <v>11138</v>
      </c>
      <c r="JDG1" t="s">
        <v>11139</v>
      </c>
      <c r="JDH1" t="s">
        <v>11140</v>
      </c>
      <c r="JDI1" t="s">
        <v>11141</v>
      </c>
      <c r="JDJ1" t="s">
        <v>11142</v>
      </c>
      <c r="JDK1" t="s">
        <v>11143</v>
      </c>
      <c r="JDL1" t="s">
        <v>11144</v>
      </c>
      <c r="JDM1" t="s">
        <v>11145</v>
      </c>
      <c r="JDN1" t="s">
        <v>11146</v>
      </c>
      <c r="JDO1" t="s">
        <v>11147</v>
      </c>
      <c r="JDP1" t="s">
        <v>11148</v>
      </c>
      <c r="JDQ1" t="s">
        <v>11149</v>
      </c>
      <c r="JDR1" t="s">
        <v>11150</v>
      </c>
      <c r="JDS1" t="s">
        <v>11151</v>
      </c>
      <c r="JDT1" t="s">
        <v>11152</v>
      </c>
      <c r="JDU1" t="s">
        <v>11153</v>
      </c>
      <c r="JDV1" t="s">
        <v>11154</v>
      </c>
      <c r="JDW1" t="s">
        <v>11155</v>
      </c>
      <c r="JDX1" t="s">
        <v>11156</v>
      </c>
      <c r="JDY1" t="s">
        <v>11157</v>
      </c>
      <c r="JDZ1" t="s">
        <v>11158</v>
      </c>
      <c r="JEA1" t="s">
        <v>11159</v>
      </c>
      <c r="JEB1" t="s">
        <v>11160</v>
      </c>
      <c r="JEC1" t="s">
        <v>11161</v>
      </c>
      <c r="JED1" t="s">
        <v>11162</v>
      </c>
      <c r="JEE1" t="s">
        <v>11163</v>
      </c>
      <c r="JEF1" t="s">
        <v>11164</v>
      </c>
      <c r="JEG1" t="s">
        <v>11165</v>
      </c>
      <c r="JEH1" t="s">
        <v>11166</v>
      </c>
      <c r="JEI1" t="s">
        <v>11167</v>
      </c>
      <c r="JEJ1" t="s">
        <v>11168</v>
      </c>
      <c r="JEK1" t="s">
        <v>11169</v>
      </c>
      <c r="JEL1" t="s">
        <v>11170</v>
      </c>
      <c r="JEM1" t="s">
        <v>11171</v>
      </c>
      <c r="JEN1" t="s">
        <v>11172</v>
      </c>
      <c r="JEO1" t="s">
        <v>11173</v>
      </c>
      <c r="JEP1" t="s">
        <v>11174</v>
      </c>
      <c r="JEQ1" t="s">
        <v>11175</v>
      </c>
      <c r="JER1" t="s">
        <v>11176</v>
      </c>
      <c r="JES1" t="s">
        <v>11177</v>
      </c>
      <c r="JET1" t="s">
        <v>11178</v>
      </c>
      <c r="JEU1" t="s">
        <v>11179</v>
      </c>
      <c r="JEV1" t="s">
        <v>11180</v>
      </c>
      <c r="JEW1" t="s">
        <v>11181</v>
      </c>
      <c r="JEX1" t="s">
        <v>11182</v>
      </c>
      <c r="JEY1" t="s">
        <v>11183</v>
      </c>
      <c r="JEZ1" t="s">
        <v>11184</v>
      </c>
      <c r="JFA1" t="s">
        <v>11185</v>
      </c>
      <c r="JFB1" t="s">
        <v>11186</v>
      </c>
      <c r="JFC1" t="s">
        <v>11187</v>
      </c>
      <c r="JFD1" t="s">
        <v>11188</v>
      </c>
      <c r="JFE1" t="s">
        <v>11189</v>
      </c>
      <c r="JFF1" t="s">
        <v>11190</v>
      </c>
      <c r="JFG1" t="s">
        <v>11191</v>
      </c>
      <c r="JFH1" t="s">
        <v>11192</v>
      </c>
      <c r="JFI1" t="s">
        <v>11193</v>
      </c>
      <c r="JFJ1" t="s">
        <v>11194</v>
      </c>
      <c r="JFK1" t="s">
        <v>11195</v>
      </c>
      <c r="JFL1" t="s">
        <v>11196</v>
      </c>
      <c r="JFM1" t="s">
        <v>11197</v>
      </c>
      <c r="JFN1" t="s">
        <v>11198</v>
      </c>
      <c r="JFO1" t="s">
        <v>11199</v>
      </c>
      <c r="JFP1" t="s">
        <v>11200</v>
      </c>
      <c r="JFQ1" t="s">
        <v>11201</v>
      </c>
      <c r="JFR1" t="s">
        <v>11202</v>
      </c>
      <c r="JFS1" t="s">
        <v>11203</v>
      </c>
      <c r="JFT1" t="s">
        <v>11204</v>
      </c>
      <c r="JFU1" t="s">
        <v>11205</v>
      </c>
      <c r="JFV1" t="s">
        <v>11206</v>
      </c>
      <c r="JFW1" t="s">
        <v>11207</v>
      </c>
      <c r="JFX1" t="s">
        <v>11208</v>
      </c>
      <c r="JFY1" t="s">
        <v>11209</v>
      </c>
      <c r="JFZ1" t="s">
        <v>11210</v>
      </c>
      <c r="JGA1" t="s">
        <v>11211</v>
      </c>
      <c r="JGB1" t="s">
        <v>11212</v>
      </c>
      <c r="JGC1" t="s">
        <v>11213</v>
      </c>
      <c r="JGD1" t="s">
        <v>11214</v>
      </c>
      <c r="JGE1" t="s">
        <v>11215</v>
      </c>
      <c r="JGF1" t="s">
        <v>11216</v>
      </c>
      <c r="JGG1" t="s">
        <v>11217</v>
      </c>
      <c r="JGH1" t="s">
        <v>11218</v>
      </c>
      <c r="JGI1" t="s">
        <v>11219</v>
      </c>
      <c r="JGJ1" t="s">
        <v>11220</v>
      </c>
      <c r="JGK1" t="s">
        <v>11221</v>
      </c>
      <c r="JGL1" t="s">
        <v>11222</v>
      </c>
      <c r="JGM1" t="s">
        <v>11223</v>
      </c>
      <c r="JGN1" t="s">
        <v>11224</v>
      </c>
      <c r="JGO1" t="s">
        <v>11225</v>
      </c>
      <c r="JGP1" t="s">
        <v>11226</v>
      </c>
      <c r="JGQ1" t="s">
        <v>11227</v>
      </c>
      <c r="JGR1" t="s">
        <v>11228</v>
      </c>
      <c r="JGS1" t="s">
        <v>11229</v>
      </c>
      <c r="JGT1" t="s">
        <v>11230</v>
      </c>
      <c r="JGU1" t="s">
        <v>11231</v>
      </c>
      <c r="JGV1" t="s">
        <v>11232</v>
      </c>
      <c r="JGW1" t="s">
        <v>11233</v>
      </c>
      <c r="JGX1" t="s">
        <v>11234</v>
      </c>
      <c r="JGY1" t="s">
        <v>11235</v>
      </c>
      <c r="JGZ1" t="s">
        <v>11236</v>
      </c>
      <c r="JHA1" t="s">
        <v>11237</v>
      </c>
      <c r="JHB1" t="s">
        <v>11238</v>
      </c>
      <c r="JHC1" t="s">
        <v>11239</v>
      </c>
      <c r="JHD1" t="s">
        <v>11240</v>
      </c>
      <c r="JHE1" t="s">
        <v>11241</v>
      </c>
      <c r="JHF1" t="s">
        <v>11242</v>
      </c>
      <c r="JHG1" t="s">
        <v>11243</v>
      </c>
      <c r="JHH1" t="s">
        <v>11244</v>
      </c>
      <c r="JHI1" t="s">
        <v>11245</v>
      </c>
      <c r="JHJ1" t="s">
        <v>11246</v>
      </c>
      <c r="JHK1" t="s">
        <v>11247</v>
      </c>
      <c r="JHL1" t="s">
        <v>11248</v>
      </c>
      <c r="JHM1" t="s">
        <v>11249</v>
      </c>
      <c r="JHN1" t="s">
        <v>11250</v>
      </c>
      <c r="JHO1" t="s">
        <v>11251</v>
      </c>
      <c r="JHP1" t="s">
        <v>11252</v>
      </c>
      <c r="JHQ1" t="s">
        <v>11253</v>
      </c>
      <c r="JHR1" t="s">
        <v>11254</v>
      </c>
      <c r="JHS1" t="s">
        <v>11255</v>
      </c>
      <c r="JHT1" t="s">
        <v>11256</v>
      </c>
      <c r="JHU1" t="s">
        <v>11257</v>
      </c>
      <c r="JHV1" t="s">
        <v>11258</v>
      </c>
      <c r="JHW1" t="s">
        <v>11259</v>
      </c>
      <c r="JHX1" t="s">
        <v>11260</v>
      </c>
      <c r="JHY1" t="s">
        <v>11261</v>
      </c>
      <c r="JHZ1" t="s">
        <v>11262</v>
      </c>
      <c r="JIA1" t="s">
        <v>11263</v>
      </c>
      <c r="JIB1" t="s">
        <v>11264</v>
      </c>
      <c r="JIC1" t="s">
        <v>11265</v>
      </c>
      <c r="JID1" t="s">
        <v>11266</v>
      </c>
      <c r="JIE1" t="s">
        <v>11267</v>
      </c>
      <c r="JIF1" t="s">
        <v>11268</v>
      </c>
      <c r="JIG1" t="s">
        <v>11269</v>
      </c>
      <c r="JIH1" t="s">
        <v>11270</v>
      </c>
      <c r="JII1" t="s">
        <v>11271</v>
      </c>
      <c r="JIJ1" t="s">
        <v>11272</v>
      </c>
      <c r="JIK1" t="s">
        <v>11273</v>
      </c>
      <c r="JIL1" t="s">
        <v>11274</v>
      </c>
      <c r="JIM1" t="s">
        <v>11275</v>
      </c>
      <c r="JIN1" t="s">
        <v>11276</v>
      </c>
      <c r="JIO1" t="s">
        <v>11277</v>
      </c>
      <c r="JIP1" t="s">
        <v>11278</v>
      </c>
      <c r="JIQ1" t="s">
        <v>11279</v>
      </c>
      <c r="JIR1" t="s">
        <v>11280</v>
      </c>
      <c r="JIS1" t="s">
        <v>11281</v>
      </c>
      <c r="JIT1" t="s">
        <v>11282</v>
      </c>
      <c r="JIU1" t="s">
        <v>11283</v>
      </c>
      <c r="JIV1" t="s">
        <v>11284</v>
      </c>
      <c r="JIW1" t="s">
        <v>11285</v>
      </c>
      <c r="JIX1" t="s">
        <v>11286</v>
      </c>
      <c r="JIY1" t="s">
        <v>11287</v>
      </c>
      <c r="JIZ1" t="s">
        <v>11288</v>
      </c>
      <c r="JJA1" t="s">
        <v>11289</v>
      </c>
      <c r="JJB1" t="s">
        <v>11290</v>
      </c>
      <c r="JJC1" t="s">
        <v>11291</v>
      </c>
      <c r="JJD1" t="s">
        <v>11292</v>
      </c>
      <c r="JJE1" t="s">
        <v>11293</v>
      </c>
      <c r="JJF1" t="s">
        <v>11294</v>
      </c>
      <c r="JJG1" t="s">
        <v>11295</v>
      </c>
      <c r="JJH1" t="s">
        <v>11296</v>
      </c>
      <c r="JJI1" t="s">
        <v>11297</v>
      </c>
      <c r="JJJ1" t="s">
        <v>11298</v>
      </c>
      <c r="JJK1" t="s">
        <v>11299</v>
      </c>
      <c r="JJL1" t="s">
        <v>11300</v>
      </c>
      <c r="JJM1" t="s">
        <v>11301</v>
      </c>
      <c r="JJN1" t="s">
        <v>11302</v>
      </c>
      <c r="JJO1" t="s">
        <v>11303</v>
      </c>
      <c r="JJP1" t="s">
        <v>11304</v>
      </c>
      <c r="JJQ1" t="s">
        <v>11305</v>
      </c>
      <c r="JJR1" t="s">
        <v>11306</v>
      </c>
      <c r="JJS1" t="s">
        <v>11307</v>
      </c>
      <c r="JJT1" t="s">
        <v>11308</v>
      </c>
      <c r="JJU1" t="s">
        <v>11309</v>
      </c>
      <c r="JJV1" t="s">
        <v>11310</v>
      </c>
      <c r="JJW1" t="s">
        <v>11311</v>
      </c>
      <c r="JJX1" t="s">
        <v>11312</v>
      </c>
      <c r="JJY1" t="s">
        <v>11313</v>
      </c>
      <c r="JJZ1" t="s">
        <v>11314</v>
      </c>
      <c r="JKA1" t="s">
        <v>11315</v>
      </c>
      <c r="JKB1" t="s">
        <v>11316</v>
      </c>
      <c r="JKC1" t="s">
        <v>11317</v>
      </c>
      <c r="JKD1" t="s">
        <v>11318</v>
      </c>
      <c r="JKE1" t="s">
        <v>11319</v>
      </c>
      <c r="JKF1" t="s">
        <v>11320</v>
      </c>
      <c r="JKG1" t="s">
        <v>11321</v>
      </c>
      <c r="JKH1" t="s">
        <v>11322</v>
      </c>
      <c r="JKI1" t="s">
        <v>11323</v>
      </c>
      <c r="JKJ1" t="s">
        <v>11324</v>
      </c>
      <c r="JKK1" t="s">
        <v>11325</v>
      </c>
      <c r="JKL1" t="s">
        <v>11326</v>
      </c>
      <c r="JKM1" t="s">
        <v>11327</v>
      </c>
      <c r="JKN1" t="s">
        <v>11328</v>
      </c>
      <c r="JKO1" t="s">
        <v>11329</v>
      </c>
      <c r="JKP1" t="s">
        <v>11330</v>
      </c>
      <c r="JKQ1" t="s">
        <v>11331</v>
      </c>
      <c r="JKR1" t="s">
        <v>11332</v>
      </c>
      <c r="JKS1" t="s">
        <v>11333</v>
      </c>
      <c r="JKT1" t="s">
        <v>11334</v>
      </c>
      <c r="JKU1" t="s">
        <v>11335</v>
      </c>
      <c r="JKV1" t="s">
        <v>11336</v>
      </c>
      <c r="JKW1" t="s">
        <v>11337</v>
      </c>
      <c r="JKX1" t="s">
        <v>11338</v>
      </c>
      <c r="JKY1" t="s">
        <v>11339</v>
      </c>
      <c r="JKZ1" t="s">
        <v>11340</v>
      </c>
      <c r="JLA1" t="s">
        <v>11341</v>
      </c>
      <c r="JLB1" t="s">
        <v>11342</v>
      </c>
      <c r="JLC1" t="s">
        <v>11343</v>
      </c>
      <c r="JLD1" t="s">
        <v>11344</v>
      </c>
      <c r="JLE1" t="s">
        <v>11345</v>
      </c>
      <c r="JLF1" t="s">
        <v>11346</v>
      </c>
      <c r="JLG1" t="s">
        <v>11347</v>
      </c>
      <c r="JLH1" t="s">
        <v>11348</v>
      </c>
      <c r="JLI1" t="s">
        <v>11349</v>
      </c>
      <c r="JLJ1" t="s">
        <v>11350</v>
      </c>
      <c r="JLK1" t="s">
        <v>11351</v>
      </c>
      <c r="JLL1" t="s">
        <v>11352</v>
      </c>
      <c r="JLM1" t="s">
        <v>11353</v>
      </c>
      <c r="JLN1" t="s">
        <v>11354</v>
      </c>
      <c r="JLO1" t="s">
        <v>11355</v>
      </c>
      <c r="JLP1" t="s">
        <v>11356</v>
      </c>
      <c r="JLQ1" t="s">
        <v>11357</v>
      </c>
      <c r="JLR1" t="s">
        <v>11358</v>
      </c>
      <c r="JLS1" t="s">
        <v>11359</v>
      </c>
      <c r="JLT1" t="s">
        <v>11360</v>
      </c>
      <c r="JLU1" t="s">
        <v>11361</v>
      </c>
      <c r="JLV1" t="s">
        <v>11362</v>
      </c>
      <c r="JLW1" t="s">
        <v>11363</v>
      </c>
      <c r="JLX1" t="s">
        <v>11364</v>
      </c>
      <c r="JLY1" t="s">
        <v>11365</v>
      </c>
      <c r="JLZ1" t="s">
        <v>11366</v>
      </c>
      <c r="JMA1" t="s">
        <v>11367</v>
      </c>
      <c r="JMB1" t="s">
        <v>11368</v>
      </c>
      <c r="JMC1" t="s">
        <v>11369</v>
      </c>
      <c r="JMD1" t="s">
        <v>11370</v>
      </c>
      <c r="JME1" t="s">
        <v>11371</v>
      </c>
      <c r="JMF1" t="s">
        <v>11372</v>
      </c>
      <c r="JMG1" t="s">
        <v>11373</v>
      </c>
      <c r="JMH1" t="s">
        <v>11374</v>
      </c>
      <c r="JMI1" t="s">
        <v>11375</v>
      </c>
      <c r="JMJ1" t="s">
        <v>11376</v>
      </c>
      <c r="JMK1" t="s">
        <v>11377</v>
      </c>
      <c r="JML1" t="s">
        <v>11378</v>
      </c>
      <c r="JMM1" t="s">
        <v>11379</v>
      </c>
      <c r="JMN1" t="s">
        <v>11380</v>
      </c>
      <c r="JMO1" t="s">
        <v>11381</v>
      </c>
      <c r="JMP1" t="s">
        <v>11382</v>
      </c>
      <c r="JMQ1" t="s">
        <v>11383</v>
      </c>
      <c r="JMR1" t="s">
        <v>11384</v>
      </c>
      <c r="JMS1" t="s">
        <v>11385</v>
      </c>
      <c r="JMT1" t="s">
        <v>11386</v>
      </c>
      <c r="JMU1" t="s">
        <v>11387</v>
      </c>
      <c r="JMV1" t="s">
        <v>11388</v>
      </c>
      <c r="JMW1" t="s">
        <v>11389</v>
      </c>
      <c r="JMX1" t="s">
        <v>11390</v>
      </c>
      <c r="JMY1" t="s">
        <v>11391</v>
      </c>
      <c r="JMZ1" t="s">
        <v>11392</v>
      </c>
      <c r="JNA1" t="s">
        <v>11393</v>
      </c>
      <c r="JNB1" t="s">
        <v>11394</v>
      </c>
      <c r="JNC1" t="s">
        <v>11395</v>
      </c>
      <c r="JND1" t="s">
        <v>11396</v>
      </c>
      <c r="JNE1" t="s">
        <v>11397</v>
      </c>
      <c r="JNF1" t="s">
        <v>11398</v>
      </c>
      <c r="JNG1" t="s">
        <v>11399</v>
      </c>
      <c r="JNH1" t="s">
        <v>11400</v>
      </c>
      <c r="JNI1" t="s">
        <v>11401</v>
      </c>
      <c r="JNJ1" t="s">
        <v>11402</v>
      </c>
      <c r="JNK1" t="s">
        <v>11403</v>
      </c>
      <c r="JNL1" t="s">
        <v>11404</v>
      </c>
      <c r="JNM1" t="s">
        <v>11405</v>
      </c>
      <c r="JNN1" t="s">
        <v>11406</v>
      </c>
      <c r="JNO1" t="s">
        <v>11407</v>
      </c>
      <c r="JNP1" t="s">
        <v>11408</v>
      </c>
      <c r="JNQ1" t="s">
        <v>11409</v>
      </c>
      <c r="JNR1" t="s">
        <v>11410</v>
      </c>
      <c r="JNS1" t="s">
        <v>11411</v>
      </c>
      <c r="JNT1" t="s">
        <v>11412</v>
      </c>
      <c r="JNU1" t="s">
        <v>11413</v>
      </c>
      <c r="JNV1" t="s">
        <v>11414</v>
      </c>
      <c r="JNW1" t="s">
        <v>11415</v>
      </c>
      <c r="JNX1" t="s">
        <v>11416</v>
      </c>
      <c r="JNY1" t="s">
        <v>11417</v>
      </c>
      <c r="JNZ1" t="s">
        <v>11418</v>
      </c>
      <c r="JOA1" t="s">
        <v>11419</v>
      </c>
      <c r="JOB1" t="s">
        <v>11420</v>
      </c>
      <c r="JOC1" t="s">
        <v>11421</v>
      </c>
      <c r="JOD1" t="s">
        <v>11422</v>
      </c>
      <c r="JOE1" t="s">
        <v>11423</v>
      </c>
      <c r="JOF1" t="s">
        <v>11424</v>
      </c>
      <c r="JOG1" t="s">
        <v>11425</v>
      </c>
      <c r="JOH1" t="s">
        <v>11426</v>
      </c>
      <c r="JOI1" t="s">
        <v>11427</v>
      </c>
      <c r="JOJ1" t="s">
        <v>11428</v>
      </c>
      <c r="JOK1" t="s">
        <v>11429</v>
      </c>
      <c r="JOL1" t="s">
        <v>11430</v>
      </c>
      <c r="JOM1" t="s">
        <v>11431</v>
      </c>
      <c r="JON1" t="s">
        <v>11432</v>
      </c>
      <c r="JOO1" t="s">
        <v>11433</v>
      </c>
      <c r="JOP1" t="s">
        <v>11434</v>
      </c>
      <c r="JOQ1" t="s">
        <v>11435</v>
      </c>
      <c r="JOR1" t="s">
        <v>11436</v>
      </c>
      <c r="JOS1" t="s">
        <v>11437</v>
      </c>
      <c r="JOT1" t="s">
        <v>11438</v>
      </c>
      <c r="JOU1" t="s">
        <v>11439</v>
      </c>
      <c r="JOV1" t="s">
        <v>11440</v>
      </c>
      <c r="JOW1" t="s">
        <v>11441</v>
      </c>
      <c r="JOX1" t="s">
        <v>11442</v>
      </c>
      <c r="JOY1" t="s">
        <v>11443</v>
      </c>
      <c r="JOZ1" t="s">
        <v>11444</v>
      </c>
      <c r="JPA1" t="s">
        <v>11445</v>
      </c>
      <c r="JPB1" t="s">
        <v>11446</v>
      </c>
      <c r="JPC1" t="s">
        <v>11447</v>
      </c>
      <c r="JPD1" t="s">
        <v>11448</v>
      </c>
      <c r="JPE1" t="s">
        <v>11449</v>
      </c>
      <c r="JPF1" t="s">
        <v>11450</v>
      </c>
      <c r="JPG1" t="s">
        <v>11451</v>
      </c>
      <c r="JPH1" t="s">
        <v>11452</v>
      </c>
      <c r="JPI1" t="s">
        <v>11453</v>
      </c>
      <c r="JPJ1" t="s">
        <v>11454</v>
      </c>
      <c r="JPK1" t="s">
        <v>11455</v>
      </c>
      <c r="JPL1" t="s">
        <v>11456</v>
      </c>
      <c r="JPM1" t="s">
        <v>11457</v>
      </c>
      <c r="JPN1" t="s">
        <v>11458</v>
      </c>
      <c r="JPO1" t="s">
        <v>11459</v>
      </c>
      <c r="JPP1" t="s">
        <v>11460</v>
      </c>
      <c r="JPQ1" t="s">
        <v>11461</v>
      </c>
      <c r="JPR1" t="s">
        <v>11462</v>
      </c>
      <c r="JPS1" t="s">
        <v>11463</v>
      </c>
      <c r="JPT1" t="s">
        <v>11464</v>
      </c>
      <c r="JPU1" t="s">
        <v>11465</v>
      </c>
      <c r="JPV1" t="s">
        <v>11466</v>
      </c>
      <c r="JPW1" t="s">
        <v>11467</v>
      </c>
      <c r="JPX1" t="s">
        <v>11468</v>
      </c>
      <c r="JPY1" t="s">
        <v>11469</v>
      </c>
      <c r="JPZ1" t="s">
        <v>11470</v>
      </c>
      <c r="JQA1" t="s">
        <v>11471</v>
      </c>
      <c r="JQB1" t="s">
        <v>11472</v>
      </c>
      <c r="JQC1" t="s">
        <v>11473</v>
      </c>
      <c r="JQD1" t="s">
        <v>11474</v>
      </c>
      <c r="JQE1" t="s">
        <v>11475</v>
      </c>
      <c r="JQF1" t="s">
        <v>11476</v>
      </c>
      <c r="JQG1" t="s">
        <v>11477</v>
      </c>
      <c r="JQH1" t="s">
        <v>11478</v>
      </c>
      <c r="JQI1" t="s">
        <v>11479</v>
      </c>
      <c r="JQJ1" t="s">
        <v>11480</v>
      </c>
      <c r="JQK1" t="s">
        <v>11481</v>
      </c>
      <c r="JQL1" t="s">
        <v>11482</v>
      </c>
      <c r="JQM1" t="s">
        <v>11483</v>
      </c>
      <c r="JQN1" t="s">
        <v>11484</v>
      </c>
      <c r="JQO1" t="s">
        <v>11485</v>
      </c>
      <c r="JQP1" t="s">
        <v>11486</v>
      </c>
      <c r="JQQ1" t="s">
        <v>11487</v>
      </c>
      <c r="JQR1" t="s">
        <v>11488</v>
      </c>
      <c r="JQS1" t="s">
        <v>11489</v>
      </c>
      <c r="JQT1" t="s">
        <v>11490</v>
      </c>
      <c r="JQU1" t="s">
        <v>11491</v>
      </c>
      <c r="JQV1" t="s">
        <v>11492</v>
      </c>
      <c r="JQW1" t="s">
        <v>11493</v>
      </c>
      <c r="JQX1" t="s">
        <v>11494</v>
      </c>
      <c r="JQY1" t="s">
        <v>11495</v>
      </c>
      <c r="JQZ1" t="s">
        <v>11496</v>
      </c>
      <c r="JRA1" t="s">
        <v>11497</v>
      </c>
      <c r="JRB1" t="s">
        <v>11498</v>
      </c>
      <c r="JRC1" t="s">
        <v>11499</v>
      </c>
      <c r="JRD1" t="s">
        <v>11500</v>
      </c>
      <c r="JRE1" t="s">
        <v>11501</v>
      </c>
      <c r="JRF1" t="s">
        <v>11502</v>
      </c>
      <c r="JRG1" t="s">
        <v>11503</v>
      </c>
      <c r="JRH1" t="s">
        <v>11504</v>
      </c>
      <c r="JRI1" t="s">
        <v>11505</v>
      </c>
      <c r="JRJ1" t="s">
        <v>11506</v>
      </c>
      <c r="JRK1" t="s">
        <v>11507</v>
      </c>
      <c r="JRL1" t="s">
        <v>11508</v>
      </c>
      <c r="JRM1" t="s">
        <v>11509</v>
      </c>
      <c r="JRN1" t="s">
        <v>11510</v>
      </c>
      <c r="JRO1" t="s">
        <v>11511</v>
      </c>
      <c r="JRP1" t="s">
        <v>11512</v>
      </c>
      <c r="JRQ1" t="s">
        <v>11513</v>
      </c>
      <c r="JRR1" t="s">
        <v>11514</v>
      </c>
      <c r="JRS1" t="s">
        <v>11515</v>
      </c>
      <c r="JRT1" t="s">
        <v>11516</v>
      </c>
      <c r="JRU1" t="s">
        <v>11517</v>
      </c>
      <c r="JRV1" t="s">
        <v>11518</v>
      </c>
      <c r="JRW1" t="s">
        <v>11519</v>
      </c>
      <c r="JRX1" t="s">
        <v>11520</v>
      </c>
      <c r="JRY1" t="s">
        <v>11521</v>
      </c>
      <c r="JRZ1" t="s">
        <v>11522</v>
      </c>
      <c r="JSA1" t="s">
        <v>11523</v>
      </c>
      <c r="JSB1" t="s">
        <v>11524</v>
      </c>
      <c r="JSC1" t="s">
        <v>11525</v>
      </c>
      <c r="JSD1" t="s">
        <v>11526</v>
      </c>
      <c r="JSE1" t="s">
        <v>11527</v>
      </c>
      <c r="JSF1" t="s">
        <v>11528</v>
      </c>
      <c r="JSG1" t="s">
        <v>11529</v>
      </c>
      <c r="JSH1" t="s">
        <v>11530</v>
      </c>
      <c r="JSI1" t="s">
        <v>11531</v>
      </c>
      <c r="JSJ1" t="s">
        <v>11532</v>
      </c>
      <c r="JSK1" t="s">
        <v>11533</v>
      </c>
      <c r="JSL1" t="s">
        <v>11534</v>
      </c>
      <c r="JSM1" t="s">
        <v>11535</v>
      </c>
      <c r="JSN1" t="s">
        <v>11536</v>
      </c>
      <c r="JSO1" t="s">
        <v>11537</v>
      </c>
      <c r="JSP1" t="s">
        <v>11538</v>
      </c>
      <c r="JSQ1" t="s">
        <v>11539</v>
      </c>
      <c r="JSR1" t="s">
        <v>11540</v>
      </c>
      <c r="JSS1" t="s">
        <v>11541</v>
      </c>
      <c r="JST1" t="s">
        <v>11542</v>
      </c>
      <c r="JSU1" t="s">
        <v>11543</v>
      </c>
      <c r="JSV1" t="s">
        <v>11544</v>
      </c>
      <c r="JSW1" t="s">
        <v>11545</v>
      </c>
      <c r="JSX1" t="s">
        <v>11546</v>
      </c>
      <c r="JSY1" t="s">
        <v>11547</v>
      </c>
      <c r="JSZ1" t="s">
        <v>11548</v>
      </c>
      <c r="JTA1" t="s">
        <v>11549</v>
      </c>
      <c r="JTB1" t="s">
        <v>11550</v>
      </c>
      <c r="JTC1" t="s">
        <v>11551</v>
      </c>
      <c r="JTD1" t="s">
        <v>11552</v>
      </c>
      <c r="JTE1" t="s">
        <v>11553</v>
      </c>
      <c r="JTF1" t="s">
        <v>11554</v>
      </c>
      <c r="JTG1" t="s">
        <v>11555</v>
      </c>
      <c r="JTH1" t="s">
        <v>11556</v>
      </c>
      <c r="JTI1" t="s">
        <v>11557</v>
      </c>
      <c r="JTJ1" t="s">
        <v>11558</v>
      </c>
      <c r="JTK1" t="s">
        <v>11559</v>
      </c>
      <c r="JTL1" t="s">
        <v>11560</v>
      </c>
      <c r="JTM1" t="s">
        <v>11561</v>
      </c>
      <c r="JTN1" t="s">
        <v>11562</v>
      </c>
      <c r="JTO1" t="s">
        <v>11563</v>
      </c>
      <c r="JTP1" t="s">
        <v>11564</v>
      </c>
      <c r="JTQ1" t="s">
        <v>11565</v>
      </c>
      <c r="JTR1" t="s">
        <v>11566</v>
      </c>
      <c r="JTS1" t="s">
        <v>11567</v>
      </c>
      <c r="JTT1" t="s">
        <v>11568</v>
      </c>
      <c r="JTU1" t="s">
        <v>11569</v>
      </c>
      <c r="JTV1" t="s">
        <v>11570</v>
      </c>
      <c r="JTW1" t="s">
        <v>11571</v>
      </c>
      <c r="JTX1" t="s">
        <v>11572</v>
      </c>
      <c r="JTY1" t="s">
        <v>11573</v>
      </c>
      <c r="JTZ1" t="s">
        <v>11574</v>
      </c>
      <c r="JUA1" t="s">
        <v>11575</v>
      </c>
      <c r="JUB1" t="s">
        <v>11576</v>
      </c>
      <c r="JUC1" t="s">
        <v>11577</v>
      </c>
      <c r="JUD1" t="s">
        <v>11578</v>
      </c>
      <c r="JUE1" t="s">
        <v>11579</v>
      </c>
      <c r="JUF1" t="s">
        <v>11580</v>
      </c>
      <c r="JUG1" t="s">
        <v>11581</v>
      </c>
      <c r="JUH1" t="s">
        <v>11582</v>
      </c>
      <c r="JUI1" t="s">
        <v>11583</v>
      </c>
      <c r="JUJ1" t="s">
        <v>11584</v>
      </c>
      <c r="JUK1" t="s">
        <v>11585</v>
      </c>
      <c r="JUL1" t="s">
        <v>11586</v>
      </c>
      <c r="JUM1" t="s">
        <v>11587</v>
      </c>
      <c r="JUN1" t="s">
        <v>11588</v>
      </c>
      <c r="JUO1" t="s">
        <v>11589</v>
      </c>
      <c r="JUP1" t="s">
        <v>11590</v>
      </c>
      <c r="JUQ1" t="s">
        <v>11591</v>
      </c>
      <c r="JUR1" t="s">
        <v>11592</v>
      </c>
      <c r="JUS1" t="s">
        <v>11593</v>
      </c>
      <c r="JUT1" t="s">
        <v>11594</v>
      </c>
      <c r="JUU1" t="s">
        <v>11595</v>
      </c>
      <c r="JUV1" t="s">
        <v>11596</v>
      </c>
      <c r="JUW1" t="s">
        <v>11597</v>
      </c>
      <c r="JUX1" t="s">
        <v>11598</v>
      </c>
      <c r="JUY1" t="s">
        <v>11599</v>
      </c>
      <c r="JUZ1" t="s">
        <v>11600</v>
      </c>
      <c r="JVA1" t="s">
        <v>11601</v>
      </c>
      <c r="JVB1" t="s">
        <v>11602</v>
      </c>
      <c r="JVC1" t="s">
        <v>11603</v>
      </c>
      <c r="JVD1" t="s">
        <v>11604</v>
      </c>
      <c r="JVE1" t="s">
        <v>11605</v>
      </c>
      <c r="JVF1" t="s">
        <v>11606</v>
      </c>
      <c r="JVG1" t="s">
        <v>11607</v>
      </c>
      <c r="JVH1" t="s">
        <v>11608</v>
      </c>
      <c r="JVI1" t="s">
        <v>11609</v>
      </c>
      <c r="JVJ1" t="s">
        <v>11610</v>
      </c>
      <c r="JVK1" t="s">
        <v>11611</v>
      </c>
      <c r="JVL1" t="s">
        <v>11612</v>
      </c>
      <c r="JVM1" t="s">
        <v>11613</v>
      </c>
      <c r="JVN1" t="s">
        <v>11614</v>
      </c>
      <c r="JVO1" t="s">
        <v>11615</v>
      </c>
      <c r="JVP1" t="s">
        <v>11616</v>
      </c>
      <c r="JVQ1" t="s">
        <v>11617</v>
      </c>
      <c r="JVR1" t="s">
        <v>11618</v>
      </c>
      <c r="JVS1" t="s">
        <v>11619</v>
      </c>
      <c r="JVT1" t="s">
        <v>11620</v>
      </c>
      <c r="JVU1" t="s">
        <v>11621</v>
      </c>
      <c r="JVV1" t="s">
        <v>11622</v>
      </c>
      <c r="JVW1" t="s">
        <v>11623</v>
      </c>
      <c r="JVX1" t="s">
        <v>11624</v>
      </c>
      <c r="JVY1" t="s">
        <v>11625</v>
      </c>
      <c r="JVZ1" t="s">
        <v>11626</v>
      </c>
      <c r="JWA1" t="s">
        <v>11627</v>
      </c>
      <c r="JWB1" t="s">
        <v>11628</v>
      </c>
      <c r="JWC1" t="s">
        <v>11629</v>
      </c>
      <c r="JWD1" t="s">
        <v>11630</v>
      </c>
      <c r="JWE1" t="s">
        <v>11631</v>
      </c>
      <c r="JWF1" t="s">
        <v>11632</v>
      </c>
      <c r="JWG1" t="s">
        <v>11633</v>
      </c>
      <c r="JWH1" t="s">
        <v>11634</v>
      </c>
      <c r="JWI1" t="s">
        <v>11635</v>
      </c>
      <c r="JWJ1" t="s">
        <v>11636</v>
      </c>
      <c r="JWK1" t="s">
        <v>11637</v>
      </c>
      <c r="JWL1" t="s">
        <v>11638</v>
      </c>
      <c r="JWM1" t="s">
        <v>11639</v>
      </c>
      <c r="JWN1" t="s">
        <v>11640</v>
      </c>
      <c r="JWO1" t="s">
        <v>11641</v>
      </c>
      <c r="JWP1" t="s">
        <v>11642</v>
      </c>
      <c r="JWQ1" t="s">
        <v>11643</v>
      </c>
      <c r="JWR1" t="s">
        <v>11644</v>
      </c>
      <c r="JWS1" t="s">
        <v>11645</v>
      </c>
      <c r="JWT1" t="s">
        <v>11646</v>
      </c>
      <c r="JWU1" t="s">
        <v>11647</v>
      </c>
      <c r="JWV1" t="s">
        <v>11648</v>
      </c>
      <c r="JWW1" t="s">
        <v>11649</v>
      </c>
      <c r="JWX1" t="s">
        <v>11650</v>
      </c>
      <c r="JWY1" t="s">
        <v>11651</v>
      </c>
      <c r="JWZ1" t="s">
        <v>11652</v>
      </c>
      <c r="JXA1" t="s">
        <v>11653</v>
      </c>
      <c r="JXB1" t="s">
        <v>11654</v>
      </c>
      <c r="JXC1" t="s">
        <v>11655</v>
      </c>
      <c r="JXD1" t="s">
        <v>11656</v>
      </c>
      <c r="JXE1" t="s">
        <v>11657</v>
      </c>
      <c r="JXF1" t="s">
        <v>11658</v>
      </c>
      <c r="JXG1" t="s">
        <v>11659</v>
      </c>
      <c r="JXH1" t="s">
        <v>11660</v>
      </c>
      <c r="JXI1" t="s">
        <v>11661</v>
      </c>
      <c r="JXJ1" t="s">
        <v>11662</v>
      </c>
      <c r="JXK1" t="s">
        <v>11663</v>
      </c>
      <c r="JXL1" t="s">
        <v>11664</v>
      </c>
      <c r="JXM1" t="s">
        <v>11665</v>
      </c>
      <c r="JXN1" t="s">
        <v>11666</v>
      </c>
      <c r="JXO1" t="s">
        <v>11667</v>
      </c>
      <c r="JXP1" t="s">
        <v>11668</v>
      </c>
      <c r="JXQ1" t="s">
        <v>11669</v>
      </c>
      <c r="JXR1" t="s">
        <v>11670</v>
      </c>
      <c r="JXS1" t="s">
        <v>11671</v>
      </c>
      <c r="JXT1" t="s">
        <v>11672</v>
      </c>
      <c r="JXU1" t="s">
        <v>11673</v>
      </c>
      <c r="JXV1" t="s">
        <v>11674</v>
      </c>
      <c r="JXW1" t="s">
        <v>11675</v>
      </c>
      <c r="JXX1" t="s">
        <v>11676</v>
      </c>
      <c r="JXY1" t="s">
        <v>11677</v>
      </c>
      <c r="JXZ1" t="s">
        <v>11678</v>
      </c>
      <c r="JYA1" t="s">
        <v>11679</v>
      </c>
      <c r="JYB1" t="s">
        <v>11680</v>
      </c>
      <c r="JYC1" t="s">
        <v>11681</v>
      </c>
      <c r="JYD1" t="s">
        <v>11682</v>
      </c>
      <c r="JYE1" t="s">
        <v>11683</v>
      </c>
      <c r="JYF1" t="s">
        <v>11684</v>
      </c>
      <c r="JYG1" t="s">
        <v>11685</v>
      </c>
      <c r="JYH1" t="s">
        <v>11686</v>
      </c>
      <c r="JYI1" t="s">
        <v>11687</v>
      </c>
      <c r="JYJ1" t="s">
        <v>11688</v>
      </c>
      <c r="JYK1" t="s">
        <v>11689</v>
      </c>
      <c r="JYL1" t="s">
        <v>11690</v>
      </c>
      <c r="JYM1" t="s">
        <v>11691</v>
      </c>
      <c r="JYN1" t="s">
        <v>11692</v>
      </c>
      <c r="JYO1" t="s">
        <v>11693</v>
      </c>
      <c r="JYP1" t="s">
        <v>11694</v>
      </c>
      <c r="JYQ1" t="s">
        <v>11695</v>
      </c>
      <c r="JYR1" t="s">
        <v>11696</v>
      </c>
      <c r="JYS1" t="s">
        <v>11697</v>
      </c>
      <c r="JYT1" t="s">
        <v>11698</v>
      </c>
      <c r="JYU1" t="s">
        <v>11699</v>
      </c>
      <c r="JYV1" t="s">
        <v>11700</v>
      </c>
      <c r="JYW1" t="s">
        <v>11701</v>
      </c>
      <c r="JYX1" t="s">
        <v>11702</v>
      </c>
      <c r="JYY1" t="s">
        <v>11703</v>
      </c>
      <c r="JYZ1" t="s">
        <v>11704</v>
      </c>
      <c r="JZA1" t="s">
        <v>11705</v>
      </c>
      <c r="JZB1" t="s">
        <v>11706</v>
      </c>
      <c r="JZC1" t="s">
        <v>11707</v>
      </c>
      <c r="JZD1" t="s">
        <v>11708</v>
      </c>
      <c r="JZE1" t="s">
        <v>11709</v>
      </c>
      <c r="JZF1" t="s">
        <v>11710</v>
      </c>
      <c r="JZG1" t="s">
        <v>11711</v>
      </c>
      <c r="JZH1" t="s">
        <v>11712</v>
      </c>
      <c r="JZI1" t="s">
        <v>11713</v>
      </c>
      <c r="JZJ1" t="s">
        <v>11714</v>
      </c>
      <c r="JZK1" t="s">
        <v>11715</v>
      </c>
      <c r="JZL1" t="s">
        <v>11716</v>
      </c>
      <c r="JZM1" t="s">
        <v>11717</v>
      </c>
      <c r="JZN1" t="s">
        <v>11718</v>
      </c>
      <c r="JZO1" t="s">
        <v>11719</v>
      </c>
      <c r="JZP1" t="s">
        <v>11720</v>
      </c>
      <c r="JZQ1" t="s">
        <v>11721</v>
      </c>
      <c r="JZR1" t="s">
        <v>11722</v>
      </c>
      <c r="JZS1" t="s">
        <v>11723</v>
      </c>
      <c r="JZT1" t="s">
        <v>11724</v>
      </c>
      <c r="JZU1" t="s">
        <v>11725</v>
      </c>
      <c r="JZV1" t="s">
        <v>11726</v>
      </c>
      <c r="JZW1" t="s">
        <v>11727</v>
      </c>
      <c r="JZX1" t="s">
        <v>11728</v>
      </c>
      <c r="JZY1" t="s">
        <v>11729</v>
      </c>
      <c r="JZZ1" t="s">
        <v>11730</v>
      </c>
      <c r="KAA1" t="s">
        <v>11731</v>
      </c>
      <c r="KAB1" t="s">
        <v>11732</v>
      </c>
      <c r="KAC1" t="s">
        <v>11733</v>
      </c>
      <c r="KAD1" t="s">
        <v>11734</v>
      </c>
      <c r="KAE1" t="s">
        <v>11735</v>
      </c>
      <c r="KAF1" t="s">
        <v>11736</v>
      </c>
      <c r="KAG1" t="s">
        <v>11737</v>
      </c>
      <c r="KAH1" t="s">
        <v>11738</v>
      </c>
      <c r="KAI1" t="s">
        <v>11739</v>
      </c>
      <c r="KAJ1" t="s">
        <v>11740</v>
      </c>
      <c r="KAK1" t="s">
        <v>11741</v>
      </c>
      <c r="KAL1" t="s">
        <v>11742</v>
      </c>
      <c r="KAM1" t="s">
        <v>11743</v>
      </c>
      <c r="KAN1" t="s">
        <v>11744</v>
      </c>
      <c r="KAO1" t="s">
        <v>11745</v>
      </c>
      <c r="KAP1" t="s">
        <v>11746</v>
      </c>
      <c r="KAQ1" t="s">
        <v>11747</v>
      </c>
      <c r="KAR1" t="s">
        <v>11748</v>
      </c>
      <c r="KAS1" t="s">
        <v>11749</v>
      </c>
      <c r="KAT1" t="s">
        <v>11750</v>
      </c>
      <c r="KAU1" t="s">
        <v>11751</v>
      </c>
      <c r="KAV1" t="s">
        <v>11752</v>
      </c>
      <c r="KAW1" t="s">
        <v>11753</v>
      </c>
      <c r="KAX1" t="s">
        <v>11754</v>
      </c>
      <c r="KAY1" t="s">
        <v>11755</v>
      </c>
      <c r="KAZ1" t="s">
        <v>11756</v>
      </c>
      <c r="KBA1" t="s">
        <v>11757</v>
      </c>
      <c r="KBB1" t="s">
        <v>11758</v>
      </c>
      <c r="KBC1" t="s">
        <v>11759</v>
      </c>
      <c r="KBD1" t="s">
        <v>11760</v>
      </c>
      <c r="KBE1" t="s">
        <v>11761</v>
      </c>
      <c r="KBF1" t="s">
        <v>11762</v>
      </c>
      <c r="KBG1" t="s">
        <v>11763</v>
      </c>
      <c r="KBH1" t="s">
        <v>11764</v>
      </c>
      <c r="KBI1" t="s">
        <v>11765</v>
      </c>
      <c r="KBJ1" t="s">
        <v>11766</v>
      </c>
      <c r="KBK1" t="s">
        <v>11767</v>
      </c>
      <c r="KBL1" t="s">
        <v>11768</v>
      </c>
      <c r="KBM1" t="s">
        <v>11769</v>
      </c>
      <c r="KBN1" t="s">
        <v>11770</v>
      </c>
      <c r="KBO1" t="s">
        <v>11771</v>
      </c>
      <c r="KBP1" t="s">
        <v>11772</v>
      </c>
      <c r="KBQ1" t="s">
        <v>11773</v>
      </c>
      <c r="KBR1" t="s">
        <v>11774</v>
      </c>
      <c r="KBS1" t="s">
        <v>11775</v>
      </c>
      <c r="KBT1" t="s">
        <v>11776</v>
      </c>
      <c r="KBU1" t="s">
        <v>11777</v>
      </c>
      <c r="KBV1" t="s">
        <v>11778</v>
      </c>
      <c r="KBW1" t="s">
        <v>11779</v>
      </c>
      <c r="KBX1" t="s">
        <v>11780</v>
      </c>
      <c r="KBY1" t="s">
        <v>11781</v>
      </c>
      <c r="KBZ1" t="s">
        <v>11782</v>
      </c>
      <c r="KCA1" t="s">
        <v>11783</v>
      </c>
      <c r="KCB1" t="s">
        <v>11784</v>
      </c>
      <c r="KCC1" t="s">
        <v>11785</v>
      </c>
      <c r="KCD1" t="s">
        <v>11786</v>
      </c>
      <c r="KCE1" t="s">
        <v>11787</v>
      </c>
      <c r="KCF1" t="s">
        <v>11788</v>
      </c>
      <c r="KCG1" t="s">
        <v>11789</v>
      </c>
      <c r="KCH1" t="s">
        <v>11790</v>
      </c>
      <c r="KCI1" t="s">
        <v>11791</v>
      </c>
      <c r="KCJ1" t="s">
        <v>11792</v>
      </c>
      <c r="KCK1" t="s">
        <v>11793</v>
      </c>
      <c r="KCL1" t="s">
        <v>11794</v>
      </c>
      <c r="KCM1" t="s">
        <v>11795</v>
      </c>
      <c r="KCN1" t="s">
        <v>11796</v>
      </c>
      <c r="KCO1" t="s">
        <v>11797</v>
      </c>
      <c r="KCP1" t="s">
        <v>11798</v>
      </c>
      <c r="KCQ1" t="s">
        <v>11799</v>
      </c>
      <c r="KCR1" t="s">
        <v>11800</v>
      </c>
      <c r="KCS1" t="s">
        <v>11801</v>
      </c>
      <c r="KCT1" t="s">
        <v>11802</v>
      </c>
      <c r="KCU1" t="s">
        <v>11803</v>
      </c>
      <c r="KCV1" t="s">
        <v>11804</v>
      </c>
      <c r="KCW1" t="s">
        <v>11805</v>
      </c>
      <c r="KCX1" t="s">
        <v>11806</v>
      </c>
      <c r="KCY1" t="s">
        <v>11807</v>
      </c>
      <c r="KCZ1" t="s">
        <v>11808</v>
      </c>
      <c r="KDA1" t="s">
        <v>11809</v>
      </c>
      <c r="KDB1" t="s">
        <v>11810</v>
      </c>
      <c r="KDC1" t="s">
        <v>11811</v>
      </c>
      <c r="KDD1" t="s">
        <v>11812</v>
      </c>
      <c r="KDE1" t="s">
        <v>11813</v>
      </c>
      <c r="KDF1" t="s">
        <v>11814</v>
      </c>
      <c r="KDG1" t="s">
        <v>11815</v>
      </c>
      <c r="KDH1" t="s">
        <v>11816</v>
      </c>
      <c r="KDI1" t="s">
        <v>11817</v>
      </c>
      <c r="KDJ1" t="s">
        <v>11818</v>
      </c>
      <c r="KDK1" t="s">
        <v>11819</v>
      </c>
      <c r="KDL1" t="s">
        <v>11820</v>
      </c>
      <c r="KDM1" t="s">
        <v>11821</v>
      </c>
      <c r="KDN1" t="s">
        <v>11822</v>
      </c>
      <c r="KDO1" t="s">
        <v>11823</v>
      </c>
      <c r="KDP1" t="s">
        <v>11824</v>
      </c>
      <c r="KDQ1" t="s">
        <v>11825</v>
      </c>
      <c r="KDR1" t="s">
        <v>11826</v>
      </c>
      <c r="KDS1" t="s">
        <v>11827</v>
      </c>
      <c r="KDT1" t="s">
        <v>11828</v>
      </c>
      <c r="KDU1" t="s">
        <v>11829</v>
      </c>
      <c r="KDV1" t="s">
        <v>11830</v>
      </c>
      <c r="KDW1" t="s">
        <v>11831</v>
      </c>
      <c r="KDX1" t="s">
        <v>11832</v>
      </c>
      <c r="KDY1" t="s">
        <v>11833</v>
      </c>
      <c r="KDZ1" t="s">
        <v>11834</v>
      </c>
      <c r="KEA1" t="s">
        <v>11835</v>
      </c>
      <c r="KEB1" t="s">
        <v>11836</v>
      </c>
      <c r="KEC1" t="s">
        <v>11837</v>
      </c>
      <c r="KED1" t="s">
        <v>11838</v>
      </c>
      <c r="KEE1" t="s">
        <v>11839</v>
      </c>
      <c r="KEF1" t="s">
        <v>11840</v>
      </c>
      <c r="KEG1" t="s">
        <v>11841</v>
      </c>
      <c r="KEH1" t="s">
        <v>11842</v>
      </c>
      <c r="KEI1" t="s">
        <v>11843</v>
      </c>
      <c r="KEJ1" t="s">
        <v>11844</v>
      </c>
      <c r="KEK1" t="s">
        <v>11845</v>
      </c>
      <c r="KEL1" t="s">
        <v>11846</v>
      </c>
      <c r="KEM1" t="s">
        <v>11847</v>
      </c>
      <c r="KEN1" t="s">
        <v>11848</v>
      </c>
      <c r="KEO1" t="s">
        <v>11849</v>
      </c>
      <c r="KEP1" t="s">
        <v>11850</v>
      </c>
      <c r="KEQ1" t="s">
        <v>11851</v>
      </c>
      <c r="KER1" t="s">
        <v>11852</v>
      </c>
      <c r="KES1" t="s">
        <v>11853</v>
      </c>
      <c r="KET1" t="s">
        <v>11854</v>
      </c>
      <c r="KEU1" t="s">
        <v>11855</v>
      </c>
      <c r="KEV1" t="s">
        <v>11856</v>
      </c>
      <c r="KEW1" t="s">
        <v>11857</v>
      </c>
      <c r="KEX1" t="s">
        <v>11858</v>
      </c>
      <c r="KEY1" t="s">
        <v>11859</v>
      </c>
      <c r="KEZ1" t="s">
        <v>11860</v>
      </c>
      <c r="KFA1" t="s">
        <v>11861</v>
      </c>
      <c r="KFB1" t="s">
        <v>11862</v>
      </c>
      <c r="KFC1" t="s">
        <v>11863</v>
      </c>
      <c r="KFD1" t="s">
        <v>11864</v>
      </c>
      <c r="KFE1" t="s">
        <v>11865</v>
      </c>
      <c r="KFF1" t="s">
        <v>11866</v>
      </c>
      <c r="KFG1" t="s">
        <v>11867</v>
      </c>
      <c r="KFH1" t="s">
        <v>11868</v>
      </c>
      <c r="KFI1" t="s">
        <v>11869</v>
      </c>
      <c r="KFJ1" t="s">
        <v>11870</v>
      </c>
      <c r="KFK1" t="s">
        <v>11871</v>
      </c>
      <c r="KFL1" t="s">
        <v>11872</v>
      </c>
      <c r="KFM1" t="s">
        <v>11873</v>
      </c>
      <c r="KFN1" t="s">
        <v>11874</v>
      </c>
      <c r="KFO1" t="s">
        <v>11875</v>
      </c>
      <c r="KFP1" t="s">
        <v>11876</v>
      </c>
      <c r="KFQ1" t="s">
        <v>11877</v>
      </c>
      <c r="KFR1" t="s">
        <v>11878</v>
      </c>
      <c r="KFS1" t="s">
        <v>11879</v>
      </c>
      <c r="KFT1" t="s">
        <v>11880</v>
      </c>
      <c r="KFU1" t="s">
        <v>11881</v>
      </c>
      <c r="KFV1" t="s">
        <v>11882</v>
      </c>
      <c r="KFW1" t="s">
        <v>11883</v>
      </c>
      <c r="KFX1" t="s">
        <v>11884</v>
      </c>
      <c r="KFY1" t="s">
        <v>11885</v>
      </c>
      <c r="KFZ1" t="s">
        <v>11886</v>
      </c>
      <c r="KGA1" t="s">
        <v>11887</v>
      </c>
      <c r="KGB1" t="s">
        <v>11888</v>
      </c>
      <c r="KGC1" t="s">
        <v>11889</v>
      </c>
      <c r="KGD1" t="s">
        <v>11890</v>
      </c>
      <c r="KGE1" t="s">
        <v>11891</v>
      </c>
      <c r="KGF1" t="s">
        <v>11892</v>
      </c>
      <c r="KGG1" t="s">
        <v>11893</v>
      </c>
      <c r="KGH1" t="s">
        <v>11894</v>
      </c>
      <c r="KGI1" t="s">
        <v>11895</v>
      </c>
      <c r="KGJ1" t="s">
        <v>11896</v>
      </c>
      <c r="KGK1" t="s">
        <v>11897</v>
      </c>
      <c r="KGL1" t="s">
        <v>11898</v>
      </c>
      <c r="KGM1" t="s">
        <v>11899</v>
      </c>
      <c r="KGN1" t="s">
        <v>11900</v>
      </c>
      <c r="KGO1" t="s">
        <v>11901</v>
      </c>
      <c r="KGP1" t="s">
        <v>11902</v>
      </c>
      <c r="KGQ1" t="s">
        <v>11903</v>
      </c>
      <c r="KGR1" t="s">
        <v>11904</v>
      </c>
      <c r="KGS1" t="s">
        <v>11905</v>
      </c>
      <c r="KGT1" t="s">
        <v>11906</v>
      </c>
      <c r="KGU1" t="s">
        <v>11907</v>
      </c>
      <c r="KGV1" t="s">
        <v>11908</v>
      </c>
      <c r="KGW1" t="s">
        <v>11909</v>
      </c>
      <c r="KGX1" t="s">
        <v>11910</v>
      </c>
      <c r="KGY1" t="s">
        <v>11911</v>
      </c>
      <c r="KGZ1" t="s">
        <v>11912</v>
      </c>
      <c r="KHA1" t="s">
        <v>11913</v>
      </c>
      <c r="KHB1" t="s">
        <v>11914</v>
      </c>
      <c r="KHC1" t="s">
        <v>11915</v>
      </c>
      <c r="KHD1" t="s">
        <v>11916</v>
      </c>
      <c r="KHE1" t="s">
        <v>11917</v>
      </c>
      <c r="KHF1" t="s">
        <v>11918</v>
      </c>
      <c r="KHG1" t="s">
        <v>11919</v>
      </c>
      <c r="KHH1" t="s">
        <v>11920</v>
      </c>
      <c r="KHI1" t="s">
        <v>11921</v>
      </c>
      <c r="KHJ1" t="s">
        <v>11922</v>
      </c>
      <c r="KHK1" t="s">
        <v>11923</v>
      </c>
      <c r="KHL1" t="s">
        <v>11924</v>
      </c>
      <c r="KHM1" t="s">
        <v>11925</v>
      </c>
      <c r="KHN1" t="s">
        <v>11926</v>
      </c>
      <c r="KHO1" t="s">
        <v>11927</v>
      </c>
      <c r="KHP1" t="s">
        <v>11928</v>
      </c>
      <c r="KHQ1" t="s">
        <v>11929</v>
      </c>
      <c r="KHR1" t="s">
        <v>11930</v>
      </c>
      <c r="KHS1" t="s">
        <v>11931</v>
      </c>
      <c r="KHT1" t="s">
        <v>11932</v>
      </c>
      <c r="KHU1" t="s">
        <v>11933</v>
      </c>
      <c r="KHV1" t="s">
        <v>11934</v>
      </c>
      <c r="KHW1" t="s">
        <v>11935</v>
      </c>
      <c r="KHX1" t="s">
        <v>11936</v>
      </c>
      <c r="KHY1" t="s">
        <v>11937</v>
      </c>
      <c r="KHZ1" t="s">
        <v>11938</v>
      </c>
      <c r="KIA1" t="s">
        <v>11939</v>
      </c>
      <c r="KIB1" t="s">
        <v>11940</v>
      </c>
      <c r="KIC1" t="s">
        <v>11941</v>
      </c>
      <c r="KID1" t="s">
        <v>11942</v>
      </c>
      <c r="KIE1" t="s">
        <v>11943</v>
      </c>
      <c r="KIF1" t="s">
        <v>11944</v>
      </c>
      <c r="KIG1" t="s">
        <v>11945</v>
      </c>
      <c r="KIH1" t="s">
        <v>11946</v>
      </c>
      <c r="KII1" t="s">
        <v>11947</v>
      </c>
      <c r="KIJ1" t="s">
        <v>11948</v>
      </c>
      <c r="KIK1" t="s">
        <v>11949</v>
      </c>
      <c r="KIL1" t="s">
        <v>11950</v>
      </c>
      <c r="KIM1" t="s">
        <v>11951</v>
      </c>
      <c r="KIN1" t="s">
        <v>11952</v>
      </c>
      <c r="KIO1" t="s">
        <v>11953</v>
      </c>
      <c r="KIP1" t="s">
        <v>11954</v>
      </c>
      <c r="KIQ1" t="s">
        <v>11955</v>
      </c>
      <c r="KIR1" t="s">
        <v>11956</v>
      </c>
      <c r="KIS1" t="s">
        <v>11957</v>
      </c>
      <c r="KIT1" t="s">
        <v>11958</v>
      </c>
      <c r="KIU1" t="s">
        <v>11959</v>
      </c>
      <c r="KIV1" t="s">
        <v>11960</v>
      </c>
      <c r="KIW1" t="s">
        <v>11961</v>
      </c>
      <c r="KIX1" t="s">
        <v>11962</v>
      </c>
      <c r="KIY1" t="s">
        <v>11963</v>
      </c>
      <c r="KIZ1" t="s">
        <v>11964</v>
      </c>
      <c r="KJA1" t="s">
        <v>11965</v>
      </c>
      <c r="KJB1" t="s">
        <v>11966</v>
      </c>
      <c r="KJC1" t="s">
        <v>11967</v>
      </c>
      <c r="KJD1" t="s">
        <v>11968</v>
      </c>
      <c r="KJE1" t="s">
        <v>11969</v>
      </c>
      <c r="KJF1" t="s">
        <v>11970</v>
      </c>
      <c r="KJG1" t="s">
        <v>11971</v>
      </c>
      <c r="KJH1" t="s">
        <v>11972</v>
      </c>
      <c r="KJI1" t="s">
        <v>11973</v>
      </c>
      <c r="KJJ1" t="s">
        <v>11974</v>
      </c>
      <c r="KJK1" t="s">
        <v>11975</v>
      </c>
      <c r="KJL1" t="s">
        <v>11976</v>
      </c>
      <c r="KJM1" t="s">
        <v>11977</v>
      </c>
      <c r="KJN1" t="s">
        <v>11978</v>
      </c>
      <c r="KJO1" t="s">
        <v>11979</v>
      </c>
      <c r="KJP1" t="s">
        <v>11980</v>
      </c>
      <c r="KJQ1" t="s">
        <v>11981</v>
      </c>
      <c r="KJR1" t="s">
        <v>11982</v>
      </c>
      <c r="KJS1" t="s">
        <v>11983</v>
      </c>
      <c r="KJT1" t="s">
        <v>11984</v>
      </c>
      <c r="KJU1" t="s">
        <v>11985</v>
      </c>
      <c r="KJV1" t="s">
        <v>11986</v>
      </c>
      <c r="KJW1" t="s">
        <v>11987</v>
      </c>
      <c r="KJX1" t="s">
        <v>11988</v>
      </c>
      <c r="KJY1" t="s">
        <v>11989</v>
      </c>
      <c r="KJZ1" t="s">
        <v>11990</v>
      </c>
      <c r="KKA1" t="s">
        <v>11991</v>
      </c>
      <c r="KKB1" t="s">
        <v>11992</v>
      </c>
      <c r="KKC1" t="s">
        <v>11993</v>
      </c>
      <c r="KKD1" t="s">
        <v>11994</v>
      </c>
      <c r="KKE1" t="s">
        <v>11995</v>
      </c>
      <c r="KKF1" t="s">
        <v>11996</v>
      </c>
      <c r="KKG1" t="s">
        <v>11997</v>
      </c>
      <c r="KKH1" t="s">
        <v>11998</v>
      </c>
      <c r="KKI1" t="s">
        <v>11999</v>
      </c>
      <c r="KKJ1" t="s">
        <v>12000</v>
      </c>
      <c r="KKK1" t="s">
        <v>12001</v>
      </c>
      <c r="KKL1" t="s">
        <v>12002</v>
      </c>
      <c r="KKM1" t="s">
        <v>12003</v>
      </c>
      <c r="KKN1" t="s">
        <v>12004</v>
      </c>
      <c r="KKO1" t="s">
        <v>12005</v>
      </c>
      <c r="KKP1" t="s">
        <v>12006</v>
      </c>
      <c r="KKQ1" t="s">
        <v>12007</v>
      </c>
      <c r="KKR1" t="s">
        <v>12008</v>
      </c>
      <c r="KKS1" t="s">
        <v>12009</v>
      </c>
      <c r="KKT1" t="s">
        <v>12010</v>
      </c>
      <c r="KKU1" t="s">
        <v>12011</v>
      </c>
      <c r="KKV1" t="s">
        <v>12012</v>
      </c>
      <c r="KKW1" t="s">
        <v>12013</v>
      </c>
      <c r="KKX1" t="s">
        <v>12014</v>
      </c>
      <c r="KKY1" t="s">
        <v>12015</v>
      </c>
      <c r="KKZ1" t="s">
        <v>12016</v>
      </c>
      <c r="KLA1" t="s">
        <v>12017</v>
      </c>
      <c r="KLB1" t="s">
        <v>12018</v>
      </c>
      <c r="KLC1" t="s">
        <v>12019</v>
      </c>
      <c r="KLD1" t="s">
        <v>12020</v>
      </c>
      <c r="KLE1" t="s">
        <v>12021</v>
      </c>
      <c r="KLF1" t="s">
        <v>12022</v>
      </c>
      <c r="KLG1" t="s">
        <v>12023</v>
      </c>
      <c r="KLH1" t="s">
        <v>12024</v>
      </c>
      <c r="KLI1" t="s">
        <v>12025</v>
      </c>
      <c r="KLJ1" t="s">
        <v>12026</v>
      </c>
      <c r="KLK1" t="s">
        <v>12027</v>
      </c>
      <c r="KLL1" t="s">
        <v>12028</v>
      </c>
      <c r="KLM1" t="s">
        <v>12029</v>
      </c>
      <c r="KLN1" t="s">
        <v>12030</v>
      </c>
      <c r="KLO1" t="s">
        <v>12031</v>
      </c>
      <c r="KLP1" t="s">
        <v>12032</v>
      </c>
      <c r="KLQ1" t="s">
        <v>12033</v>
      </c>
      <c r="KLR1" t="s">
        <v>12034</v>
      </c>
      <c r="KLS1" t="s">
        <v>12035</v>
      </c>
      <c r="KLT1" t="s">
        <v>12036</v>
      </c>
      <c r="KLU1" t="s">
        <v>12037</v>
      </c>
      <c r="KLV1" t="s">
        <v>12038</v>
      </c>
      <c r="KLW1" t="s">
        <v>12039</v>
      </c>
      <c r="KLX1" t="s">
        <v>12040</v>
      </c>
      <c r="KLY1" t="s">
        <v>12041</v>
      </c>
      <c r="KLZ1" t="s">
        <v>12042</v>
      </c>
      <c r="KMA1" t="s">
        <v>12043</v>
      </c>
      <c r="KMB1" t="s">
        <v>12044</v>
      </c>
      <c r="KMC1" t="s">
        <v>12045</v>
      </c>
      <c r="KMD1" t="s">
        <v>12046</v>
      </c>
      <c r="KME1" t="s">
        <v>12047</v>
      </c>
      <c r="KMF1" t="s">
        <v>12048</v>
      </c>
      <c r="KMG1" t="s">
        <v>12049</v>
      </c>
      <c r="KMH1" t="s">
        <v>12050</v>
      </c>
      <c r="KMI1" t="s">
        <v>12051</v>
      </c>
      <c r="KMJ1" t="s">
        <v>12052</v>
      </c>
      <c r="KMK1" t="s">
        <v>12053</v>
      </c>
      <c r="KML1" t="s">
        <v>12054</v>
      </c>
      <c r="KMM1" t="s">
        <v>12055</v>
      </c>
      <c r="KMN1" t="s">
        <v>12056</v>
      </c>
      <c r="KMO1" t="s">
        <v>12057</v>
      </c>
      <c r="KMP1" t="s">
        <v>12058</v>
      </c>
      <c r="KMQ1" t="s">
        <v>12059</v>
      </c>
      <c r="KMR1" t="s">
        <v>12060</v>
      </c>
      <c r="KMS1" t="s">
        <v>12061</v>
      </c>
      <c r="KMT1" t="s">
        <v>12062</v>
      </c>
      <c r="KMU1" t="s">
        <v>12063</v>
      </c>
      <c r="KMV1" t="s">
        <v>12064</v>
      </c>
      <c r="KMW1" t="s">
        <v>12065</v>
      </c>
      <c r="KMX1" t="s">
        <v>12066</v>
      </c>
      <c r="KMY1" t="s">
        <v>12067</v>
      </c>
      <c r="KMZ1" t="s">
        <v>12068</v>
      </c>
      <c r="KNA1" t="s">
        <v>12069</v>
      </c>
      <c r="KNB1" t="s">
        <v>12070</v>
      </c>
      <c r="KNC1" t="s">
        <v>12071</v>
      </c>
      <c r="KND1" t="s">
        <v>12072</v>
      </c>
      <c r="KNE1" t="s">
        <v>12073</v>
      </c>
      <c r="KNF1" t="s">
        <v>12074</v>
      </c>
      <c r="KNG1" t="s">
        <v>12075</v>
      </c>
      <c r="KNH1" t="s">
        <v>12076</v>
      </c>
      <c r="KNI1" t="s">
        <v>12077</v>
      </c>
      <c r="KNJ1" t="s">
        <v>12078</v>
      </c>
      <c r="KNK1" t="s">
        <v>12079</v>
      </c>
      <c r="KNL1" t="s">
        <v>12080</v>
      </c>
      <c r="KNM1" t="s">
        <v>12081</v>
      </c>
      <c r="KNN1" t="s">
        <v>12082</v>
      </c>
      <c r="KNO1" t="s">
        <v>12083</v>
      </c>
      <c r="KNP1" t="s">
        <v>12084</v>
      </c>
      <c r="KNQ1" t="s">
        <v>12085</v>
      </c>
      <c r="KNR1" t="s">
        <v>12086</v>
      </c>
      <c r="KNS1" t="s">
        <v>12087</v>
      </c>
      <c r="KNT1" t="s">
        <v>12088</v>
      </c>
      <c r="KNU1" t="s">
        <v>12089</v>
      </c>
      <c r="KNV1" t="s">
        <v>12090</v>
      </c>
      <c r="KNW1" t="s">
        <v>12091</v>
      </c>
      <c r="KNX1" t="s">
        <v>12092</v>
      </c>
      <c r="KNY1" t="s">
        <v>12093</v>
      </c>
      <c r="KNZ1" t="s">
        <v>12094</v>
      </c>
      <c r="KOA1" t="s">
        <v>12095</v>
      </c>
      <c r="KOB1" t="s">
        <v>12096</v>
      </c>
      <c r="KOC1" t="s">
        <v>12097</v>
      </c>
      <c r="KOD1" t="s">
        <v>12098</v>
      </c>
      <c r="KOE1" t="s">
        <v>12099</v>
      </c>
      <c r="KOF1" t="s">
        <v>12100</v>
      </c>
      <c r="KOG1" t="s">
        <v>12101</v>
      </c>
      <c r="KOH1" t="s">
        <v>12102</v>
      </c>
      <c r="KOI1" t="s">
        <v>12103</v>
      </c>
      <c r="KOJ1" t="s">
        <v>12104</v>
      </c>
      <c r="KOK1" t="s">
        <v>12105</v>
      </c>
      <c r="KOL1" t="s">
        <v>12106</v>
      </c>
      <c r="KOM1" t="s">
        <v>12107</v>
      </c>
      <c r="KON1" t="s">
        <v>12108</v>
      </c>
      <c r="KOO1" t="s">
        <v>12109</v>
      </c>
      <c r="KOP1" t="s">
        <v>12110</v>
      </c>
      <c r="KOQ1" t="s">
        <v>12111</v>
      </c>
      <c r="KOR1" t="s">
        <v>12112</v>
      </c>
      <c r="KOS1" t="s">
        <v>12113</v>
      </c>
      <c r="KOT1" t="s">
        <v>12114</v>
      </c>
      <c r="KOU1" t="s">
        <v>12115</v>
      </c>
      <c r="KOV1" t="s">
        <v>12116</v>
      </c>
      <c r="KOW1" t="s">
        <v>12117</v>
      </c>
      <c r="KOX1" t="s">
        <v>12118</v>
      </c>
      <c r="KOY1" t="s">
        <v>12119</v>
      </c>
      <c r="KOZ1" t="s">
        <v>12120</v>
      </c>
      <c r="KPA1" t="s">
        <v>12121</v>
      </c>
      <c r="KPB1" t="s">
        <v>12122</v>
      </c>
      <c r="KPC1" t="s">
        <v>12123</v>
      </c>
      <c r="KPD1" t="s">
        <v>12124</v>
      </c>
      <c r="KPE1" t="s">
        <v>12125</v>
      </c>
      <c r="KPF1" t="s">
        <v>12126</v>
      </c>
      <c r="KPG1" t="s">
        <v>12127</v>
      </c>
      <c r="KPH1" t="s">
        <v>12128</v>
      </c>
      <c r="KPI1" t="s">
        <v>12129</v>
      </c>
      <c r="KPJ1" t="s">
        <v>12130</v>
      </c>
      <c r="KPK1" t="s">
        <v>12131</v>
      </c>
      <c r="KPL1" t="s">
        <v>12132</v>
      </c>
      <c r="KPM1" t="s">
        <v>12133</v>
      </c>
      <c r="KPN1" t="s">
        <v>12134</v>
      </c>
      <c r="KPO1" t="s">
        <v>12135</v>
      </c>
      <c r="KPP1" t="s">
        <v>12136</v>
      </c>
      <c r="KPQ1" t="s">
        <v>12137</v>
      </c>
      <c r="KPR1" t="s">
        <v>12138</v>
      </c>
      <c r="KPS1" t="s">
        <v>12139</v>
      </c>
      <c r="KPT1" t="s">
        <v>12140</v>
      </c>
      <c r="KPU1" t="s">
        <v>12141</v>
      </c>
      <c r="KPV1" t="s">
        <v>12142</v>
      </c>
      <c r="KPW1" t="s">
        <v>12143</v>
      </c>
      <c r="KPX1" t="s">
        <v>12144</v>
      </c>
      <c r="KPY1" t="s">
        <v>12145</v>
      </c>
      <c r="KPZ1" t="s">
        <v>12146</v>
      </c>
      <c r="KQA1" t="s">
        <v>12147</v>
      </c>
      <c r="KQB1" t="s">
        <v>12148</v>
      </c>
      <c r="KQC1" t="s">
        <v>12149</v>
      </c>
      <c r="KQD1" t="s">
        <v>12150</v>
      </c>
      <c r="KQE1" t="s">
        <v>12151</v>
      </c>
      <c r="KQF1" t="s">
        <v>12152</v>
      </c>
      <c r="KQG1" t="s">
        <v>12153</v>
      </c>
      <c r="KQH1" t="s">
        <v>12154</v>
      </c>
      <c r="KQI1" t="s">
        <v>12155</v>
      </c>
      <c r="KQJ1" t="s">
        <v>12156</v>
      </c>
      <c r="KQK1" t="s">
        <v>12157</v>
      </c>
      <c r="KQL1" t="s">
        <v>12158</v>
      </c>
      <c r="KQM1" t="s">
        <v>12159</v>
      </c>
      <c r="KQN1" t="s">
        <v>12160</v>
      </c>
      <c r="KQO1" t="s">
        <v>12161</v>
      </c>
      <c r="KQP1" t="s">
        <v>12162</v>
      </c>
      <c r="KQQ1" t="s">
        <v>12163</v>
      </c>
      <c r="KQR1" t="s">
        <v>12164</v>
      </c>
      <c r="KQS1" t="s">
        <v>12165</v>
      </c>
      <c r="KQT1" t="s">
        <v>12166</v>
      </c>
      <c r="KQU1" t="s">
        <v>12167</v>
      </c>
      <c r="KQV1" t="s">
        <v>12168</v>
      </c>
      <c r="KQW1" t="s">
        <v>12169</v>
      </c>
      <c r="KQX1" t="s">
        <v>12170</v>
      </c>
      <c r="KQY1" t="s">
        <v>12171</v>
      </c>
      <c r="KQZ1" t="s">
        <v>12172</v>
      </c>
      <c r="KRA1" t="s">
        <v>12173</v>
      </c>
      <c r="KRB1" t="s">
        <v>12174</v>
      </c>
      <c r="KRC1" t="s">
        <v>12175</v>
      </c>
      <c r="KRD1" t="s">
        <v>12176</v>
      </c>
      <c r="KRE1" t="s">
        <v>12177</v>
      </c>
      <c r="KRF1" t="s">
        <v>12178</v>
      </c>
      <c r="KRG1" t="s">
        <v>12179</v>
      </c>
      <c r="KRH1" t="s">
        <v>12180</v>
      </c>
      <c r="KRI1" t="s">
        <v>12181</v>
      </c>
      <c r="KRJ1" t="s">
        <v>12182</v>
      </c>
      <c r="KRK1" t="s">
        <v>12183</v>
      </c>
      <c r="KRL1" t="s">
        <v>12184</v>
      </c>
      <c r="KRM1" t="s">
        <v>12185</v>
      </c>
      <c r="KRN1" t="s">
        <v>12186</v>
      </c>
      <c r="KRO1" t="s">
        <v>12187</v>
      </c>
      <c r="KRP1" t="s">
        <v>12188</v>
      </c>
      <c r="KRQ1" t="s">
        <v>12189</v>
      </c>
      <c r="KRR1" t="s">
        <v>12190</v>
      </c>
      <c r="KRS1" t="s">
        <v>12191</v>
      </c>
      <c r="KRT1" t="s">
        <v>12192</v>
      </c>
      <c r="KRU1" t="s">
        <v>12193</v>
      </c>
      <c r="KRV1" t="s">
        <v>12194</v>
      </c>
      <c r="KRW1" t="s">
        <v>12195</v>
      </c>
      <c r="KRX1" t="s">
        <v>12196</v>
      </c>
      <c r="KRY1" t="s">
        <v>12197</v>
      </c>
      <c r="KRZ1" t="s">
        <v>12198</v>
      </c>
      <c r="KSA1" t="s">
        <v>12199</v>
      </c>
      <c r="KSB1" t="s">
        <v>12200</v>
      </c>
      <c r="KSC1" t="s">
        <v>12201</v>
      </c>
      <c r="KSD1" t="s">
        <v>12202</v>
      </c>
      <c r="KSE1" t="s">
        <v>12203</v>
      </c>
      <c r="KSF1" t="s">
        <v>12204</v>
      </c>
      <c r="KSG1" t="s">
        <v>12205</v>
      </c>
      <c r="KSH1" t="s">
        <v>12206</v>
      </c>
      <c r="KSI1" t="s">
        <v>12207</v>
      </c>
      <c r="KSJ1" t="s">
        <v>12208</v>
      </c>
      <c r="KSK1" t="s">
        <v>12209</v>
      </c>
      <c r="KSL1" t="s">
        <v>12210</v>
      </c>
      <c r="KSM1" t="s">
        <v>12211</v>
      </c>
      <c r="KSN1" t="s">
        <v>12212</v>
      </c>
      <c r="KSO1" t="s">
        <v>12213</v>
      </c>
      <c r="KSP1" t="s">
        <v>12214</v>
      </c>
      <c r="KSQ1" t="s">
        <v>12215</v>
      </c>
      <c r="KSR1" t="s">
        <v>12216</v>
      </c>
      <c r="KSS1" t="s">
        <v>12217</v>
      </c>
      <c r="KST1" t="s">
        <v>12218</v>
      </c>
      <c r="KSU1" t="s">
        <v>12219</v>
      </c>
      <c r="KSV1" t="s">
        <v>12220</v>
      </c>
      <c r="KSW1" t="s">
        <v>12221</v>
      </c>
      <c r="KSX1" t="s">
        <v>12222</v>
      </c>
      <c r="KSY1" t="s">
        <v>12223</v>
      </c>
      <c r="KSZ1" t="s">
        <v>12224</v>
      </c>
      <c r="KTA1" t="s">
        <v>12225</v>
      </c>
      <c r="KTB1" t="s">
        <v>12226</v>
      </c>
      <c r="KTC1" t="s">
        <v>12227</v>
      </c>
      <c r="KTD1" t="s">
        <v>12228</v>
      </c>
      <c r="KTE1" t="s">
        <v>12229</v>
      </c>
      <c r="KTF1" t="s">
        <v>12230</v>
      </c>
      <c r="KTG1" t="s">
        <v>12231</v>
      </c>
      <c r="KTH1" t="s">
        <v>12232</v>
      </c>
      <c r="KTI1" t="s">
        <v>12233</v>
      </c>
      <c r="KTJ1" t="s">
        <v>12234</v>
      </c>
      <c r="KTK1" t="s">
        <v>12235</v>
      </c>
      <c r="KTL1" t="s">
        <v>12236</v>
      </c>
      <c r="KTM1" t="s">
        <v>12237</v>
      </c>
      <c r="KTN1" t="s">
        <v>12238</v>
      </c>
      <c r="KTO1" t="s">
        <v>12239</v>
      </c>
      <c r="KTP1" t="s">
        <v>12240</v>
      </c>
      <c r="KTQ1" t="s">
        <v>12241</v>
      </c>
      <c r="KTR1" t="s">
        <v>12242</v>
      </c>
      <c r="KTS1" t="s">
        <v>12243</v>
      </c>
      <c r="KTT1" t="s">
        <v>12244</v>
      </c>
      <c r="KTU1" t="s">
        <v>12245</v>
      </c>
      <c r="KTV1" t="s">
        <v>12246</v>
      </c>
      <c r="KTW1" t="s">
        <v>12247</v>
      </c>
      <c r="KTX1" t="s">
        <v>12248</v>
      </c>
      <c r="KTY1" t="s">
        <v>12249</v>
      </c>
      <c r="KTZ1" t="s">
        <v>12250</v>
      </c>
      <c r="KUA1" t="s">
        <v>12251</v>
      </c>
      <c r="KUB1" t="s">
        <v>12252</v>
      </c>
      <c r="KUC1" t="s">
        <v>12253</v>
      </c>
      <c r="KUD1" t="s">
        <v>12254</v>
      </c>
      <c r="KUE1" t="s">
        <v>12255</v>
      </c>
      <c r="KUF1" t="s">
        <v>12256</v>
      </c>
      <c r="KUG1" t="s">
        <v>12257</v>
      </c>
      <c r="KUH1" t="s">
        <v>12258</v>
      </c>
      <c r="KUI1" t="s">
        <v>12259</v>
      </c>
      <c r="KUJ1" t="s">
        <v>12260</v>
      </c>
      <c r="KUK1" t="s">
        <v>12261</v>
      </c>
      <c r="KUL1" t="s">
        <v>12262</v>
      </c>
      <c r="KUM1" t="s">
        <v>12263</v>
      </c>
      <c r="KUN1" t="s">
        <v>12264</v>
      </c>
      <c r="KUO1" t="s">
        <v>12265</v>
      </c>
      <c r="KUP1" t="s">
        <v>12266</v>
      </c>
      <c r="KUQ1" t="s">
        <v>12267</v>
      </c>
      <c r="KUR1" t="s">
        <v>12268</v>
      </c>
      <c r="KUS1" t="s">
        <v>12269</v>
      </c>
      <c r="KUT1" t="s">
        <v>12270</v>
      </c>
      <c r="KUU1" t="s">
        <v>12271</v>
      </c>
      <c r="KUV1" t="s">
        <v>12272</v>
      </c>
      <c r="KUW1" t="s">
        <v>12273</v>
      </c>
      <c r="KUX1" t="s">
        <v>12274</v>
      </c>
      <c r="KUY1" t="s">
        <v>12275</v>
      </c>
      <c r="KUZ1" t="s">
        <v>12276</v>
      </c>
      <c r="KVA1" t="s">
        <v>12277</v>
      </c>
      <c r="KVB1" t="s">
        <v>12278</v>
      </c>
      <c r="KVC1" t="s">
        <v>12279</v>
      </c>
      <c r="KVD1" t="s">
        <v>12280</v>
      </c>
      <c r="KVE1" t="s">
        <v>12281</v>
      </c>
      <c r="KVF1" t="s">
        <v>12282</v>
      </c>
      <c r="KVG1" t="s">
        <v>12283</v>
      </c>
      <c r="KVH1" t="s">
        <v>12284</v>
      </c>
      <c r="KVI1" t="s">
        <v>12285</v>
      </c>
      <c r="KVJ1" t="s">
        <v>12286</v>
      </c>
      <c r="KVK1" t="s">
        <v>12287</v>
      </c>
      <c r="KVL1" t="s">
        <v>12288</v>
      </c>
      <c r="KVM1" t="s">
        <v>12289</v>
      </c>
      <c r="KVN1" t="s">
        <v>12290</v>
      </c>
      <c r="KVO1" t="s">
        <v>12291</v>
      </c>
      <c r="KVP1" t="s">
        <v>12292</v>
      </c>
      <c r="KVQ1" t="s">
        <v>12293</v>
      </c>
      <c r="KVR1" t="s">
        <v>12294</v>
      </c>
      <c r="KVS1" t="s">
        <v>12295</v>
      </c>
      <c r="KVT1" t="s">
        <v>12296</v>
      </c>
      <c r="KVU1" t="s">
        <v>12297</v>
      </c>
      <c r="KVV1" t="s">
        <v>12298</v>
      </c>
      <c r="KVW1" t="s">
        <v>12299</v>
      </c>
      <c r="KVX1" t="s">
        <v>12300</v>
      </c>
      <c r="KVY1" t="s">
        <v>12301</v>
      </c>
      <c r="KVZ1" t="s">
        <v>12302</v>
      </c>
      <c r="KWA1" t="s">
        <v>12303</v>
      </c>
      <c r="KWB1" t="s">
        <v>12304</v>
      </c>
      <c r="KWC1" t="s">
        <v>12305</v>
      </c>
      <c r="KWD1" t="s">
        <v>12306</v>
      </c>
      <c r="KWE1" t="s">
        <v>12307</v>
      </c>
      <c r="KWF1" t="s">
        <v>12308</v>
      </c>
      <c r="KWG1" t="s">
        <v>12309</v>
      </c>
      <c r="KWH1" t="s">
        <v>12310</v>
      </c>
      <c r="KWI1" t="s">
        <v>12311</v>
      </c>
      <c r="KWJ1" t="s">
        <v>12312</v>
      </c>
      <c r="KWK1" t="s">
        <v>12313</v>
      </c>
      <c r="KWL1" t="s">
        <v>12314</v>
      </c>
      <c r="KWM1" t="s">
        <v>12315</v>
      </c>
      <c r="KWN1" t="s">
        <v>12316</v>
      </c>
      <c r="KWO1" t="s">
        <v>12317</v>
      </c>
      <c r="KWP1" t="s">
        <v>12318</v>
      </c>
      <c r="KWQ1" t="s">
        <v>12319</v>
      </c>
      <c r="KWR1" t="s">
        <v>12320</v>
      </c>
      <c r="KWS1" t="s">
        <v>12321</v>
      </c>
      <c r="KWT1" t="s">
        <v>12322</v>
      </c>
      <c r="KWU1" t="s">
        <v>12323</v>
      </c>
      <c r="KWV1" t="s">
        <v>12324</v>
      </c>
      <c r="KWW1" t="s">
        <v>12325</v>
      </c>
      <c r="KWX1" t="s">
        <v>12326</v>
      </c>
      <c r="KWY1" t="s">
        <v>12327</v>
      </c>
      <c r="KWZ1" t="s">
        <v>12328</v>
      </c>
      <c r="KXA1" t="s">
        <v>12329</v>
      </c>
      <c r="KXB1" t="s">
        <v>12330</v>
      </c>
      <c r="KXC1" t="s">
        <v>12331</v>
      </c>
      <c r="KXD1" t="s">
        <v>12332</v>
      </c>
      <c r="KXE1" t="s">
        <v>12333</v>
      </c>
      <c r="KXF1" t="s">
        <v>12334</v>
      </c>
      <c r="KXG1" t="s">
        <v>12335</v>
      </c>
      <c r="KXH1" t="s">
        <v>12336</v>
      </c>
      <c r="KXI1" t="s">
        <v>12337</v>
      </c>
      <c r="KXJ1" t="s">
        <v>12338</v>
      </c>
      <c r="KXK1" t="s">
        <v>12339</v>
      </c>
      <c r="KXL1" t="s">
        <v>12340</v>
      </c>
      <c r="KXM1" t="s">
        <v>12341</v>
      </c>
      <c r="KXN1" t="s">
        <v>12342</v>
      </c>
      <c r="KXO1" t="s">
        <v>12343</v>
      </c>
      <c r="KXP1" t="s">
        <v>12344</v>
      </c>
      <c r="KXQ1" t="s">
        <v>12345</v>
      </c>
      <c r="KXR1" t="s">
        <v>12346</v>
      </c>
      <c r="KXS1" t="s">
        <v>12347</v>
      </c>
      <c r="KXT1" t="s">
        <v>12348</v>
      </c>
      <c r="KXU1" t="s">
        <v>12349</v>
      </c>
      <c r="KXV1" t="s">
        <v>12350</v>
      </c>
      <c r="KXW1" t="s">
        <v>12351</v>
      </c>
      <c r="KXX1" t="s">
        <v>12352</v>
      </c>
      <c r="KXY1" t="s">
        <v>12353</v>
      </c>
      <c r="KXZ1" t="s">
        <v>12354</v>
      </c>
      <c r="KYA1" t="s">
        <v>12355</v>
      </c>
      <c r="KYB1" t="s">
        <v>12356</v>
      </c>
      <c r="KYC1" t="s">
        <v>12357</v>
      </c>
      <c r="KYD1" t="s">
        <v>12358</v>
      </c>
      <c r="KYE1" t="s">
        <v>12359</v>
      </c>
      <c r="KYF1" t="s">
        <v>12360</v>
      </c>
      <c r="KYG1" t="s">
        <v>12361</v>
      </c>
      <c r="KYH1" t="s">
        <v>12362</v>
      </c>
      <c r="KYI1" t="s">
        <v>12363</v>
      </c>
      <c r="KYJ1" t="s">
        <v>12364</v>
      </c>
      <c r="KYK1" t="s">
        <v>12365</v>
      </c>
      <c r="KYL1" t="s">
        <v>12366</v>
      </c>
      <c r="KYM1" t="s">
        <v>12367</v>
      </c>
      <c r="KYN1" t="s">
        <v>12368</v>
      </c>
      <c r="KYO1" t="s">
        <v>12369</v>
      </c>
      <c r="KYP1" t="s">
        <v>12370</v>
      </c>
      <c r="KYQ1" t="s">
        <v>12371</v>
      </c>
      <c r="KYR1" t="s">
        <v>12372</v>
      </c>
      <c r="KYS1" t="s">
        <v>12373</v>
      </c>
      <c r="KYT1" t="s">
        <v>12374</v>
      </c>
      <c r="KYU1" t="s">
        <v>12375</v>
      </c>
      <c r="KYV1" t="s">
        <v>12376</v>
      </c>
      <c r="KYW1" t="s">
        <v>12377</v>
      </c>
      <c r="KYX1" t="s">
        <v>12378</v>
      </c>
      <c r="KYY1" t="s">
        <v>12379</v>
      </c>
      <c r="KYZ1" t="s">
        <v>12380</v>
      </c>
      <c r="KZA1" t="s">
        <v>12381</v>
      </c>
      <c r="KZB1" t="s">
        <v>12382</v>
      </c>
      <c r="KZC1" t="s">
        <v>12383</v>
      </c>
      <c r="KZD1" t="s">
        <v>12384</v>
      </c>
      <c r="KZE1" t="s">
        <v>12385</v>
      </c>
      <c r="KZF1" t="s">
        <v>12386</v>
      </c>
      <c r="KZG1" t="s">
        <v>12387</v>
      </c>
      <c r="KZH1" t="s">
        <v>12388</v>
      </c>
      <c r="KZI1" t="s">
        <v>12389</v>
      </c>
      <c r="KZJ1" t="s">
        <v>12390</v>
      </c>
      <c r="KZK1" t="s">
        <v>12391</v>
      </c>
      <c r="KZL1" t="s">
        <v>12392</v>
      </c>
      <c r="KZM1" t="s">
        <v>12393</v>
      </c>
      <c r="KZN1" t="s">
        <v>12394</v>
      </c>
      <c r="KZO1" t="s">
        <v>12395</v>
      </c>
      <c r="KZP1" t="s">
        <v>12396</v>
      </c>
      <c r="KZQ1" t="s">
        <v>12397</v>
      </c>
      <c r="KZR1" t="s">
        <v>12398</v>
      </c>
      <c r="KZS1" t="s">
        <v>12399</v>
      </c>
      <c r="KZT1" t="s">
        <v>12400</v>
      </c>
      <c r="KZU1" t="s">
        <v>12401</v>
      </c>
      <c r="KZV1" t="s">
        <v>12402</v>
      </c>
      <c r="KZW1" t="s">
        <v>12403</v>
      </c>
      <c r="KZX1" t="s">
        <v>12404</v>
      </c>
      <c r="KZY1" t="s">
        <v>12405</v>
      </c>
      <c r="KZZ1" t="s">
        <v>12406</v>
      </c>
      <c r="LAA1" t="s">
        <v>12407</v>
      </c>
      <c r="LAB1" t="s">
        <v>12408</v>
      </c>
      <c r="LAC1" t="s">
        <v>12409</v>
      </c>
      <c r="LAD1" t="s">
        <v>12410</v>
      </c>
      <c r="LAE1" t="s">
        <v>12411</v>
      </c>
      <c r="LAF1" t="s">
        <v>12412</v>
      </c>
      <c r="LAG1" t="s">
        <v>12413</v>
      </c>
      <c r="LAH1" t="s">
        <v>12414</v>
      </c>
      <c r="LAI1" t="s">
        <v>12415</v>
      </c>
      <c r="LAJ1" t="s">
        <v>12416</v>
      </c>
      <c r="LAK1" t="s">
        <v>12417</v>
      </c>
      <c r="LAL1" t="s">
        <v>12418</v>
      </c>
      <c r="LAM1" t="s">
        <v>12419</v>
      </c>
      <c r="LAN1" t="s">
        <v>12420</v>
      </c>
      <c r="LAO1" t="s">
        <v>12421</v>
      </c>
      <c r="LAP1" t="s">
        <v>12422</v>
      </c>
      <c r="LAQ1" t="s">
        <v>12423</v>
      </c>
      <c r="LAR1" t="s">
        <v>12424</v>
      </c>
      <c r="LAS1" t="s">
        <v>12425</v>
      </c>
      <c r="LAT1" t="s">
        <v>12426</v>
      </c>
      <c r="LAU1" t="s">
        <v>12427</v>
      </c>
      <c r="LAV1" t="s">
        <v>12428</v>
      </c>
      <c r="LAW1" t="s">
        <v>12429</v>
      </c>
      <c r="LAX1" t="s">
        <v>12430</v>
      </c>
      <c r="LAY1" t="s">
        <v>12431</v>
      </c>
      <c r="LAZ1" t="s">
        <v>12432</v>
      </c>
      <c r="LBA1" t="s">
        <v>12433</v>
      </c>
      <c r="LBB1" t="s">
        <v>12434</v>
      </c>
      <c r="LBC1" t="s">
        <v>12435</v>
      </c>
      <c r="LBD1" t="s">
        <v>12436</v>
      </c>
      <c r="LBE1" t="s">
        <v>12437</v>
      </c>
      <c r="LBF1" t="s">
        <v>12438</v>
      </c>
      <c r="LBG1" t="s">
        <v>12439</v>
      </c>
      <c r="LBH1" t="s">
        <v>12440</v>
      </c>
      <c r="LBI1" t="s">
        <v>12441</v>
      </c>
      <c r="LBJ1" t="s">
        <v>12442</v>
      </c>
      <c r="LBK1" t="s">
        <v>12443</v>
      </c>
      <c r="LBL1" t="s">
        <v>12444</v>
      </c>
      <c r="LBM1" t="s">
        <v>12445</v>
      </c>
      <c r="LBN1" t="s">
        <v>12446</v>
      </c>
      <c r="LBO1" t="s">
        <v>12447</v>
      </c>
      <c r="LBP1" t="s">
        <v>12448</v>
      </c>
      <c r="LBQ1" t="s">
        <v>12449</v>
      </c>
      <c r="LBR1" t="s">
        <v>12450</v>
      </c>
      <c r="LBS1" t="s">
        <v>12451</v>
      </c>
      <c r="LBT1" t="s">
        <v>12452</v>
      </c>
      <c r="LBU1" t="s">
        <v>12453</v>
      </c>
      <c r="LBV1" t="s">
        <v>12454</v>
      </c>
      <c r="LBW1" t="s">
        <v>12455</v>
      </c>
      <c r="LBX1" t="s">
        <v>12456</v>
      </c>
      <c r="LBY1" t="s">
        <v>12457</v>
      </c>
      <c r="LBZ1" t="s">
        <v>12458</v>
      </c>
      <c r="LCA1" t="s">
        <v>12459</v>
      </c>
      <c r="LCB1" t="s">
        <v>12460</v>
      </c>
      <c r="LCC1" t="s">
        <v>12461</v>
      </c>
      <c r="LCD1" t="s">
        <v>12462</v>
      </c>
      <c r="LCE1" t="s">
        <v>12463</v>
      </c>
      <c r="LCF1" t="s">
        <v>12464</v>
      </c>
      <c r="LCG1" t="s">
        <v>12465</v>
      </c>
      <c r="LCH1" t="s">
        <v>12466</v>
      </c>
      <c r="LCI1" t="s">
        <v>12467</v>
      </c>
      <c r="LCJ1" t="s">
        <v>12468</v>
      </c>
      <c r="LCK1" t="s">
        <v>12469</v>
      </c>
      <c r="LCL1" t="s">
        <v>12470</v>
      </c>
      <c r="LCM1" t="s">
        <v>12471</v>
      </c>
      <c r="LCN1" t="s">
        <v>12472</v>
      </c>
      <c r="LCO1" t="s">
        <v>12473</v>
      </c>
      <c r="LCP1" t="s">
        <v>12474</v>
      </c>
      <c r="LCQ1" t="s">
        <v>12475</v>
      </c>
      <c r="LCR1" t="s">
        <v>12476</v>
      </c>
      <c r="LCS1" t="s">
        <v>12477</v>
      </c>
      <c r="LCT1" t="s">
        <v>12478</v>
      </c>
      <c r="LCU1" t="s">
        <v>12479</v>
      </c>
      <c r="LCV1" t="s">
        <v>12480</v>
      </c>
      <c r="LCW1" t="s">
        <v>12481</v>
      </c>
      <c r="LCX1" t="s">
        <v>12482</v>
      </c>
      <c r="LCY1" t="s">
        <v>12483</v>
      </c>
      <c r="LCZ1" t="s">
        <v>12484</v>
      </c>
      <c r="LDA1" t="s">
        <v>12485</v>
      </c>
      <c r="LDB1" t="s">
        <v>12486</v>
      </c>
      <c r="LDC1" t="s">
        <v>12487</v>
      </c>
      <c r="LDD1" t="s">
        <v>12488</v>
      </c>
      <c r="LDE1" t="s">
        <v>12489</v>
      </c>
      <c r="LDF1" t="s">
        <v>12490</v>
      </c>
      <c r="LDG1" t="s">
        <v>12491</v>
      </c>
      <c r="LDH1" t="s">
        <v>12492</v>
      </c>
      <c r="LDI1" t="s">
        <v>12493</v>
      </c>
      <c r="LDJ1" t="s">
        <v>12494</v>
      </c>
      <c r="LDK1" t="s">
        <v>12495</v>
      </c>
      <c r="LDL1" t="s">
        <v>12496</v>
      </c>
      <c r="LDM1" t="s">
        <v>12497</v>
      </c>
      <c r="LDN1" t="s">
        <v>12498</v>
      </c>
      <c r="LDO1" t="s">
        <v>12499</v>
      </c>
      <c r="LDP1" t="s">
        <v>12500</v>
      </c>
      <c r="LDQ1" t="s">
        <v>12501</v>
      </c>
      <c r="LDR1" t="s">
        <v>12502</v>
      </c>
      <c r="LDS1" t="s">
        <v>12503</v>
      </c>
      <c r="LDT1" t="s">
        <v>12504</v>
      </c>
      <c r="LDU1" t="s">
        <v>12505</v>
      </c>
      <c r="LDV1" t="s">
        <v>12506</v>
      </c>
      <c r="LDW1" t="s">
        <v>12507</v>
      </c>
      <c r="LDX1" t="s">
        <v>12508</v>
      </c>
      <c r="LDY1" t="s">
        <v>12509</v>
      </c>
      <c r="LDZ1" t="s">
        <v>12510</v>
      </c>
      <c r="LEA1" t="s">
        <v>12511</v>
      </c>
      <c r="LEB1" t="s">
        <v>12512</v>
      </c>
      <c r="LEC1" t="s">
        <v>12513</v>
      </c>
      <c r="LED1" t="s">
        <v>12514</v>
      </c>
      <c r="LEE1" t="s">
        <v>12515</v>
      </c>
      <c r="LEF1" t="s">
        <v>12516</v>
      </c>
      <c r="LEG1" t="s">
        <v>12517</v>
      </c>
      <c r="LEH1" t="s">
        <v>12518</v>
      </c>
      <c r="LEI1" t="s">
        <v>12519</v>
      </c>
      <c r="LEJ1" t="s">
        <v>12520</v>
      </c>
      <c r="LEK1" t="s">
        <v>12521</v>
      </c>
      <c r="LEL1" t="s">
        <v>12522</v>
      </c>
      <c r="LEM1" t="s">
        <v>12523</v>
      </c>
      <c r="LEN1" t="s">
        <v>12524</v>
      </c>
      <c r="LEO1" t="s">
        <v>12525</v>
      </c>
      <c r="LEP1" t="s">
        <v>12526</v>
      </c>
      <c r="LEQ1" t="s">
        <v>12527</v>
      </c>
      <c r="LER1" t="s">
        <v>12528</v>
      </c>
      <c r="LES1" t="s">
        <v>12529</v>
      </c>
      <c r="LET1" t="s">
        <v>12530</v>
      </c>
      <c r="LEU1" t="s">
        <v>12531</v>
      </c>
      <c r="LEV1" t="s">
        <v>12532</v>
      </c>
      <c r="LEW1" t="s">
        <v>12533</v>
      </c>
      <c r="LEX1" t="s">
        <v>12534</v>
      </c>
      <c r="LEY1" t="s">
        <v>12535</v>
      </c>
      <c r="LEZ1" t="s">
        <v>12536</v>
      </c>
      <c r="LFA1" t="s">
        <v>12537</v>
      </c>
      <c r="LFB1" t="s">
        <v>12538</v>
      </c>
      <c r="LFC1" t="s">
        <v>12539</v>
      </c>
      <c r="LFD1" t="s">
        <v>12540</v>
      </c>
      <c r="LFE1" t="s">
        <v>12541</v>
      </c>
      <c r="LFF1" t="s">
        <v>12542</v>
      </c>
      <c r="LFG1" t="s">
        <v>12543</v>
      </c>
      <c r="LFH1" t="s">
        <v>12544</v>
      </c>
      <c r="LFI1" t="s">
        <v>12545</v>
      </c>
      <c r="LFJ1" t="s">
        <v>12546</v>
      </c>
      <c r="LFK1" t="s">
        <v>12547</v>
      </c>
      <c r="LFL1" t="s">
        <v>12548</v>
      </c>
      <c r="LFM1" t="s">
        <v>12549</v>
      </c>
      <c r="LFN1" t="s">
        <v>12550</v>
      </c>
      <c r="LFO1" t="s">
        <v>12551</v>
      </c>
      <c r="LFP1" t="s">
        <v>12552</v>
      </c>
      <c r="LFQ1" t="s">
        <v>12553</v>
      </c>
      <c r="LFR1" t="s">
        <v>12554</v>
      </c>
      <c r="LFS1" t="s">
        <v>12555</v>
      </c>
      <c r="LFT1" t="s">
        <v>12556</v>
      </c>
      <c r="LFU1" t="s">
        <v>12557</v>
      </c>
      <c r="LFV1" t="s">
        <v>12558</v>
      </c>
      <c r="LFW1" t="s">
        <v>12559</v>
      </c>
      <c r="LFX1" t="s">
        <v>12560</v>
      </c>
      <c r="LFY1" t="s">
        <v>12561</v>
      </c>
      <c r="LFZ1" t="s">
        <v>12562</v>
      </c>
      <c r="LGA1" t="s">
        <v>12563</v>
      </c>
      <c r="LGB1" t="s">
        <v>12564</v>
      </c>
      <c r="LGC1" t="s">
        <v>12565</v>
      </c>
      <c r="LGD1" t="s">
        <v>12566</v>
      </c>
      <c r="LGE1" t="s">
        <v>12567</v>
      </c>
      <c r="LGF1" t="s">
        <v>12568</v>
      </c>
      <c r="LGG1" t="s">
        <v>12569</v>
      </c>
      <c r="LGH1" t="s">
        <v>12570</v>
      </c>
      <c r="LGI1" t="s">
        <v>12571</v>
      </c>
      <c r="LGJ1" t="s">
        <v>12572</v>
      </c>
      <c r="LGK1" t="s">
        <v>12573</v>
      </c>
      <c r="LGL1" t="s">
        <v>12574</v>
      </c>
      <c r="LGM1" t="s">
        <v>12575</v>
      </c>
      <c r="LGN1" t="s">
        <v>12576</v>
      </c>
      <c r="LGO1" t="s">
        <v>12577</v>
      </c>
      <c r="LGP1" t="s">
        <v>12578</v>
      </c>
      <c r="LGQ1" t="s">
        <v>12579</v>
      </c>
      <c r="LGR1" t="s">
        <v>12580</v>
      </c>
      <c r="LGS1" t="s">
        <v>12581</v>
      </c>
      <c r="LGT1" t="s">
        <v>12582</v>
      </c>
      <c r="LGU1" t="s">
        <v>12583</v>
      </c>
      <c r="LGV1" t="s">
        <v>12584</v>
      </c>
      <c r="LGW1" t="s">
        <v>12585</v>
      </c>
      <c r="LGX1" t="s">
        <v>12586</v>
      </c>
      <c r="LGY1" t="s">
        <v>12587</v>
      </c>
      <c r="LGZ1" t="s">
        <v>12588</v>
      </c>
      <c r="LHA1" t="s">
        <v>12589</v>
      </c>
      <c r="LHB1" t="s">
        <v>12590</v>
      </c>
      <c r="LHC1" t="s">
        <v>12591</v>
      </c>
      <c r="LHD1" t="s">
        <v>12592</v>
      </c>
      <c r="LHE1" t="s">
        <v>12593</v>
      </c>
      <c r="LHF1" t="s">
        <v>12594</v>
      </c>
      <c r="LHG1" t="s">
        <v>12595</v>
      </c>
      <c r="LHH1" t="s">
        <v>12596</v>
      </c>
      <c r="LHI1" t="s">
        <v>12597</v>
      </c>
      <c r="LHJ1" t="s">
        <v>12598</v>
      </c>
      <c r="LHK1" t="s">
        <v>12599</v>
      </c>
      <c r="LHL1" t="s">
        <v>12600</v>
      </c>
      <c r="LHM1" t="s">
        <v>12601</v>
      </c>
      <c r="LHN1" t="s">
        <v>12602</v>
      </c>
      <c r="LHO1" t="s">
        <v>12603</v>
      </c>
      <c r="LHP1" t="s">
        <v>12604</v>
      </c>
      <c r="LHQ1" t="s">
        <v>12605</v>
      </c>
      <c r="LHR1" t="s">
        <v>12606</v>
      </c>
      <c r="LHS1" t="s">
        <v>12607</v>
      </c>
      <c r="LHT1" t="s">
        <v>12608</v>
      </c>
      <c r="LHU1" t="s">
        <v>12609</v>
      </c>
      <c r="LHV1" t="s">
        <v>12610</v>
      </c>
      <c r="LHW1" t="s">
        <v>12611</v>
      </c>
      <c r="LHX1" t="s">
        <v>12612</v>
      </c>
      <c r="LHY1" t="s">
        <v>12613</v>
      </c>
      <c r="LHZ1" t="s">
        <v>12614</v>
      </c>
      <c r="LIA1" t="s">
        <v>12615</v>
      </c>
      <c r="LIB1" t="s">
        <v>12616</v>
      </c>
      <c r="LIC1" t="s">
        <v>12617</v>
      </c>
      <c r="LID1" t="s">
        <v>12618</v>
      </c>
      <c r="LIE1" t="s">
        <v>12619</v>
      </c>
      <c r="LIF1" t="s">
        <v>12620</v>
      </c>
      <c r="LIG1" t="s">
        <v>12621</v>
      </c>
      <c r="LIH1" t="s">
        <v>12622</v>
      </c>
      <c r="LII1" t="s">
        <v>12623</v>
      </c>
      <c r="LIJ1" t="s">
        <v>12624</v>
      </c>
      <c r="LIK1" t="s">
        <v>12625</v>
      </c>
      <c r="LIL1" t="s">
        <v>12626</v>
      </c>
      <c r="LIM1" t="s">
        <v>12627</v>
      </c>
      <c r="LIN1" t="s">
        <v>12628</v>
      </c>
      <c r="LIO1" t="s">
        <v>12629</v>
      </c>
      <c r="LIP1" t="s">
        <v>12630</v>
      </c>
      <c r="LIQ1" t="s">
        <v>12631</v>
      </c>
      <c r="LIR1" t="s">
        <v>12632</v>
      </c>
      <c r="LIS1" t="s">
        <v>12633</v>
      </c>
      <c r="LIT1" t="s">
        <v>12634</v>
      </c>
      <c r="LIU1" t="s">
        <v>12635</v>
      </c>
      <c r="LIV1" t="s">
        <v>12636</v>
      </c>
      <c r="LIW1" t="s">
        <v>12637</v>
      </c>
      <c r="LIX1" t="s">
        <v>12638</v>
      </c>
      <c r="LIY1" t="s">
        <v>12639</v>
      </c>
      <c r="LIZ1" t="s">
        <v>12640</v>
      </c>
      <c r="LJA1" t="s">
        <v>12641</v>
      </c>
      <c r="LJB1" t="s">
        <v>12642</v>
      </c>
      <c r="LJC1" t="s">
        <v>12643</v>
      </c>
      <c r="LJD1" t="s">
        <v>12644</v>
      </c>
      <c r="LJE1" t="s">
        <v>12645</v>
      </c>
      <c r="LJF1" t="s">
        <v>12646</v>
      </c>
      <c r="LJG1" t="s">
        <v>12647</v>
      </c>
      <c r="LJH1" t="s">
        <v>12648</v>
      </c>
      <c r="LJI1" t="s">
        <v>12649</v>
      </c>
      <c r="LJJ1" t="s">
        <v>12650</v>
      </c>
      <c r="LJK1" t="s">
        <v>12651</v>
      </c>
      <c r="LJL1" t="s">
        <v>12652</v>
      </c>
      <c r="LJM1" t="s">
        <v>12653</v>
      </c>
      <c r="LJN1" t="s">
        <v>12654</v>
      </c>
      <c r="LJO1" t="s">
        <v>12655</v>
      </c>
      <c r="LJP1" t="s">
        <v>12656</v>
      </c>
      <c r="LJQ1" t="s">
        <v>12657</v>
      </c>
      <c r="LJR1" t="s">
        <v>12658</v>
      </c>
      <c r="LJS1" t="s">
        <v>12659</v>
      </c>
      <c r="LJT1" t="s">
        <v>12660</v>
      </c>
      <c r="LJU1" t="s">
        <v>12661</v>
      </c>
      <c r="LJV1" t="s">
        <v>12662</v>
      </c>
      <c r="LJW1" t="s">
        <v>12663</v>
      </c>
      <c r="LJX1" t="s">
        <v>12664</v>
      </c>
      <c r="LJY1" t="s">
        <v>12665</v>
      </c>
      <c r="LJZ1" t="s">
        <v>12666</v>
      </c>
      <c r="LKA1" t="s">
        <v>12667</v>
      </c>
      <c r="LKB1" t="s">
        <v>12668</v>
      </c>
      <c r="LKC1" t="s">
        <v>12669</v>
      </c>
      <c r="LKD1" t="s">
        <v>12670</v>
      </c>
      <c r="LKE1" t="s">
        <v>12671</v>
      </c>
      <c r="LKF1" t="s">
        <v>12672</v>
      </c>
      <c r="LKG1" t="s">
        <v>12673</v>
      </c>
      <c r="LKH1" t="s">
        <v>12674</v>
      </c>
      <c r="LKI1" t="s">
        <v>12675</v>
      </c>
      <c r="LKJ1" t="s">
        <v>12676</v>
      </c>
      <c r="LKK1" t="s">
        <v>12677</v>
      </c>
      <c r="LKL1" t="s">
        <v>12678</v>
      </c>
      <c r="LKM1" t="s">
        <v>12679</v>
      </c>
      <c r="LKN1" t="s">
        <v>12680</v>
      </c>
      <c r="LKO1" t="s">
        <v>12681</v>
      </c>
      <c r="LKP1" t="s">
        <v>12682</v>
      </c>
      <c r="LKQ1" t="s">
        <v>12683</v>
      </c>
      <c r="LKR1" t="s">
        <v>12684</v>
      </c>
      <c r="LKS1" t="s">
        <v>12685</v>
      </c>
      <c r="LKT1" t="s">
        <v>12686</v>
      </c>
      <c r="LKU1" t="s">
        <v>12687</v>
      </c>
      <c r="LKV1" t="s">
        <v>12688</v>
      </c>
      <c r="LKW1" t="s">
        <v>12689</v>
      </c>
      <c r="LKX1" t="s">
        <v>12690</v>
      </c>
      <c r="LKY1" t="s">
        <v>12691</v>
      </c>
      <c r="LKZ1" t="s">
        <v>12692</v>
      </c>
      <c r="LLA1" t="s">
        <v>12693</v>
      </c>
      <c r="LLB1" t="s">
        <v>12694</v>
      </c>
      <c r="LLC1" t="s">
        <v>12695</v>
      </c>
      <c r="LLD1" t="s">
        <v>12696</v>
      </c>
      <c r="LLE1" t="s">
        <v>12697</v>
      </c>
      <c r="LLF1" t="s">
        <v>12698</v>
      </c>
      <c r="LLG1" t="s">
        <v>12699</v>
      </c>
      <c r="LLH1" t="s">
        <v>12700</v>
      </c>
      <c r="LLI1" t="s">
        <v>12701</v>
      </c>
      <c r="LLJ1" t="s">
        <v>12702</v>
      </c>
      <c r="LLK1" t="s">
        <v>12703</v>
      </c>
      <c r="LLL1" t="s">
        <v>12704</v>
      </c>
      <c r="LLM1" t="s">
        <v>12705</v>
      </c>
      <c r="LLN1" t="s">
        <v>12706</v>
      </c>
      <c r="LLO1" t="s">
        <v>12707</v>
      </c>
      <c r="LLP1" t="s">
        <v>12708</v>
      </c>
      <c r="LLQ1" t="s">
        <v>12709</v>
      </c>
      <c r="LLR1" t="s">
        <v>12710</v>
      </c>
      <c r="LLS1" t="s">
        <v>12711</v>
      </c>
      <c r="LLT1" t="s">
        <v>12712</v>
      </c>
      <c r="LLU1" t="s">
        <v>12713</v>
      </c>
      <c r="LLV1" t="s">
        <v>12714</v>
      </c>
      <c r="LLW1" t="s">
        <v>12715</v>
      </c>
      <c r="LLX1" t="s">
        <v>12716</v>
      </c>
      <c r="LLY1" t="s">
        <v>12717</v>
      </c>
      <c r="LLZ1" t="s">
        <v>12718</v>
      </c>
      <c r="LMA1" t="s">
        <v>12719</v>
      </c>
      <c r="LMB1" t="s">
        <v>12720</v>
      </c>
      <c r="LMC1" t="s">
        <v>12721</v>
      </c>
      <c r="LMD1" t="s">
        <v>12722</v>
      </c>
      <c r="LME1" t="s">
        <v>12723</v>
      </c>
      <c r="LMF1" t="s">
        <v>12724</v>
      </c>
      <c r="LMG1" t="s">
        <v>12725</v>
      </c>
      <c r="LMH1" t="s">
        <v>12726</v>
      </c>
      <c r="LMI1" t="s">
        <v>12727</v>
      </c>
      <c r="LMJ1" t="s">
        <v>12728</v>
      </c>
      <c r="LMK1" t="s">
        <v>12729</v>
      </c>
      <c r="LML1" t="s">
        <v>12730</v>
      </c>
      <c r="LMM1" t="s">
        <v>12731</v>
      </c>
      <c r="LMN1" t="s">
        <v>12732</v>
      </c>
      <c r="LMO1" t="s">
        <v>12733</v>
      </c>
      <c r="LMP1" t="s">
        <v>12734</v>
      </c>
      <c r="LMQ1" t="s">
        <v>12735</v>
      </c>
      <c r="LMR1" t="s">
        <v>12736</v>
      </c>
      <c r="LMS1" t="s">
        <v>12737</v>
      </c>
      <c r="LMT1" t="s">
        <v>12738</v>
      </c>
      <c r="LMU1" t="s">
        <v>12739</v>
      </c>
      <c r="LMV1" t="s">
        <v>12740</v>
      </c>
      <c r="LMW1" t="s">
        <v>12741</v>
      </c>
      <c r="LMX1" t="s">
        <v>12742</v>
      </c>
      <c r="LMY1" t="s">
        <v>12743</v>
      </c>
      <c r="LMZ1" t="s">
        <v>12744</v>
      </c>
      <c r="LNA1" t="s">
        <v>12745</v>
      </c>
      <c r="LNB1" t="s">
        <v>12746</v>
      </c>
      <c r="LNC1" t="s">
        <v>12747</v>
      </c>
      <c r="LND1" t="s">
        <v>12748</v>
      </c>
      <c r="LNE1" t="s">
        <v>12749</v>
      </c>
      <c r="LNF1" t="s">
        <v>12750</v>
      </c>
      <c r="LNG1" t="s">
        <v>12751</v>
      </c>
      <c r="LNH1" t="s">
        <v>12752</v>
      </c>
      <c r="LNI1" t="s">
        <v>12753</v>
      </c>
      <c r="LNJ1" t="s">
        <v>12754</v>
      </c>
      <c r="LNK1" t="s">
        <v>12755</v>
      </c>
      <c r="LNL1" t="s">
        <v>12756</v>
      </c>
      <c r="LNM1" t="s">
        <v>12757</v>
      </c>
      <c r="LNN1" t="s">
        <v>12758</v>
      </c>
      <c r="LNO1" t="s">
        <v>12759</v>
      </c>
      <c r="LNP1" t="s">
        <v>12760</v>
      </c>
      <c r="LNQ1" t="s">
        <v>12761</v>
      </c>
      <c r="LNR1" t="s">
        <v>12762</v>
      </c>
      <c r="LNS1" t="s">
        <v>12763</v>
      </c>
      <c r="LNT1" t="s">
        <v>12764</v>
      </c>
      <c r="LNU1" t="s">
        <v>12765</v>
      </c>
      <c r="LNV1" t="s">
        <v>12766</v>
      </c>
      <c r="LNW1" t="s">
        <v>12767</v>
      </c>
      <c r="LNX1" t="s">
        <v>12768</v>
      </c>
      <c r="LNY1" t="s">
        <v>12769</v>
      </c>
      <c r="LNZ1" t="s">
        <v>12770</v>
      </c>
      <c r="LOA1" t="s">
        <v>12771</v>
      </c>
      <c r="LOB1" t="s">
        <v>12772</v>
      </c>
      <c r="LOC1" t="s">
        <v>12773</v>
      </c>
      <c r="LOD1" t="s">
        <v>12774</v>
      </c>
      <c r="LOE1" t="s">
        <v>12775</v>
      </c>
      <c r="LOF1" t="s">
        <v>12776</v>
      </c>
      <c r="LOG1" t="s">
        <v>12777</v>
      </c>
      <c r="LOH1" t="s">
        <v>12778</v>
      </c>
      <c r="LOI1" t="s">
        <v>12779</v>
      </c>
      <c r="LOJ1" t="s">
        <v>12780</v>
      </c>
      <c r="LOK1" t="s">
        <v>12781</v>
      </c>
      <c r="LOL1" t="s">
        <v>12782</v>
      </c>
      <c r="LOM1" t="s">
        <v>12783</v>
      </c>
      <c r="LON1" t="s">
        <v>12784</v>
      </c>
      <c r="LOO1" t="s">
        <v>12785</v>
      </c>
      <c r="LOP1" t="s">
        <v>12786</v>
      </c>
      <c r="LOQ1" t="s">
        <v>12787</v>
      </c>
      <c r="LOR1" t="s">
        <v>12788</v>
      </c>
      <c r="LOS1" t="s">
        <v>12789</v>
      </c>
      <c r="LOT1" t="s">
        <v>12790</v>
      </c>
      <c r="LOU1" t="s">
        <v>12791</v>
      </c>
      <c r="LOV1" t="s">
        <v>12792</v>
      </c>
      <c r="LOW1" t="s">
        <v>12793</v>
      </c>
      <c r="LOX1" t="s">
        <v>12794</v>
      </c>
      <c r="LOY1" t="s">
        <v>12795</v>
      </c>
      <c r="LOZ1" t="s">
        <v>12796</v>
      </c>
      <c r="LPA1" t="s">
        <v>12797</v>
      </c>
      <c r="LPB1" t="s">
        <v>12798</v>
      </c>
      <c r="LPC1" t="s">
        <v>12799</v>
      </c>
      <c r="LPD1" t="s">
        <v>12800</v>
      </c>
      <c r="LPE1" t="s">
        <v>12801</v>
      </c>
      <c r="LPF1" t="s">
        <v>12802</v>
      </c>
      <c r="LPG1" t="s">
        <v>12803</v>
      </c>
      <c r="LPH1" t="s">
        <v>12804</v>
      </c>
      <c r="LPI1" t="s">
        <v>12805</v>
      </c>
      <c r="LPJ1" t="s">
        <v>12806</v>
      </c>
      <c r="LPK1" t="s">
        <v>12807</v>
      </c>
      <c r="LPL1" t="s">
        <v>12808</v>
      </c>
      <c r="LPM1" t="s">
        <v>12809</v>
      </c>
      <c r="LPN1" t="s">
        <v>12810</v>
      </c>
      <c r="LPO1" t="s">
        <v>12811</v>
      </c>
      <c r="LPP1" t="s">
        <v>12812</v>
      </c>
      <c r="LPQ1" t="s">
        <v>12813</v>
      </c>
      <c r="LPR1" t="s">
        <v>12814</v>
      </c>
      <c r="LPS1" t="s">
        <v>12815</v>
      </c>
      <c r="LPT1" t="s">
        <v>12816</v>
      </c>
      <c r="LPU1" t="s">
        <v>12817</v>
      </c>
      <c r="LPV1" t="s">
        <v>12818</v>
      </c>
      <c r="LPW1" t="s">
        <v>12819</v>
      </c>
      <c r="LPX1" t="s">
        <v>12820</v>
      </c>
      <c r="LPY1" t="s">
        <v>12821</v>
      </c>
      <c r="LPZ1" t="s">
        <v>12822</v>
      </c>
      <c r="LQA1" t="s">
        <v>12823</v>
      </c>
      <c r="LQB1" t="s">
        <v>12824</v>
      </c>
      <c r="LQC1" t="s">
        <v>12825</v>
      </c>
      <c r="LQD1" t="s">
        <v>12826</v>
      </c>
      <c r="LQE1" t="s">
        <v>12827</v>
      </c>
      <c r="LQF1" t="s">
        <v>12828</v>
      </c>
      <c r="LQG1" t="s">
        <v>12829</v>
      </c>
      <c r="LQH1" t="s">
        <v>12830</v>
      </c>
      <c r="LQI1" t="s">
        <v>12831</v>
      </c>
      <c r="LQJ1" t="s">
        <v>12832</v>
      </c>
      <c r="LQK1" t="s">
        <v>12833</v>
      </c>
      <c r="LQL1" t="s">
        <v>12834</v>
      </c>
      <c r="LQM1" t="s">
        <v>12835</v>
      </c>
      <c r="LQN1" t="s">
        <v>12836</v>
      </c>
      <c r="LQO1" t="s">
        <v>12837</v>
      </c>
      <c r="LQP1" t="s">
        <v>12838</v>
      </c>
      <c r="LQQ1" t="s">
        <v>12839</v>
      </c>
      <c r="LQR1" t="s">
        <v>12840</v>
      </c>
      <c r="LQS1" t="s">
        <v>12841</v>
      </c>
      <c r="LQT1" t="s">
        <v>12842</v>
      </c>
      <c r="LQU1" t="s">
        <v>12843</v>
      </c>
      <c r="LQV1" t="s">
        <v>12844</v>
      </c>
      <c r="LQW1" t="s">
        <v>12845</v>
      </c>
      <c r="LQX1" t="s">
        <v>12846</v>
      </c>
      <c r="LQY1" t="s">
        <v>12847</v>
      </c>
      <c r="LQZ1" t="s">
        <v>12848</v>
      </c>
      <c r="LRA1" t="s">
        <v>12849</v>
      </c>
      <c r="LRB1" t="s">
        <v>12850</v>
      </c>
      <c r="LRC1" t="s">
        <v>12851</v>
      </c>
      <c r="LRD1" t="s">
        <v>12852</v>
      </c>
      <c r="LRE1" t="s">
        <v>12853</v>
      </c>
      <c r="LRF1" t="s">
        <v>12854</v>
      </c>
      <c r="LRG1" t="s">
        <v>12855</v>
      </c>
      <c r="LRH1" t="s">
        <v>12856</v>
      </c>
      <c r="LRI1" t="s">
        <v>12857</v>
      </c>
      <c r="LRJ1" t="s">
        <v>12858</v>
      </c>
      <c r="LRK1" t="s">
        <v>12859</v>
      </c>
      <c r="LRL1" t="s">
        <v>12860</v>
      </c>
      <c r="LRM1" t="s">
        <v>12861</v>
      </c>
      <c r="LRN1" t="s">
        <v>12862</v>
      </c>
      <c r="LRO1" t="s">
        <v>12863</v>
      </c>
      <c r="LRP1" t="s">
        <v>12864</v>
      </c>
      <c r="LRQ1" t="s">
        <v>12865</v>
      </c>
      <c r="LRR1" t="s">
        <v>12866</v>
      </c>
      <c r="LRS1" t="s">
        <v>12867</v>
      </c>
      <c r="LRT1" t="s">
        <v>12868</v>
      </c>
      <c r="LRU1" t="s">
        <v>12869</v>
      </c>
      <c r="LRV1" t="s">
        <v>12870</v>
      </c>
      <c r="LRW1" t="s">
        <v>12871</v>
      </c>
      <c r="LRX1" t="s">
        <v>12872</v>
      </c>
      <c r="LRY1" t="s">
        <v>12873</v>
      </c>
      <c r="LRZ1" t="s">
        <v>12874</v>
      </c>
      <c r="LSA1" t="s">
        <v>12875</v>
      </c>
      <c r="LSB1" t="s">
        <v>12876</v>
      </c>
      <c r="LSC1" t="s">
        <v>12877</v>
      </c>
      <c r="LSD1" t="s">
        <v>12878</v>
      </c>
      <c r="LSE1" t="s">
        <v>12879</v>
      </c>
      <c r="LSF1" t="s">
        <v>12880</v>
      </c>
      <c r="LSG1" t="s">
        <v>12881</v>
      </c>
      <c r="LSH1" t="s">
        <v>12882</v>
      </c>
      <c r="LSI1" t="s">
        <v>12883</v>
      </c>
      <c r="LSJ1" t="s">
        <v>12884</v>
      </c>
      <c r="LSK1" t="s">
        <v>12885</v>
      </c>
      <c r="LSL1" t="s">
        <v>12886</v>
      </c>
      <c r="LSM1" t="s">
        <v>12887</v>
      </c>
      <c r="LSN1" t="s">
        <v>12888</v>
      </c>
      <c r="LSO1" t="s">
        <v>12889</v>
      </c>
      <c r="LSP1" t="s">
        <v>12890</v>
      </c>
      <c r="LSQ1" t="s">
        <v>12891</v>
      </c>
      <c r="LSR1" t="s">
        <v>12892</v>
      </c>
      <c r="LSS1" t="s">
        <v>12893</v>
      </c>
      <c r="LST1" t="s">
        <v>12894</v>
      </c>
      <c r="LSU1" t="s">
        <v>12895</v>
      </c>
      <c r="LSV1" t="s">
        <v>12896</v>
      </c>
      <c r="LSW1" t="s">
        <v>12897</v>
      </c>
      <c r="LSX1" t="s">
        <v>12898</v>
      </c>
      <c r="LSY1" t="s">
        <v>12899</v>
      </c>
      <c r="LSZ1" t="s">
        <v>12900</v>
      </c>
      <c r="LTA1" t="s">
        <v>12901</v>
      </c>
      <c r="LTB1" t="s">
        <v>12902</v>
      </c>
      <c r="LTC1" t="s">
        <v>12903</v>
      </c>
      <c r="LTD1" t="s">
        <v>12904</v>
      </c>
      <c r="LTE1" t="s">
        <v>12905</v>
      </c>
      <c r="LTF1" t="s">
        <v>12906</v>
      </c>
      <c r="LTG1" t="s">
        <v>12907</v>
      </c>
      <c r="LTH1" t="s">
        <v>12908</v>
      </c>
      <c r="LTI1" t="s">
        <v>12909</v>
      </c>
      <c r="LTJ1" t="s">
        <v>12910</v>
      </c>
      <c r="LTK1" t="s">
        <v>12911</v>
      </c>
      <c r="LTL1" t="s">
        <v>12912</v>
      </c>
      <c r="LTM1" t="s">
        <v>12913</v>
      </c>
      <c r="LTN1" t="s">
        <v>12914</v>
      </c>
      <c r="LTO1" t="s">
        <v>12915</v>
      </c>
      <c r="LTP1" t="s">
        <v>12916</v>
      </c>
      <c r="LTQ1" t="s">
        <v>12917</v>
      </c>
      <c r="LTR1" t="s">
        <v>12918</v>
      </c>
      <c r="LTS1" t="s">
        <v>12919</v>
      </c>
      <c r="LTT1" t="s">
        <v>12920</v>
      </c>
      <c r="LTU1" t="s">
        <v>12921</v>
      </c>
      <c r="LTV1" t="s">
        <v>12922</v>
      </c>
      <c r="LTW1" t="s">
        <v>12923</v>
      </c>
      <c r="LTX1" t="s">
        <v>12924</v>
      </c>
      <c r="LTY1" t="s">
        <v>12925</v>
      </c>
      <c r="LTZ1" t="s">
        <v>12926</v>
      </c>
      <c r="LUA1" t="s">
        <v>12927</v>
      </c>
      <c r="LUB1" t="s">
        <v>12928</v>
      </c>
      <c r="LUC1" t="s">
        <v>12929</v>
      </c>
      <c r="LUD1" t="s">
        <v>12930</v>
      </c>
      <c r="LUE1" t="s">
        <v>12931</v>
      </c>
      <c r="LUF1" t="s">
        <v>12932</v>
      </c>
      <c r="LUG1" t="s">
        <v>12933</v>
      </c>
      <c r="LUH1" t="s">
        <v>12934</v>
      </c>
      <c r="LUI1" t="s">
        <v>12935</v>
      </c>
      <c r="LUJ1" t="s">
        <v>12936</v>
      </c>
      <c r="LUK1" t="s">
        <v>12937</v>
      </c>
      <c r="LUL1" t="s">
        <v>12938</v>
      </c>
      <c r="LUM1" t="s">
        <v>12939</v>
      </c>
      <c r="LUN1" t="s">
        <v>12940</v>
      </c>
      <c r="LUO1" t="s">
        <v>12941</v>
      </c>
      <c r="LUP1" t="s">
        <v>12942</v>
      </c>
      <c r="LUQ1" t="s">
        <v>12943</v>
      </c>
      <c r="LUR1" t="s">
        <v>12944</v>
      </c>
      <c r="LUS1" t="s">
        <v>12945</v>
      </c>
      <c r="LUT1" t="s">
        <v>12946</v>
      </c>
      <c r="LUU1" t="s">
        <v>12947</v>
      </c>
      <c r="LUV1" t="s">
        <v>12948</v>
      </c>
      <c r="LUW1" t="s">
        <v>12949</v>
      </c>
      <c r="LUX1" t="s">
        <v>12950</v>
      </c>
      <c r="LUY1" t="s">
        <v>12951</v>
      </c>
      <c r="LUZ1" t="s">
        <v>12952</v>
      </c>
      <c r="LVA1" t="s">
        <v>12953</v>
      </c>
      <c r="LVB1" t="s">
        <v>12954</v>
      </c>
      <c r="LVC1" t="s">
        <v>12955</v>
      </c>
      <c r="LVD1" t="s">
        <v>12956</v>
      </c>
      <c r="LVE1" t="s">
        <v>12957</v>
      </c>
      <c r="LVF1" t="s">
        <v>12958</v>
      </c>
      <c r="LVG1" t="s">
        <v>12959</v>
      </c>
      <c r="LVH1" t="s">
        <v>12960</v>
      </c>
      <c r="LVI1" t="s">
        <v>12961</v>
      </c>
      <c r="LVJ1" t="s">
        <v>12962</v>
      </c>
      <c r="LVK1" t="s">
        <v>12963</v>
      </c>
      <c r="LVL1" t="s">
        <v>12964</v>
      </c>
      <c r="LVM1" t="s">
        <v>12965</v>
      </c>
      <c r="LVN1" t="s">
        <v>12966</v>
      </c>
      <c r="LVO1" t="s">
        <v>12967</v>
      </c>
      <c r="LVP1" t="s">
        <v>12968</v>
      </c>
      <c r="LVQ1" t="s">
        <v>12969</v>
      </c>
      <c r="LVR1" t="s">
        <v>12970</v>
      </c>
      <c r="LVS1" t="s">
        <v>12971</v>
      </c>
      <c r="LVT1" t="s">
        <v>12972</v>
      </c>
      <c r="LVU1" t="s">
        <v>12973</v>
      </c>
      <c r="LVV1" t="s">
        <v>12974</v>
      </c>
      <c r="LVW1" t="s">
        <v>12975</v>
      </c>
      <c r="LVX1" t="s">
        <v>12976</v>
      </c>
      <c r="LVY1" t="s">
        <v>12977</v>
      </c>
      <c r="LVZ1" t="s">
        <v>12978</v>
      </c>
      <c r="LWA1" t="s">
        <v>12979</v>
      </c>
      <c r="LWB1" t="s">
        <v>12980</v>
      </c>
      <c r="LWC1" t="s">
        <v>12981</v>
      </c>
      <c r="LWD1" t="s">
        <v>12982</v>
      </c>
      <c r="LWE1" t="s">
        <v>12983</v>
      </c>
      <c r="LWF1" t="s">
        <v>12984</v>
      </c>
      <c r="LWG1" t="s">
        <v>12985</v>
      </c>
      <c r="LWH1" t="s">
        <v>12986</v>
      </c>
      <c r="LWI1" t="s">
        <v>12987</v>
      </c>
      <c r="LWJ1" t="s">
        <v>12988</v>
      </c>
      <c r="LWK1" t="s">
        <v>12989</v>
      </c>
      <c r="LWL1" t="s">
        <v>12990</v>
      </c>
      <c r="LWM1" t="s">
        <v>12991</v>
      </c>
      <c r="LWN1" t="s">
        <v>12992</v>
      </c>
      <c r="LWO1" t="s">
        <v>12993</v>
      </c>
      <c r="LWP1" t="s">
        <v>12994</v>
      </c>
      <c r="LWQ1" t="s">
        <v>12995</v>
      </c>
      <c r="LWR1" t="s">
        <v>12996</v>
      </c>
      <c r="LWS1" t="s">
        <v>12997</v>
      </c>
      <c r="LWT1" t="s">
        <v>12998</v>
      </c>
      <c r="LWU1" t="s">
        <v>12999</v>
      </c>
      <c r="LWV1" t="s">
        <v>13000</v>
      </c>
      <c r="LWW1" t="s">
        <v>13001</v>
      </c>
      <c r="LWX1" t="s">
        <v>13002</v>
      </c>
      <c r="LWY1" t="s">
        <v>13003</v>
      </c>
      <c r="LWZ1" t="s">
        <v>13004</v>
      </c>
      <c r="LXA1" t="s">
        <v>13005</v>
      </c>
      <c r="LXB1" t="s">
        <v>13006</v>
      </c>
      <c r="LXC1" t="s">
        <v>13007</v>
      </c>
      <c r="LXD1" t="s">
        <v>13008</v>
      </c>
      <c r="LXE1" t="s">
        <v>13009</v>
      </c>
      <c r="LXF1" t="s">
        <v>13010</v>
      </c>
      <c r="LXG1" t="s">
        <v>13011</v>
      </c>
      <c r="LXH1" t="s">
        <v>13012</v>
      </c>
      <c r="LXI1" t="s">
        <v>13013</v>
      </c>
      <c r="LXJ1" t="s">
        <v>13014</v>
      </c>
      <c r="LXK1" t="s">
        <v>13015</v>
      </c>
      <c r="LXL1" t="s">
        <v>13016</v>
      </c>
      <c r="LXM1" t="s">
        <v>13017</v>
      </c>
      <c r="LXN1" t="s">
        <v>13018</v>
      </c>
      <c r="LXO1" t="s">
        <v>13019</v>
      </c>
      <c r="LXP1" t="s">
        <v>13020</v>
      </c>
      <c r="LXQ1" t="s">
        <v>13021</v>
      </c>
      <c r="LXR1" t="s">
        <v>13022</v>
      </c>
      <c r="LXS1" t="s">
        <v>13023</v>
      </c>
      <c r="LXT1" t="s">
        <v>13024</v>
      </c>
      <c r="LXU1" t="s">
        <v>13025</v>
      </c>
      <c r="LXV1" t="s">
        <v>13026</v>
      </c>
      <c r="LXW1" t="s">
        <v>13027</v>
      </c>
      <c r="LXX1" t="s">
        <v>13028</v>
      </c>
      <c r="LXY1" t="s">
        <v>13029</v>
      </c>
      <c r="LXZ1" t="s">
        <v>13030</v>
      </c>
      <c r="LYA1" t="s">
        <v>13031</v>
      </c>
      <c r="LYB1" t="s">
        <v>13032</v>
      </c>
      <c r="LYC1" t="s">
        <v>13033</v>
      </c>
      <c r="LYD1" t="s">
        <v>13034</v>
      </c>
      <c r="LYE1" t="s">
        <v>13035</v>
      </c>
      <c r="LYF1" t="s">
        <v>13036</v>
      </c>
      <c r="LYG1" t="s">
        <v>13037</v>
      </c>
      <c r="LYH1" t="s">
        <v>13038</v>
      </c>
      <c r="LYI1" t="s">
        <v>13039</v>
      </c>
      <c r="LYJ1" t="s">
        <v>13040</v>
      </c>
      <c r="LYK1" t="s">
        <v>13041</v>
      </c>
      <c r="LYL1" t="s">
        <v>13042</v>
      </c>
      <c r="LYM1" t="s">
        <v>13043</v>
      </c>
      <c r="LYN1" t="s">
        <v>13044</v>
      </c>
      <c r="LYO1" t="s">
        <v>13045</v>
      </c>
      <c r="LYP1" t="s">
        <v>13046</v>
      </c>
      <c r="LYQ1" t="s">
        <v>13047</v>
      </c>
      <c r="LYR1" t="s">
        <v>13048</v>
      </c>
      <c r="LYS1" t="s">
        <v>13049</v>
      </c>
      <c r="LYT1" t="s">
        <v>13050</v>
      </c>
      <c r="LYU1" t="s">
        <v>13051</v>
      </c>
      <c r="LYV1" t="s">
        <v>13052</v>
      </c>
      <c r="LYW1" t="s">
        <v>13053</v>
      </c>
      <c r="LYX1" t="s">
        <v>13054</v>
      </c>
      <c r="LYY1" t="s">
        <v>13055</v>
      </c>
      <c r="LYZ1" t="s">
        <v>13056</v>
      </c>
      <c r="LZA1" t="s">
        <v>13057</v>
      </c>
      <c r="LZB1" t="s">
        <v>13058</v>
      </c>
      <c r="LZC1" t="s">
        <v>13059</v>
      </c>
      <c r="LZD1" t="s">
        <v>13060</v>
      </c>
      <c r="LZE1" t="s">
        <v>13061</v>
      </c>
      <c r="LZF1" t="s">
        <v>13062</v>
      </c>
      <c r="LZG1" t="s">
        <v>13063</v>
      </c>
      <c r="LZH1" t="s">
        <v>13064</v>
      </c>
      <c r="LZI1" t="s">
        <v>13065</v>
      </c>
      <c r="LZJ1" t="s">
        <v>13066</v>
      </c>
      <c r="LZK1" t="s">
        <v>13067</v>
      </c>
      <c r="LZL1" t="s">
        <v>13068</v>
      </c>
      <c r="LZM1" t="s">
        <v>13069</v>
      </c>
      <c r="LZN1" t="s">
        <v>13070</v>
      </c>
      <c r="LZO1" t="s">
        <v>13071</v>
      </c>
      <c r="LZP1" t="s">
        <v>13072</v>
      </c>
      <c r="LZQ1" t="s">
        <v>13073</v>
      </c>
      <c r="LZR1" t="s">
        <v>13074</v>
      </c>
      <c r="LZS1" t="s">
        <v>13075</v>
      </c>
      <c r="LZT1" t="s">
        <v>13076</v>
      </c>
      <c r="LZU1" t="s">
        <v>13077</v>
      </c>
      <c r="LZV1" t="s">
        <v>13078</v>
      </c>
      <c r="LZW1" t="s">
        <v>13079</v>
      </c>
      <c r="LZX1" t="s">
        <v>13080</v>
      </c>
      <c r="LZY1" t="s">
        <v>13081</v>
      </c>
      <c r="LZZ1" t="s">
        <v>13082</v>
      </c>
      <c r="MAA1" t="s">
        <v>13083</v>
      </c>
      <c r="MAB1" t="s">
        <v>13084</v>
      </c>
      <c r="MAC1" t="s">
        <v>13085</v>
      </c>
      <c r="MAD1" t="s">
        <v>13086</v>
      </c>
      <c r="MAE1" t="s">
        <v>13087</v>
      </c>
      <c r="MAF1" t="s">
        <v>13088</v>
      </c>
      <c r="MAG1" t="s">
        <v>13089</v>
      </c>
      <c r="MAH1" t="s">
        <v>13090</v>
      </c>
      <c r="MAI1" t="s">
        <v>13091</v>
      </c>
      <c r="MAJ1" t="s">
        <v>13092</v>
      </c>
      <c r="MAK1" t="s">
        <v>13093</v>
      </c>
      <c r="MAL1" t="s">
        <v>13094</v>
      </c>
      <c r="MAM1" t="s">
        <v>13095</v>
      </c>
      <c r="MAN1" t="s">
        <v>13096</v>
      </c>
      <c r="MAO1" t="s">
        <v>13097</v>
      </c>
      <c r="MAP1" t="s">
        <v>13098</v>
      </c>
      <c r="MAQ1" t="s">
        <v>13099</v>
      </c>
      <c r="MAR1" t="s">
        <v>13100</v>
      </c>
      <c r="MAS1" t="s">
        <v>13101</v>
      </c>
      <c r="MAT1" t="s">
        <v>13102</v>
      </c>
      <c r="MAU1" t="s">
        <v>13103</v>
      </c>
      <c r="MAV1" t="s">
        <v>13104</v>
      </c>
      <c r="MAW1" t="s">
        <v>13105</v>
      </c>
      <c r="MAX1" t="s">
        <v>13106</v>
      </c>
      <c r="MAY1" t="s">
        <v>13107</v>
      </c>
      <c r="MAZ1" t="s">
        <v>13108</v>
      </c>
      <c r="MBA1" t="s">
        <v>13109</v>
      </c>
      <c r="MBB1" t="s">
        <v>13110</v>
      </c>
      <c r="MBC1" t="s">
        <v>13111</v>
      </c>
      <c r="MBD1" t="s">
        <v>13112</v>
      </c>
      <c r="MBE1" t="s">
        <v>13113</v>
      </c>
      <c r="MBF1" t="s">
        <v>13114</v>
      </c>
      <c r="MBG1" t="s">
        <v>13115</v>
      </c>
      <c r="MBH1" t="s">
        <v>13116</v>
      </c>
      <c r="MBI1" t="s">
        <v>13117</v>
      </c>
      <c r="MBJ1" t="s">
        <v>13118</v>
      </c>
      <c r="MBK1" t="s">
        <v>13119</v>
      </c>
      <c r="MBL1" t="s">
        <v>13120</v>
      </c>
      <c r="MBM1" t="s">
        <v>13121</v>
      </c>
      <c r="MBN1" t="s">
        <v>13122</v>
      </c>
      <c r="MBO1" t="s">
        <v>13123</v>
      </c>
      <c r="MBP1" t="s">
        <v>13124</v>
      </c>
      <c r="MBQ1" t="s">
        <v>13125</v>
      </c>
      <c r="MBR1" t="s">
        <v>13126</v>
      </c>
      <c r="MBS1" t="s">
        <v>13127</v>
      </c>
      <c r="MBT1" t="s">
        <v>13128</v>
      </c>
      <c r="MBU1" t="s">
        <v>13129</v>
      </c>
      <c r="MBV1" t="s">
        <v>13130</v>
      </c>
      <c r="MBW1" t="s">
        <v>13131</v>
      </c>
      <c r="MBX1" t="s">
        <v>13132</v>
      </c>
      <c r="MBY1" t="s">
        <v>13133</v>
      </c>
      <c r="MBZ1" t="s">
        <v>13134</v>
      </c>
      <c r="MCA1" t="s">
        <v>13135</v>
      </c>
      <c r="MCB1" t="s">
        <v>13136</v>
      </c>
      <c r="MCC1" t="s">
        <v>13137</v>
      </c>
      <c r="MCD1" t="s">
        <v>13138</v>
      </c>
      <c r="MCE1" t="s">
        <v>13139</v>
      </c>
      <c r="MCF1" t="s">
        <v>13140</v>
      </c>
      <c r="MCG1" t="s">
        <v>13141</v>
      </c>
      <c r="MCH1" t="s">
        <v>13142</v>
      </c>
      <c r="MCI1" t="s">
        <v>13143</v>
      </c>
      <c r="MCJ1" t="s">
        <v>13144</v>
      </c>
      <c r="MCK1" t="s">
        <v>13145</v>
      </c>
      <c r="MCL1" t="s">
        <v>13146</v>
      </c>
      <c r="MCM1" t="s">
        <v>13147</v>
      </c>
      <c r="MCN1" t="s">
        <v>13148</v>
      </c>
      <c r="MCO1" t="s">
        <v>13149</v>
      </c>
      <c r="MCP1" t="s">
        <v>13150</v>
      </c>
      <c r="MCQ1" t="s">
        <v>13151</v>
      </c>
      <c r="MCR1" t="s">
        <v>13152</v>
      </c>
      <c r="MCS1" t="s">
        <v>13153</v>
      </c>
      <c r="MCT1" t="s">
        <v>13154</v>
      </c>
      <c r="MCU1" t="s">
        <v>13155</v>
      </c>
      <c r="MCV1" t="s">
        <v>13156</v>
      </c>
      <c r="MCW1" t="s">
        <v>13157</v>
      </c>
      <c r="MCX1" t="s">
        <v>13158</v>
      </c>
      <c r="MCY1" t="s">
        <v>13159</v>
      </c>
      <c r="MCZ1" t="s">
        <v>13160</v>
      </c>
      <c r="MDA1" t="s">
        <v>13161</v>
      </c>
      <c r="MDB1" t="s">
        <v>13162</v>
      </c>
      <c r="MDC1" t="s">
        <v>13163</v>
      </c>
      <c r="MDD1" t="s">
        <v>13164</v>
      </c>
      <c r="MDE1" t="s">
        <v>13165</v>
      </c>
      <c r="MDF1" t="s">
        <v>13166</v>
      </c>
      <c r="MDG1" t="s">
        <v>13167</v>
      </c>
      <c r="MDH1" t="s">
        <v>13168</v>
      </c>
      <c r="MDI1" t="s">
        <v>13169</v>
      </c>
      <c r="MDJ1" t="s">
        <v>13170</v>
      </c>
      <c r="MDK1" t="s">
        <v>13171</v>
      </c>
      <c r="MDL1" t="s">
        <v>13172</v>
      </c>
      <c r="MDM1" t="s">
        <v>13173</v>
      </c>
      <c r="MDN1" t="s">
        <v>13174</v>
      </c>
      <c r="MDO1" t="s">
        <v>13175</v>
      </c>
      <c r="MDP1" t="s">
        <v>13176</v>
      </c>
      <c r="MDQ1" t="s">
        <v>13177</v>
      </c>
      <c r="MDR1" t="s">
        <v>13178</v>
      </c>
      <c r="MDS1" t="s">
        <v>13179</v>
      </c>
      <c r="MDT1" t="s">
        <v>13180</v>
      </c>
      <c r="MDU1" t="s">
        <v>13181</v>
      </c>
      <c r="MDV1" t="s">
        <v>13182</v>
      </c>
      <c r="MDW1" t="s">
        <v>13183</v>
      </c>
      <c r="MDX1" t="s">
        <v>13184</v>
      </c>
      <c r="MDY1" t="s">
        <v>13185</v>
      </c>
      <c r="MDZ1" t="s">
        <v>13186</v>
      </c>
      <c r="MEA1" t="s">
        <v>13187</v>
      </c>
      <c r="MEB1" t="s">
        <v>13188</v>
      </c>
      <c r="MEC1" t="s">
        <v>13189</v>
      </c>
      <c r="MED1" t="s">
        <v>13190</v>
      </c>
      <c r="MEE1" t="s">
        <v>13191</v>
      </c>
      <c r="MEF1" t="s">
        <v>13192</v>
      </c>
      <c r="MEG1" t="s">
        <v>13193</v>
      </c>
      <c r="MEH1" t="s">
        <v>13194</v>
      </c>
      <c r="MEI1" t="s">
        <v>13195</v>
      </c>
      <c r="MEJ1" t="s">
        <v>13196</v>
      </c>
      <c r="MEK1" t="s">
        <v>13197</v>
      </c>
      <c r="MEL1" t="s">
        <v>13198</v>
      </c>
      <c r="MEM1" t="s">
        <v>13199</v>
      </c>
      <c r="MEN1" t="s">
        <v>13200</v>
      </c>
      <c r="MEO1" t="s">
        <v>13201</v>
      </c>
      <c r="MEP1" t="s">
        <v>13202</v>
      </c>
      <c r="MEQ1" t="s">
        <v>13203</v>
      </c>
      <c r="MER1" t="s">
        <v>13204</v>
      </c>
      <c r="MES1" t="s">
        <v>13205</v>
      </c>
      <c r="MET1" t="s">
        <v>13206</v>
      </c>
      <c r="MEU1" t="s">
        <v>13207</v>
      </c>
      <c r="MEV1" t="s">
        <v>13208</v>
      </c>
      <c r="MEW1" t="s">
        <v>13209</v>
      </c>
      <c r="MEX1" t="s">
        <v>13210</v>
      </c>
      <c r="MEY1" t="s">
        <v>13211</v>
      </c>
      <c r="MEZ1" t="s">
        <v>13212</v>
      </c>
      <c r="MFA1" t="s">
        <v>13213</v>
      </c>
      <c r="MFB1" t="s">
        <v>13214</v>
      </c>
      <c r="MFC1" t="s">
        <v>13215</v>
      </c>
      <c r="MFD1" t="s">
        <v>13216</v>
      </c>
      <c r="MFE1" t="s">
        <v>13217</v>
      </c>
      <c r="MFF1" t="s">
        <v>13218</v>
      </c>
      <c r="MFG1" t="s">
        <v>13219</v>
      </c>
      <c r="MFH1" t="s">
        <v>13220</v>
      </c>
      <c r="MFI1" t="s">
        <v>13221</v>
      </c>
      <c r="MFJ1" t="s">
        <v>13222</v>
      </c>
      <c r="MFK1" t="s">
        <v>13223</v>
      </c>
      <c r="MFL1" t="s">
        <v>13224</v>
      </c>
      <c r="MFM1" t="s">
        <v>13225</v>
      </c>
      <c r="MFN1" t="s">
        <v>13226</v>
      </c>
      <c r="MFO1" t="s">
        <v>13227</v>
      </c>
      <c r="MFP1" t="s">
        <v>13228</v>
      </c>
      <c r="MFQ1" t="s">
        <v>13229</v>
      </c>
      <c r="MFR1" t="s">
        <v>13230</v>
      </c>
      <c r="MFS1" t="s">
        <v>13231</v>
      </c>
      <c r="MFT1" t="s">
        <v>13232</v>
      </c>
      <c r="MFU1" t="s">
        <v>13233</v>
      </c>
      <c r="MFV1" t="s">
        <v>13234</v>
      </c>
      <c r="MFW1" t="s">
        <v>13235</v>
      </c>
      <c r="MFX1" t="s">
        <v>13236</v>
      </c>
      <c r="MFY1" t="s">
        <v>13237</v>
      </c>
      <c r="MFZ1" t="s">
        <v>13238</v>
      </c>
      <c r="MGA1" t="s">
        <v>13239</v>
      </c>
      <c r="MGB1" t="s">
        <v>13240</v>
      </c>
      <c r="MGC1" t="s">
        <v>13241</v>
      </c>
      <c r="MGD1" t="s">
        <v>13242</v>
      </c>
      <c r="MGE1" t="s">
        <v>13243</v>
      </c>
      <c r="MGF1" t="s">
        <v>13244</v>
      </c>
      <c r="MGG1" t="s">
        <v>13245</v>
      </c>
      <c r="MGH1" t="s">
        <v>13246</v>
      </c>
      <c r="MGI1" t="s">
        <v>13247</v>
      </c>
      <c r="MGJ1" t="s">
        <v>13248</v>
      </c>
      <c r="MGK1" t="s">
        <v>13249</v>
      </c>
      <c r="MGL1" t="s">
        <v>13250</v>
      </c>
      <c r="MGM1" t="s">
        <v>13251</v>
      </c>
      <c r="MGN1" t="s">
        <v>13252</v>
      </c>
      <c r="MGO1" t="s">
        <v>13253</v>
      </c>
      <c r="MGP1" t="s">
        <v>13254</v>
      </c>
      <c r="MGQ1" t="s">
        <v>13255</v>
      </c>
      <c r="MGR1" t="s">
        <v>13256</v>
      </c>
      <c r="MGS1" t="s">
        <v>13257</v>
      </c>
      <c r="MGT1" t="s">
        <v>13258</v>
      </c>
      <c r="MGU1" t="s">
        <v>13259</v>
      </c>
      <c r="MGV1" t="s">
        <v>13260</v>
      </c>
      <c r="MGW1" t="s">
        <v>13261</v>
      </c>
      <c r="MGX1" t="s">
        <v>13262</v>
      </c>
      <c r="MGY1" t="s">
        <v>13263</v>
      </c>
      <c r="MGZ1" t="s">
        <v>13264</v>
      </c>
      <c r="MHA1" t="s">
        <v>13265</v>
      </c>
      <c r="MHB1" t="s">
        <v>13266</v>
      </c>
      <c r="MHC1" t="s">
        <v>13267</v>
      </c>
      <c r="MHD1" t="s">
        <v>13268</v>
      </c>
      <c r="MHE1" t="s">
        <v>13269</v>
      </c>
      <c r="MHF1" t="s">
        <v>13270</v>
      </c>
      <c r="MHG1" t="s">
        <v>13271</v>
      </c>
      <c r="MHH1" t="s">
        <v>13272</v>
      </c>
      <c r="MHI1" t="s">
        <v>13273</v>
      </c>
      <c r="MHJ1" t="s">
        <v>13274</v>
      </c>
      <c r="MHK1" t="s">
        <v>13275</v>
      </c>
      <c r="MHL1" t="s">
        <v>13276</v>
      </c>
      <c r="MHM1" t="s">
        <v>13277</v>
      </c>
      <c r="MHN1" t="s">
        <v>13278</v>
      </c>
      <c r="MHO1" t="s">
        <v>13279</v>
      </c>
      <c r="MHP1" t="s">
        <v>13280</v>
      </c>
      <c r="MHQ1" t="s">
        <v>13281</v>
      </c>
      <c r="MHR1" t="s">
        <v>13282</v>
      </c>
      <c r="MHS1" t="s">
        <v>13283</v>
      </c>
      <c r="MHT1" t="s">
        <v>13284</v>
      </c>
      <c r="MHU1" t="s">
        <v>13285</v>
      </c>
      <c r="MHV1" t="s">
        <v>13286</v>
      </c>
      <c r="MHW1" t="s">
        <v>13287</v>
      </c>
      <c r="MHX1" t="s">
        <v>13288</v>
      </c>
      <c r="MHY1" t="s">
        <v>13289</v>
      </c>
      <c r="MHZ1" t="s">
        <v>13290</v>
      </c>
      <c r="MIA1" t="s">
        <v>13291</v>
      </c>
      <c r="MIB1" t="s">
        <v>13292</v>
      </c>
      <c r="MIC1" t="s">
        <v>13293</v>
      </c>
      <c r="MID1" t="s">
        <v>13294</v>
      </c>
      <c r="MIE1" t="s">
        <v>13295</v>
      </c>
      <c r="MIF1" t="s">
        <v>13296</v>
      </c>
      <c r="MIG1" t="s">
        <v>13297</v>
      </c>
      <c r="MIH1" t="s">
        <v>13298</v>
      </c>
      <c r="MII1" t="s">
        <v>13299</v>
      </c>
      <c r="MIJ1" t="s">
        <v>13300</v>
      </c>
      <c r="MIK1" t="s">
        <v>13301</v>
      </c>
      <c r="MIL1" t="s">
        <v>13302</v>
      </c>
      <c r="MIM1" t="s">
        <v>13303</v>
      </c>
      <c r="MIN1" t="s">
        <v>13304</v>
      </c>
      <c r="MIO1" t="s">
        <v>13305</v>
      </c>
      <c r="MIP1" t="s">
        <v>13306</v>
      </c>
      <c r="MIQ1" t="s">
        <v>13307</v>
      </c>
      <c r="MIR1" t="s">
        <v>13308</v>
      </c>
      <c r="MIS1" t="s">
        <v>13309</v>
      </c>
      <c r="MIT1" t="s">
        <v>13310</v>
      </c>
      <c r="MIU1" t="s">
        <v>13311</v>
      </c>
      <c r="MIV1" t="s">
        <v>13312</v>
      </c>
      <c r="MIW1" t="s">
        <v>13313</v>
      </c>
      <c r="MIX1" t="s">
        <v>13314</v>
      </c>
      <c r="MIY1" t="s">
        <v>13315</v>
      </c>
      <c r="MIZ1" t="s">
        <v>13316</v>
      </c>
      <c r="MJA1" t="s">
        <v>13317</v>
      </c>
      <c r="MJB1" t="s">
        <v>13318</v>
      </c>
      <c r="MJC1" t="s">
        <v>13319</v>
      </c>
      <c r="MJD1" t="s">
        <v>13320</v>
      </c>
      <c r="MJE1" t="s">
        <v>13321</v>
      </c>
      <c r="MJF1" t="s">
        <v>13322</v>
      </c>
      <c r="MJG1" t="s">
        <v>13323</v>
      </c>
      <c r="MJH1" t="s">
        <v>13324</v>
      </c>
      <c r="MJI1" t="s">
        <v>13325</v>
      </c>
      <c r="MJJ1" t="s">
        <v>13326</v>
      </c>
      <c r="MJK1" t="s">
        <v>13327</v>
      </c>
      <c r="MJL1" t="s">
        <v>13328</v>
      </c>
      <c r="MJM1" t="s">
        <v>13329</v>
      </c>
      <c r="MJN1" t="s">
        <v>13330</v>
      </c>
      <c r="MJO1" t="s">
        <v>13331</v>
      </c>
      <c r="MJP1" t="s">
        <v>13332</v>
      </c>
      <c r="MJQ1" t="s">
        <v>13333</v>
      </c>
      <c r="MJR1" t="s">
        <v>13334</v>
      </c>
      <c r="MJS1" t="s">
        <v>13335</v>
      </c>
      <c r="MJT1" t="s">
        <v>13336</v>
      </c>
      <c r="MJU1" t="s">
        <v>13337</v>
      </c>
      <c r="MJV1" t="s">
        <v>13338</v>
      </c>
      <c r="MJW1" t="s">
        <v>13339</v>
      </c>
      <c r="MJX1" t="s">
        <v>13340</v>
      </c>
      <c r="MJY1" t="s">
        <v>13341</v>
      </c>
      <c r="MJZ1" t="s">
        <v>13342</v>
      </c>
      <c r="MKA1" t="s">
        <v>13343</v>
      </c>
      <c r="MKB1" t="s">
        <v>13344</v>
      </c>
      <c r="MKC1" t="s">
        <v>13345</v>
      </c>
      <c r="MKD1" t="s">
        <v>13346</v>
      </c>
      <c r="MKE1" t="s">
        <v>13347</v>
      </c>
      <c r="MKF1" t="s">
        <v>13348</v>
      </c>
      <c r="MKG1" t="s">
        <v>13349</v>
      </c>
      <c r="MKH1" t="s">
        <v>13350</v>
      </c>
      <c r="MKI1" t="s">
        <v>13351</v>
      </c>
      <c r="MKJ1" t="s">
        <v>13352</v>
      </c>
      <c r="MKK1" t="s">
        <v>13353</v>
      </c>
      <c r="MKL1" t="s">
        <v>13354</v>
      </c>
      <c r="MKM1" t="s">
        <v>13355</v>
      </c>
      <c r="MKN1" t="s">
        <v>13356</v>
      </c>
      <c r="MKO1" t="s">
        <v>13357</v>
      </c>
      <c r="MKP1" t="s">
        <v>13358</v>
      </c>
      <c r="MKQ1" t="s">
        <v>13359</v>
      </c>
      <c r="MKR1" t="s">
        <v>13360</v>
      </c>
      <c r="MKS1" t="s">
        <v>13361</v>
      </c>
      <c r="MKT1" t="s">
        <v>13362</v>
      </c>
      <c r="MKU1" t="s">
        <v>13363</v>
      </c>
      <c r="MKV1" t="s">
        <v>13364</v>
      </c>
      <c r="MKW1" t="s">
        <v>13365</v>
      </c>
      <c r="MKX1" t="s">
        <v>13366</v>
      </c>
      <c r="MKY1" t="s">
        <v>13367</v>
      </c>
      <c r="MKZ1" t="s">
        <v>13368</v>
      </c>
      <c r="MLA1" t="s">
        <v>13369</v>
      </c>
      <c r="MLB1" t="s">
        <v>13370</v>
      </c>
      <c r="MLC1" t="s">
        <v>13371</v>
      </c>
      <c r="MLD1" t="s">
        <v>13372</v>
      </c>
      <c r="MLE1" t="s">
        <v>13373</v>
      </c>
      <c r="MLF1" t="s">
        <v>13374</v>
      </c>
      <c r="MLG1" t="s">
        <v>13375</v>
      </c>
      <c r="MLH1" t="s">
        <v>13376</v>
      </c>
      <c r="MLI1" t="s">
        <v>13377</v>
      </c>
      <c r="MLJ1" t="s">
        <v>13378</v>
      </c>
      <c r="MLK1" t="s">
        <v>13379</v>
      </c>
      <c r="MLL1" t="s">
        <v>13380</v>
      </c>
      <c r="MLM1" t="s">
        <v>13381</v>
      </c>
      <c r="MLN1" t="s">
        <v>13382</v>
      </c>
      <c r="MLO1" t="s">
        <v>13383</v>
      </c>
      <c r="MLP1" t="s">
        <v>13384</v>
      </c>
      <c r="MLQ1" t="s">
        <v>13385</v>
      </c>
      <c r="MLR1" t="s">
        <v>13386</v>
      </c>
      <c r="MLS1" t="s">
        <v>13387</v>
      </c>
      <c r="MLT1" t="s">
        <v>13388</v>
      </c>
      <c r="MLU1" t="s">
        <v>13389</v>
      </c>
      <c r="MLV1" t="s">
        <v>13390</v>
      </c>
      <c r="MLW1" t="s">
        <v>13391</v>
      </c>
      <c r="MLX1" t="s">
        <v>13392</v>
      </c>
      <c r="MLY1" t="s">
        <v>13393</v>
      </c>
      <c r="MLZ1" t="s">
        <v>13394</v>
      </c>
      <c r="MMA1" t="s">
        <v>13395</v>
      </c>
      <c r="MMB1" t="s">
        <v>13396</v>
      </c>
      <c r="MMC1" t="s">
        <v>13397</v>
      </c>
      <c r="MMD1" t="s">
        <v>13398</v>
      </c>
      <c r="MME1" t="s">
        <v>13399</v>
      </c>
      <c r="MMF1" t="s">
        <v>13400</v>
      </c>
      <c r="MMG1" t="s">
        <v>13401</v>
      </c>
      <c r="MMH1" t="s">
        <v>13402</v>
      </c>
      <c r="MMI1" t="s">
        <v>13403</v>
      </c>
      <c r="MMJ1" t="s">
        <v>13404</v>
      </c>
      <c r="MMK1" t="s">
        <v>13405</v>
      </c>
      <c r="MML1" t="s">
        <v>13406</v>
      </c>
      <c r="MMM1" t="s">
        <v>13407</v>
      </c>
      <c r="MMN1" t="s">
        <v>13408</v>
      </c>
      <c r="MMO1" t="s">
        <v>13409</v>
      </c>
      <c r="MMP1" t="s">
        <v>13410</v>
      </c>
      <c r="MMQ1" t="s">
        <v>13411</v>
      </c>
      <c r="MMR1" t="s">
        <v>13412</v>
      </c>
      <c r="MMS1" t="s">
        <v>13413</v>
      </c>
      <c r="MMT1" t="s">
        <v>13414</v>
      </c>
      <c r="MMU1" t="s">
        <v>13415</v>
      </c>
      <c r="MMV1" t="s">
        <v>13416</v>
      </c>
      <c r="MMW1" t="s">
        <v>13417</v>
      </c>
      <c r="MMX1" t="s">
        <v>13418</v>
      </c>
      <c r="MMY1" t="s">
        <v>13419</v>
      </c>
      <c r="MMZ1" t="s">
        <v>13420</v>
      </c>
      <c r="MNA1" t="s">
        <v>13421</v>
      </c>
      <c r="MNB1" t="s">
        <v>13422</v>
      </c>
      <c r="MNC1" t="s">
        <v>13423</v>
      </c>
      <c r="MND1" t="s">
        <v>13424</v>
      </c>
      <c r="MNE1" t="s">
        <v>13425</v>
      </c>
      <c r="MNF1" t="s">
        <v>13426</v>
      </c>
      <c r="MNG1" t="s">
        <v>13427</v>
      </c>
      <c r="MNH1" t="s">
        <v>13428</v>
      </c>
      <c r="MNI1" t="s">
        <v>13429</v>
      </c>
      <c r="MNJ1" t="s">
        <v>13430</v>
      </c>
      <c r="MNK1" t="s">
        <v>13431</v>
      </c>
      <c r="MNL1" t="s">
        <v>13432</v>
      </c>
      <c r="MNM1" t="s">
        <v>13433</v>
      </c>
      <c r="MNN1" t="s">
        <v>13434</v>
      </c>
      <c r="MNO1" t="s">
        <v>13435</v>
      </c>
      <c r="MNP1" t="s">
        <v>13436</v>
      </c>
      <c r="MNQ1" t="s">
        <v>13437</v>
      </c>
      <c r="MNR1" t="s">
        <v>13438</v>
      </c>
      <c r="MNS1" t="s">
        <v>13439</v>
      </c>
      <c r="MNT1" t="s">
        <v>13440</v>
      </c>
      <c r="MNU1" t="s">
        <v>13441</v>
      </c>
      <c r="MNV1" t="s">
        <v>13442</v>
      </c>
      <c r="MNW1" t="s">
        <v>13443</v>
      </c>
      <c r="MNX1" t="s">
        <v>13444</v>
      </c>
      <c r="MNY1" t="s">
        <v>13445</v>
      </c>
      <c r="MNZ1" t="s">
        <v>13446</v>
      </c>
      <c r="MOA1" t="s">
        <v>13447</v>
      </c>
      <c r="MOB1" t="s">
        <v>13448</v>
      </c>
      <c r="MOC1" t="s">
        <v>13449</v>
      </c>
      <c r="MOD1" t="s">
        <v>13450</v>
      </c>
      <c r="MOE1" t="s">
        <v>13451</v>
      </c>
      <c r="MOF1" t="s">
        <v>13452</v>
      </c>
      <c r="MOG1" t="s">
        <v>13453</v>
      </c>
      <c r="MOH1" t="s">
        <v>13454</v>
      </c>
      <c r="MOI1" t="s">
        <v>13455</v>
      </c>
      <c r="MOJ1" t="s">
        <v>13456</v>
      </c>
      <c r="MOK1" t="s">
        <v>13457</v>
      </c>
      <c r="MOL1" t="s">
        <v>13458</v>
      </c>
      <c r="MOM1" t="s">
        <v>13459</v>
      </c>
      <c r="MON1" t="s">
        <v>13460</v>
      </c>
      <c r="MOO1" t="s">
        <v>13461</v>
      </c>
      <c r="MOP1" t="s">
        <v>13462</v>
      </c>
      <c r="MOQ1" t="s">
        <v>13463</v>
      </c>
      <c r="MOR1" t="s">
        <v>13464</v>
      </c>
      <c r="MOS1" t="s">
        <v>13465</v>
      </c>
      <c r="MOT1" t="s">
        <v>13466</v>
      </c>
      <c r="MOU1" t="s">
        <v>13467</v>
      </c>
      <c r="MOV1" t="s">
        <v>13468</v>
      </c>
      <c r="MOW1" t="s">
        <v>13469</v>
      </c>
      <c r="MOX1" t="s">
        <v>13470</v>
      </c>
      <c r="MOY1" t="s">
        <v>13471</v>
      </c>
      <c r="MOZ1" t="s">
        <v>13472</v>
      </c>
      <c r="MPA1" t="s">
        <v>13473</v>
      </c>
      <c r="MPB1" t="s">
        <v>13474</v>
      </c>
      <c r="MPC1" t="s">
        <v>13475</v>
      </c>
      <c r="MPD1" t="s">
        <v>13476</v>
      </c>
      <c r="MPE1" t="s">
        <v>13477</v>
      </c>
      <c r="MPF1" t="s">
        <v>13478</v>
      </c>
      <c r="MPG1" t="s">
        <v>13479</v>
      </c>
      <c r="MPH1" t="s">
        <v>13480</v>
      </c>
      <c r="MPI1" t="s">
        <v>13481</v>
      </c>
      <c r="MPJ1" t="s">
        <v>13482</v>
      </c>
      <c r="MPK1" t="s">
        <v>13483</v>
      </c>
      <c r="MPL1" t="s">
        <v>13484</v>
      </c>
      <c r="MPM1" t="s">
        <v>13485</v>
      </c>
      <c r="MPN1" t="s">
        <v>13486</v>
      </c>
      <c r="MPO1" t="s">
        <v>13487</v>
      </c>
      <c r="MPP1" t="s">
        <v>13488</v>
      </c>
      <c r="MPQ1" t="s">
        <v>13489</v>
      </c>
      <c r="MPR1" t="s">
        <v>13490</v>
      </c>
      <c r="MPS1" t="s">
        <v>13491</v>
      </c>
      <c r="MPT1" t="s">
        <v>13492</v>
      </c>
      <c r="MPU1" t="s">
        <v>13493</v>
      </c>
      <c r="MPV1" t="s">
        <v>13494</v>
      </c>
      <c r="MPW1" t="s">
        <v>13495</v>
      </c>
      <c r="MPX1" t="s">
        <v>13496</v>
      </c>
      <c r="MPY1" t="s">
        <v>13497</v>
      </c>
      <c r="MPZ1" t="s">
        <v>13498</v>
      </c>
      <c r="MQA1" t="s">
        <v>13499</v>
      </c>
      <c r="MQB1" t="s">
        <v>13500</v>
      </c>
      <c r="MQC1" t="s">
        <v>13501</v>
      </c>
      <c r="MQD1" t="s">
        <v>13502</v>
      </c>
      <c r="MQE1" t="s">
        <v>13503</v>
      </c>
      <c r="MQF1" t="s">
        <v>13504</v>
      </c>
      <c r="MQG1" t="s">
        <v>13505</v>
      </c>
      <c r="MQH1" t="s">
        <v>13506</v>
      </c>
      <c r="MQI1" t="s">
        <v>13507</v>
      </c>
      <c r="MQJ1" t="s">
        <v>13508</v>
      </c>
      <c r="MQK1" t="s">
        <v>13509</v>
      </c>
      <c r="MQL1" t="s">
        <v>13510</v>
      </c>
      <c r="MQM1" t="s">
        <v>13511</v>
      </c>
      <c r="MQN1" t="s">
        <v>13512</v>
      </c>
      <c r="MQO1" t="s">
        <v>13513</v>
      </c>
      <c r="MQP1" t="s">
        <v>13514</v>
      </c>
      <c r="MQQ1" t="s">
        <v>13515</v>
      </c>
      <c r="MQR1" t="s">
        <v>13516</v>
      </c>
      <c r="MQS1" t="s">
        <v>13517</v>
      </c>
      <c r="MQT1" t="s">
        <v>13518</v>
      </c>
      <c r="MQU1" t="s">
        <v>13519</v>
      </c>
      <c r="MQV1" t="s">
        <v>13520</v>
      </c>
      <c r="MQW1" t="s">
        <v>13521</v>
      </c>
      <c r="MQX1" t="s">
        <v>13522</v>
      </c>
      <c r="MQY1" t="s">
        <v>13523</v>
      </c>
      <c r="MQZ1" t="s">
        <v>13524</v>
      </c>
      <c r="MRA1" t="s">
        <v>13525</v>
      </c>
      <c r="MRB1" t="s">
        <v>13526</v>
      </c>
      <c r="MRC1" t="s">
        <v>13527</v>
      </c>
      <c r="MRD1" t="s">
        <v>13528</v>
      </c>
      <c r="MRE1" t="s">
        <v>13529</v>
      </c>
      <c r="MRF1" t="s">
        <v>13530</v>
      </c>
      <c r="MRG1" t="s">
        <v>13531</v>
      </c>
      <c r="MRH1" t="s">
        <v>13532</v>
      </c>
      <c r="MRI1" t="s">
        <v>13533</v>
      </c>
      <c r="MRJ1" t="s">
        <v>13534</v>
      </c>
      <c r="MRK1" t="s">
        <v>13535</v>
      </c>
      <c r="MRL1" t="s">
        <v>13536</v>
      </c>
      <c r="MRM1" t="s">
        <v>13537</v>
      </c>
      <c r="MRN1" t="s">
        <v>13538</v>
      </c>
      <c r="MRO1" t="s">
        <v>13539</v>
      </c>
      <c r="MRP1" t="s">
        <v>13540</v>
      </c>
      <c r="MRQ1" t="s">
        <v>13541</v>
      </c>
      <c r="MRR1" t="s">
        <v>13542</v>
      </c>
      <c r="MRS1" t="s">
        <v>13543</v>
      </c>
      <c r="MRT1" t="s">
        <v>13544</v>
      </c>
      <c r="MRU1" t="s">
        <v>13545</v>
      </c>
      <c r="MRV1" t="s">
        <v>13546</v>
      </c>
      <c r="MRW1" t="s">
        <v>13547</v>
      </c>
      <c r="MRX1" t="s">
        <v>13548</v>
      </c>
      <c r="MRY1" t="s">
        <v>13549</v>
      </c>
      <c r="MRZ1" t="s">
        <v>13550</v>
      </c>
      <c r="MSA1" t="s">
        <v>13551</v>
      </c>
      <c r="MSB1" t="s">
        <v>13552</v>
      </c>
      <c r="MSC1" t="s">
        <v>13553</v>
      </c>
      <c r="MSD1" t="s">
        <v>13554</v>
      </c>
      <c r="MSE1" t="s">
        <v>13555</v>
      </c>
      <c r="MSF1" t="s">
        <v>13556</v>
      </c>
      <c r="MSG1" t="s">
        <v>13557</v>
      </c>
      <c r="MSH1" t="s">
        <v>13558</v>
      </c>
      <c r="MSI1" t="s">
        <v>13559</v>
      </c>
      <c r="MSJ1" t="s">
        <v>13560</v>
      </c>
      <c r="MSK1" t="s">
        <v>13561</v>
      </c>
      <c r="MSL1" t="s">
        <v>13562</v>
      </c>
      <c r="MSM1" t="s">
        <v>13563</v>
      </c>
      <c r="MSN1" t="s">
        <v>13564</v>
      </c>
      <c r="MSO1" t="s">
        <v>13565</v>
      </c>
      <c r="MSP1" t="s">
        <v>13566</v>
      </c>
      <c r="MSQ1" t="s">
        <v>13567</v>
      </c>
      <c r="MSR1" t="s">
        <v>13568</v>
      </c>
      <c r="MSS1" t="s">
        <v>13569</v>
      </c>
      <c r="MST1" t="s">
        <v>13570</v>
      </c>
      <c r="MSU1" t="s">
        <v>13571</v>
      </c>
      <c r="MSV1" t="s">
        <v>13572</v>
      </c>
      <c r="MSW1" t="s">
        <v>13573</v>
      </c>
      <c r="MSX1" t="s">
        <v>13574</v>
      </c>
      <c r="MSY1" t="s">
        <v>13575</v>
      </c>
      <c r="MSZ1" t="s">
        <v>13576</v>
      </c>
      <c r="MTA1" t="s">
        <v>13577</v>
      </c>
      <c r="MTB1" t="s">
        <v>13578</v>
      </c>
      <c r="MTC1" t="s">
        <v>13579</v>
      </c>
      <c r="MTD1" t="s">
        <v>13580</v>
      </c>
      <c r="MTE1" t="s">
        <v>13581</v>
      </c>
      <c r="MTF1" t="s">
        <v>13582</v>
      </c>
      <c r="MTG1" t="s">
        <v>13583</v>
      </c>
      <c r="MTH1" t="s">
        <v>13584</v>
      </c>
      <c r="MTI1" t="s">
        <v>13585</v>
      </c>
      <c r="MTJ1" t="s">
        <v>13586</v>
      </c>
      <c r="MTK1" t="s">
        <v>13587</v>
      </c>
      <c r="MTL1" t="s">
        <v>13588</v>
      </c>
      <c r="MTM1" t="s">
        <v>13589</v>
      </c>
      <c r="MTN1" t="s">
        <v>13590</v>
      </c>
      <c r="MTO1" t="s">
        <v>13591</v>
      </c>
      <c r="MTP1" t="s">
        <v>13592</v>
      </c>
      <c r="MTQ1" t="s">
        <v>13593</v>
      </c>
      <c r="MTR1" t="s">
        <v>13594</v>
      </c>
      <c r="MTS1" t="s">
        <v>13595</v>
      </c>
      <c r="MTT1" t="s">
        <v>13596</v>
      </c>
      <c r="MTU1" t="s">
        <v>13597</v>
      </c>
      <c r="MTV1" t="s">
        <v>13598</v>
      </c>
      <c r="MTW1" t="s">
        <v>13599</v>
      </c>
      <c r="MTX1" t="s">
        <v>13600</v>
      </c>
      <c r="MTY1" t="s">
        <v>13601</v>
      </c>
      <c r="MTZ1" t="s">
        <v>13602</v>
      </c>
      <c r="MUA1" t="s">
        <v>13603</v>
      </c>
      <c r="MUB1" t="s">
        <v>13604</v>
      </c>
      <c r="MUC1" t="s">
        <v>13605</v>
      </c>
      <c r="MUD1" t="s">
        <v>13606</v>
      </c>
      <c r="MUE1" t="s">
        <v>13607</v>
      </c>
      <c r="MUF1" t="s">
        <v>13608</v>
      </c>
      <c r="MUG1" t="s">
        <v>13609</v>
      </c>
      <c r="MUH1" t="s">
        <v>13610</v>
      </c>
      <c r="MUI1" t="s">
        <v>13611</v>
      </c>
      <c r="MUJ1" t="s">
        <v>13612</v>
      </c>
      <c r="MUK1" t="s">
        <v>13613</v>
      </c>
      <c r="MUL1" t="s">
        <v>13614</v>
      </c>
      <c r="MUM1" t="s">
        <v>13615</v>
      </c>
      <c r="MUN1" t="s">
        <v>13616</v>
      </c>
      <c r="MUO1" t="s">
        <v>13617</v>
      </c>
      <c r="MUP1" t="s">
        <v>13618</v>
      </c>
      <c r="MUQ1" t="s">
        <v>13619</v>
      </c>
      <c r="MUR1" t="s">
        <v>13620</v>
      </c>
      <c r="MUS1" t="s">
        <v>13621</v>
      </c>
      <c r="MUT1" t="s">
        <v>13622</v>
      </c>
      <c r="MUU1" t="s">
        <v>13623</v>
      </c>
      <c r="MUV1" t="s">
        <v>13624</v>
      </c>
      <c r="MUW1" t="s">
        <v>13625</v>
      </c>
      <c r="MUX1" t="s">
        <v>13626</v>
      </c>
      <c r="MUY1" t="s">
        <v>13627</v>
      </c>
      <c r="MUZ1" t="s">
        <v>13628</v>
      </c>
      <c r="MVA1" t="s">
        <v>13629</v>
      </c>
      <c r="MVB1" t="s">
        <v>13630</v>
      </c>
      <c r="MVC1" t="s">
        <v>13631</v>
      </c>
      <c r="MVD1" t="s">
        <v>13632</v>
      </c>
      <c r="MVE1" t="s">
        <v>13633</v>
      </c>
      <c r="MVF1" t="s">
        <v>13634</v>
      </c>
      <c r="MVG1" t="s">
        <v>13635</v>
      </c>
      <c r="MVH1" t="s">
        <v>13636</v>
      </c>
      <c r="MVI1" t="s">
        <v>13637</v>
      </c>
      <c r="MVJ1" t="s">
        <v>13638</v>
      </c>
      <c r="MVK1" t="s">
        <v>13639</v>
      </c>
      <c r="MVL1" t="s">
        <v>13640</v>
      </c>
      <c r="MVM1" t="s">
        <v>13641</v>
      </c>
      <c r="MVN1" t="s">
        <v>13642</v>
      </c>
      <c r="MVO1" t="s">
        <v>13643</v>
      </c>
      <c r="MVP1" t="s">
        <v>13644</v>
      </c>
      <c r="MVQ1" t="s">
        <v>13645</v>
      </c>
      <c r="MVR1" t="s">
        <v>13646</v>
      </c>
      <c r="MVS1" t="s">
        <v>13647</v>
      </c>
      <c r="MVT1" t="s">
        <v>13648</v>
      </c>
      <c r="MVU1" t="s">
        <v>13649</v>
      </c>
      <c r="MVV1" t="s">
        <v>13650</v>
      </c>
      <c r="MVW1" t="s">
        <v>13651</v>
      </c>
      <c r="MVX1" t="s">
        <v>13652</v>
      </c>
      <c r="MVY1" t="s">
        <v>13653</v>
      </c>
      <c r="MVZ1" t="s">
        <v>13654</v>
      </c>
      <c r="MWA1" t="s">
        <v>13655</v>
      </c>
      <c r="MWB1" t="s">
        <v>13656</v>
      </c>
      <c r="MWC1" t="s">
        <v>13657</v>
      </c>
      <c r="MWD1" t="s">
        <v>13658</v>
      </c>
      <c r="MWE1" t="s">
        <v>13659</v>
      </c>
      <c r="MWF1" t="s">
        <v>13660</v>
      </c>
      <c r="MWG1" t="s">
        <v>13661</v>
      </c>
      <c r="MWH1" t="s">
        <v>13662</v>
      </c>
      <c r="MWI1" t="s">
        <v>13663</v>
      </c>
      <c r="MWJ1" t="s">
        <v>13664</v>
      </c>
      <c r="MWK1" t="s">
        <v>13665</v>
      </c>
      <c r="MWL1" t="s">
        <v>13666</v>
      </c>
      <c r="MWM1" t="s">
        <v>13667</v>
      </c>
      <c r="MWN1" t="s">
        <v>13668</v>
      </c>
      <c r="MWO1" t="s">
        <v>13669</v>
      </c>
      <c r="MWP1" t="s">
        <v>13670</v>
      </c>
      <c r="MWQ1" t="s">
        <v>13671</v>
      </c>
      <c r="MWR1" t="s">
        <v>13672</v>
      </c>
      <c r="MWS1" t="s">
        <v>13673</v>
      </c>
      <c r="MWT1" t="s">
        <v>13674</v>
      </c>
      <c r="MWU1" t="s">
        <v>13675</v>
      </c>
      <c r="MWV1" t="s">
        <v>13676</v>
      </c>
      <c r="MWW1" t="s">
        <v>13677</v>
      </c>
      <c r="MWX1" t="s">
        <v>13678</v>
      </c>
      <c r="MWY1" t="s">
        <v>13679</v>
      </c>
      <c r="MWZ1" t="s">
        <v>13680</v>
      </c>
      <c r="MXA1" t="s">
        <v>13681</v>
      </c>
      <c r="MXB1" t="s">
        <v>13682</v>
      </c>
      <c r="MXC1" t="s">
        <v>13683</v>
      </c>
      <c r="MXD1" t="s">
        <v>13684</v>
      </c>
      <c r="MXE1" t="s">
        <v>13685</v>
      </c>
      <c r="MXF1" t="s">
        <v>13686</v>
      </c>
      <c r="MXG1" t="s">
        <v>13687</v>
      </c>
      <c r="MXH1" t="s">
        <v>13688</v>
      </c>
      <c r="MXI1" t="s">
        <v>13689</v>
      </c>
      <c r="MXJ1" t="s">
        <v>13690</v>
      </c>
      <c r="MXK1" t="s">
        <v>13691</v>
      </c>
      <c r="MXL1" t="s">
        <v>13692</v>
      </c>
      <c r="MXM1" t="s">
        <v>13693</v>
      </c>
      <c r="MXN1" t="s">
        <v>13694</v>
      </c>
      <c r="MXO1" t="s">
        <v>13695</v>
      </c>
      <c r="MXP1" t="s">
        <v>13696</v>
      </c>
      <c r="MXQ1" t="s">
        <v>13697</v>
      </c>
      <c r="MXR1" t="s">
        <v>13698</v>
      </c>
      <c r="MXS1" t="s">
        <v>13699</v>
      </c>
      <c r="MXT1" t="s">
        <v>13700</v>
      </c>
      <c r="MXU1" t="s">
        <v>13701</v>
      </c>
      <c r="MXV1" t="s">
        <v>13702</v>
      </c>
      <c r="MXW1" t="s">
        <v>13703</v>
      </c>
      <c r="MXX1" t="s">
        <v>13704</v>
      </c>
      <c r="MXY1" t="s">
        <v>13705</v>
      </c>
      <c r="MXZ1" t="s">
        <v>13706</v>
      </c>
      <c r="MYA1" t="s">
        <v>13707</v>
      </c>
      <c r="MYB1" t="s">
        <v>13708</v>
      </c>
      <c r="MYC1" t="s">
        <v>13709</v>
      </c>
      <c r="MYD1" t="s">
        <v>13710</v>
      </c>
      <c r="MYE1" t="s">
        <v>13711</v>
      </c>
      <c r="MYF1" t="s">
        <v>13712</v>
      </c>
      <c r="MYG1" t="s">
        <v>13713</v>
      </c>
      <c r="MYH1" t="s">
        <v>13714</v>
      </c>
      <c r="MYI1" t="s">
        <v>13715</v>
      </c>
      <c r="MYJ1" t="s">
        <v>13716</v>
      </c>
      <c r="MYK1" t="s">
        <v>13717</v>
      </c>
      <c r="MYL1" t="s">
        <v>13718</v>
      </c>
      <c r="MYM1" t="s">
        <v>13719</v>
      </c>
      <c r="MYN1" t="s">
        <v>13720</v>
      </c>
      <c r="MYO1" t="s">
        <v>13721</v>
      </c>
      <c r="MYP1" t="s">
        <v>13722</v>
      </c>
      <c r="MYQ1" t="s">
        <v>13723</v>
      </c>
      <c r="MYR1" t="s">
        <v>13724</v>
      </c>
      <c r="MYS1" t="s">
        <v>13725</v>
      </c>
      <c r="MYT1" t="s">
        <v>13726</v>
      </c>
      <c r="MYU1" t="s">
        <v>13727</v>
      </c>
      <c r="MYV1" t="s">
        <v>13728</v>
      </c>
      <c r="MYW1" t="s">
        <v>13729</v>
      </c>
      <c r="MYX1" t="s">
        <v>13730</v>
      </c>
      <c r="MYY1" t="s">
        <v>13731</v>
      </c>
      <c r="MYZ1" t="s">
        <v>13732</v>
      </c>
      <c r="MZA1" t="s">
        <v>13733</v>
      </c>
      <c r="MZB1" t="s">
        <v>13734</v>
      </c>
      <c r="MZC1" t="s">
        <v>13735</v>
      </c>
      <c r="MZD1" t="s">
        <v>13736</v>
      </c>
      <c r="MZE1" t="s">
        <v>13737</v>
      </c>
      <c r="MZF1" t="s">
        <v>13738</v>
      </c>
      <c r="MZG1" t="s">
        <v>13739</v>
      </c>
      <c r="MZH1" t="s">
        <v>13740</v>
      </c>
      <c r="MZI1" t="s">
        <v>13741</v>
      </c>
      <c r="MZJ1" t="s">
        <v>13742</v>
      </c>
      <c r="MZK1" t="s">
        <v>13743</v>
      </c>
      <c r="MZL1" t="s">
        <v>13744</v>
      </c>
      <c r="MZM1" t="s">
        <v>13745</v>
      </c>
      <c r="MZN1" t="s">
        <v>13746</v>
      </c>
      <c r="MZO1" t="s">
        <v>13747</v>
      </c>
      <c r="MZP1" t="s">
        <v>13748</v>
      </c>
      <c r="MZQ1" t="s">
        <v>13749</v>
      </c>
      <c r="MZR1" t="s">
        <v>13750</v>
      </c>
      <c r="MZS1" t="s">
        <v>13751</v>
      </c>
      <c r="MZT1" t="s">
        <v>13752</v>
      </c>
      <c r="MZU1" t="s">
        <v>13753</v>
      </c>
      <c r="MZV1" t="s">
        <v>13754</v>
      </c>
      <c r="MZW1" t="s">
        <v>13755</v>
      </c>
      <c r="MZX1" t="s">
        <v>13756</v>
      </c>
      <c r="MZY1" t="s">
        <v>13757</v>
      </c>
      <c r="MZZ1" t="s">
        <v>13758</v>
      </c>
      <c r="NAA1" t="s">
        <v>13759</v>
      </c>
      <c r="NAB1" t="s">
        <v>13760</v>
      </c>
      <c r="NAC1" t="s">
        <v>13761</v>
      </c>
      <c r="NAD1" t="s">
        <v>13762</v>
      </c>
      <c r="NAE1" t="s">
        <v>13763</v>
      </c>
      <c r="NAF1" t="s">
        <v>13764</v>
      </c>
      <c r="NAG1" t="s">
        <v>13765</v>
      </c>
      <c r="NAH1" t="s">
        <v>13766</v>
      </c>
      <c r="NAI1" t="s">
        <v>13767</v>
      </c>
      <c r="NAJ1" t="s">
        <v>13768</v>
      </c>
      <c r="NAK1" t="s">
        <v>13769</v>
      </c>
      <c r="NAL1" t="s">
        <v>13770</v>
      </c>
      <c r="NAM1" t="s">
        <v>13771</v>
      </c>
      <c r="NAN1" t="s">
        <v>13772</v>
      </c>
      <c r="NAO1" t="s">
        <v>13773</v>
      </c>
      <c r="NAP1" t="s">
        <v>13774</v>
      </c>
      <c r="NAQ1" t="s">
        <v>13775</v>
      </c>
      <c r="NAR1" t="s">
        <v>13776</v>
      </c>
      <c r="NAS1" t="s">
        <v>13777</v>
      </c>
      <c r="NAT1" t="s">
        <v>13778</v>
      </c>
      <c r="NAU1" t="s">
        <v>13779</v>
      </c>
      <c r="NAV1" t="s">
        <v>13780</v>
      </c>
      <c r="NAW1" t="s">
        <v>13781</v>
      </c>
      <c r="NAX1" t="s">
        <v>13782</v>
      </c>
      <c r="NAY1" t="s">
        <v>13783</v>
      </c>
      <c r="NAZ1" t="s">
        <v>13784</v>
      </c>
      <c r="NBA1" t="s">
        <v>13785</v>
      </c>
      <c r="NBB1" t="s">
        <v>13786</v>
      </c>
      <c r="NBC1" t="s">
        <v>13787</v>
      </c>
      <c r="NBD1" t="s">
        <v>13788</v>
      </c>
      <c r="NBE1" t="s">
        <v>13789</v>
      </c>
      <c r="NBF1" t="s">
        <v>13790</v>
      </c>
      <c r="NBG1" t="s">
        <v>13791</v>
      </c>
      <c r="NBH1" t="s">
        <v>13792</v>
      </c>
      <c r="NBI1" t="s">
        <v>13793</v>
      </c>
      <c r="NBJ1" t="s">
        <v>13794</v>
      </c>
      <c r="NBK1" t="s">
        <v>13795</v>
      </c>
      <c r="NBL1" t="s">
        <v>13796</v>
      </c>
      <c r="NBM1" t="s">
        <v>13797</v>
      </c>
      <c r="NBN1" t="s">
        <v>13798</v>
      </c>
      <c r="NBO1" t="s">
        <v>13799</v>
      </c>
      <c r="NBP1" t="s">
        <v>13800</v>
      </c>
      <c r="NBQ1" t="s">
        <v>13801</v>
      </c>
      <c r="NBR1" t="s">
        <v>13802</v>
      </c>
      <c r="NBS1" t="s">
        <v>13803</v>
      </c>
      <c r="NBT1" t="s">
        <v>13804</v>
      </c>
      <c r="NBU1" t="s">
        <v>13805</v>
      </c>
      <c r="NBV1" t="s">
        <v>13806</v>
      </c>
      <c r="NBW1" t="s">
        <v>13807</v>
      </c>
      <c r="NBX1" t="s">
        <v>13808</v>
      </c>
      <c r="NBY1" t="s">
        <v>13809</v>
      </c>
      <c r="NBZ1" t="s">
        <v>13810</v>
      </c>
      <c r="NCA1" t="s">
        <v>13811</v>
      </c>
      <c r="NCB1" t="s">
        <v>13812</v>
      </c>
      <c r="NCC1" t="s">
        <v>13813</v>
      </c>
      <c r="NCD1" t="s">
        <v>13814</v>
      </c>
      <c r="NCE1" t="s">
        <v>13815</v>
      </c>
      <c r="NCF1" t="s">
        <v>13816</v>
      </c>
      <c r="NCG1" t="s">
        <v>13817</v>
      </c>
      <c r="NCH1" t="s">
        <v>13818</v>
      </c>
      <c r="NCI1" t="s">
        <v>13819</v>
      </c>
      <c r="NCJ1" t="s">
        <v>13820</v>
      </c>
      <c r="NCK1" t="s">
        <v>13821</v>
      </c>
      <c r="NCL1" t="s">
        <v>13822</v>
      </c>
      <c r="NCM1" t="s">
        <v>13823</v>
      </c>
      <c r="NCN1" t="s">
        <v>13824</v>
      </c>
      <c r="NCO1" t="s">
        <v>13825</v>
      </c>
      <c r="NCP1" t="s">
        <v>13826</v>
      </c>
      <c r="NCQ1" t="s">
        <v>13827</v>
      </c>
      <c r="NCR1" t="s">
        <v>13828</v>
      </c>
      <c r="NCS1" t="s">
        <v>13829</v>
      </c>
      <c r="NCT1" t="s">
        <v>13830</v>
      </c>
      <c r="NCU1" t="s">
        <v>13831</v>
      </c>
      <c r="NCV1" t="s">
        <v>13832</v>
      </c>
      <c r="NCW1" t="s">
        <v>13833</v>
      </c>
      <c r="NCX1" t="s">
        <v>13834</v>
      </c>
      <c r="NCY1" t="s">
        <v>13835</v>
      </c>
      <c r="NCZ1" t="s">
        <v>13836</v>
      </c>
      <c r="NDA1" t="s">
        <v>13837</v>
      </c>
      <c r="NDB1" t="s">
        <v>13838</v>
      </c>
      <c r="NDC1" t="s">
        <v>13839</v>
      </c>
      <c r="NDD1" t="s">
        <v>13840</v>
      </c>
      <c r="NDE1" t="s">
        <v>13841</v>
      </c>
      <c r="NDF1" t="s">
        <v>13842</v>
      </c>
      <c r="NDG1" t="s">
        <v>13843</v>
      </c>
      <c r="NDH1" t="s">
        <v>13844</v>
      </c>
      <c r="NDI1" t="s">
        <v>13845</v>
      </c>
      <c r="NDJ1" t="s">
        <v>13846</v>
      </c>
      <c r="NDK1" t="s">
        <v>13847</v>
      </c>
      <c r="NDL1" t="s">
        <v>13848</v>
      </c>
      <c r="NDM1" t="s">
        <v>13849</v>
      </c>
      <c r="NDN1" t="s">
        <v>13850</v>
      </c>
      <c r="NDO1" t="s">
        <v>13851</v>
      </c>
      <c r="NDP1" t="s">
        <v>13852</v>
      </c>
      <c r="NDQ1" t="s">
        <v>13853</v>
      </c>
      <c r="NDR1" t="s">
        <v>13854</v>
      </c>
      <c r="NDS1" t="s">
        <v>13855</v>
      </c>
      <c r="NDT1" t="s">
        <v>13856</v>
      </c>
      <c r="NDU1" t="s">
        <v>13857</v>
      </c>
      <c r="NDV1" t="s">
        <v>13858</v>
      </c>
      <c r="NDW1" t="s">
        <v>13859</v>
      </c>
      <c r="NDX1" t="s">
        <v>13860</v>
      </c>
      <c r="NDY1" t="s">
        <v>13861</v>
      </c>
      <c r="NDZ1" t="s">
        <v>13862</v>
      </c>
      <c r="NEA1" t="s">
        <v>13863</v>
      </c>
      <c r="NEB1" t="s">
        <v>13864</v>
      </c>
      <c r="NEC1" t="s">
        <v>13865</v>
      </c>
      <c r="NED1" t="s">
        <v>13866</v>
      </c>
      <c r="NEE1" t="s">
        <v>13867</v>
      </c>
      <c r="NEF1" t="s">
        <v>13868</v>
      </c>
      <c r="NEG1" t="s">
        <v>13869</v>
      </c>
      <c r="NEH1" t="s">
        <v>13870</v>
      </c>
      <c r="NEI1" t="s">
        <v>13871</v>
      </c>
      <c r="NEJ1" t="s">
        <v>13872</v>
      </c>
      <c r="NEK1" t="s">
        <v>13873</v>
      </c>
      <c r="NEL1" t="s">
        <v>13874</v>
      </c>
      <c r="NEM1" t="s">
        <v>13875</v>
      </c>
      <c r="NEN1" t="s">
        <v>13876</v>
      </c>
      <c r="NEO1" t="s">
        <v>13877</v>
      </c>
      <c r="NEP1" t="s">
        <v>13878</v>
      </c>
      <c r="NEQ1" t="s">
        <v>13879</v>
      </c>
      <c r="NER1" t="s">
        <v>13880</v>
      </c>
      <c r="NES1" t="s">
        <v>13881</v>
      </c>
      <c r="NET1" t="s">
        <v>13882</v>
      </c>
      <c r="NEU1" t="s">
        <v>13883</v>
      </c>
      <c r="NEV1" t="s">
        <v>13884</v>
      </c>
      <c r="NEW1" t="s">
        <v>13885</v>
      </c>
      <c r="NEX1" t="s">
        <v>13886</v>
      </c>
      <c r="NEY1" t="s">
        <v>13887</v>
      </c>
      <c r="NEZ1" t="s">
        <v>13888</v>
      </c>
      <c r="NFA1" t="s">
        <v>13889</v>
      </c>
      <c r="NFB1" t="s">
        <v>13890</v>
      </c>
      <c r="NFC1" t="s">
        <v>13891</v>
      </c>
      <c r="NFD1" t="s">
        <v>13892</v>
      </c>
      <c r="NFE1" t="s">
        <v>13893</v>
      </c>
      <c r="NFF1" t="s">
        <v>13894</v>
      </c>
      <c r="NFG1" t="s">
        <v>13895</v>
      </c>
      <c r="NFH1" t="s">
        <v>13896</v>
      </c>
      <c r="NFI1" t="s">
        <v>13897</v>
      </c>
      <c r="NFJ1" t="s">
        <v>13898</v>
      </c>
      <c r="NFK1" t="s">
        <v>13899</v>
      </c>
      <c r="NFL1" t="s">
        <v>13900</v>
      </c>
      <c r="NFM1" t="s">
        <v>13901</v>
      </c>
      <c r="NFN1" t="s">
        <v>13902</v>
      </c>
      <c r="NFO1" t="s">
        <v>13903</v>
      </c>
      <c r="NFP1" t="s">
        <v>13904</v>
      </c>
      <c r="NFQ1" t="s">
        <v>13905</v>
      </c>
      <c r="NFR1" t="s">
        <v>13906</v>
      </c>
      <c r="NFS1" t="s">
        <v>13907</v>
      </c>
      <c r="NFT1" t="s">
        <v>13908</v>
      </c>
      <c r="NFU1" t="s">
        <v>13909</v>
      </c>
      <c r="NFV1" t="s">
        <v>13910</v>
      </c>
      <c r="NFW1" t="s">
        <v>13911</v>
      </c>
      <c r="NFX1" t="s">
        <v>13912</v>
      </c>
      <c r="NFY1" t="s">
        <v>13913</v>
      </c>
      <c r="NFZ1" t="s">
        <v>13914</v>
      </c>
      <c r="NGA1" t="s">
        <v>13915</v>
      </c>
      <c r="NGB1" t="s">
        <v>13916</v>
      </c>
      <c r="NGC1" t="s">
        <v>13917</v>
      </c>
      <c r="NGD1" t="s">
        <v>13918</v>
      </c>
      <c r="NGE1" t="s">
        <v>13919</v>
      </c>
      <c r="NGF1" t="s">
        <v>13920</v>
      </c>
      <c r="NGG1" t="s">
        <v>13921</v>
      </c>
      <c r="NGH1" t="s">
        <v>13922</v>
      </c>
      <c r="NGI1" t="s">
        <v>13923</v>
      </c>
      <c r="NGJ1" t="s">
        <v>13924</v>
      </c>
      <c r="NGK1" t="s">
        <v>13925</v>
      </c>
      <c r="NGL1" t="s">
        <v>13926</v>
      </c>
      <c r="NGM1" t="s">
        <v>13927</v>
      </c>
      <c r="NGN1" t="s">
        <v>13928</v>
      </c>
      <c r="NGO1" t="s">
        <v>13929</v>
      </c>
      <c r="NGP1" t="s">
        <v>13930</v>
      </c>
      <c r="NGQ1" t="s">
        <v>13931</v>
      </c>
      <c r="NGR1" t="s">
        <v>13932</v>
      </c>
      <c r="NGS1" t="s">
        <v>13933</v>
      </c>
      <c r="NGT1" t="s">
        <v>13934</v>
      </c>
      <c r="NGU1" t="s">
        <v>13935</v>
      </c>
      <c r="NGV1" t="s">
        <v>13936</v>
      </c>
      <c r="NGW1" t="s">
        <v>13937</v>
      </c>
      <c r="NGX1" t="s">
        <v>13938</v>
      </c>
      <c r="NGY1" t="s">
        <v>13939</v>
      </c>
      <c r="NGZ1" t="s">
        <v>13940</v>
      </c>
      <c r="NHA1" t="s">
        <v>13941</v>
      </c>
      <c r="NHB1" t="s">
        <v>13942</v>
      </c>
      <c r="NHC1" t="s">
        <v>13943</v>
      </c>
      <c r="NHD1" t="s">
        <v>13944</v>
      </c>
      <c r="NHE1" t="s">
        <v>13945</v>
      </c>
      <c r="NHF1" t="s">
        <v>13946</v>
      </c>
      <c r="NHG1" t="s">
        <v>13947</v>
      </c>
      <c r="NHH1" t="s">
        <v>13948</v>
      </c>
      <c r="NHI1" t="s">
        <v>13949</v>
      </c>
      <c r="NHJ1" t="s">
        <v>13950</v>
      </c>
      <c r="NHK1" t="s">
        <v>13951</v>
      </c>
      <c r="NHL1" t="s">
        <v>13952</v>
      </c>
      <c r="NHM1" t="s">
        <v>13953</v>
      </c>
      <c r="NHN1" t="s">
        <v>13954</v>
      </c>
      <c r="NHO1" t="s">
        <v>13955</v>
      </c>
      <c r="NHP1" t="s">
        <v>13956</v>
      </c>
      <c r="NHQ1" t="s">
        <v>13957</v>
      </c>
      <c r="NHR1" t="s">
        <v>13958</v>
      </c>
      <c r="NHS1" t="s">
        <v>13959</v>
      </c>
      <c r="NHT1" t="s">
        <v>13960</v>
      </c>
      <c r="NHU1" t="s">
        <v>13961</v>
      </c>
      <c r="NHV1" t="s">
        <v>13962</v>
      </c>
      <c r="NHW1" t="s">
        <v>13963</v>
      </c>
      <c r="NHX1" t="s">
        <v>13964</v>
      </c>
      <c r="NHY1" t="s">
        <v>13965</v>
      </c>
      <c r="NHZ1" t="s">
        <v>13966</v>
      </c>
      <c r="NIA1" t="s">
        <v>13967</v>
      </c>
      <c r="NIB1" t="s">
        <v>13968</v>
      </c>
      <c r="NIC1" t="s">
        <v>13969</v>
      </c>
      <c r="NID1" t="s">
        <v>13970</v>
      </c>
      <c r="NIE1" t="s">
        <v>13971</v>
      </c>
      <c r="NIF1" t="s">
        <v>13972</v>
      </c>
      <c r="NIG1" t="s">
        <v>13973</v>
      </c>
      <c r="NIH1" t="s">
        <v>13974</v>
      </c>
      <c r="NII1" t="s">
        <v>13975</v>
      </c>
      <c r="NIJ1" t="s">
        <v>13976</v>
      </c>
      <c r="NIK1" t="s">
        <v>13977</v>
      </c>
      <c r="NIL1" t="s">
        <v>13978</v>
      </c>
      <c r="NIM1" t="s">
        <v>13979</v>
      </c>
      <c r="NIN1" t="s">
        <v>13980</v>
      </c>
      <c r="NIO1" t="s">
        <v>13981</v>
      </c>
      <c r="NIP1" t="s">
        <v>13982</v>
      </c>
      <c r="NIQ1" t="s">
        <v>13983</v>
      </c>
      <c r="NIR1" t="s">
        <v>13984</v>
      </c>
      <c r="NIS1" t="s">
        <v>13985</v>
      </c>
      <c r="NIT1" t="s">
        <v>13986</v>
      </c>
      <c r="NIU1" t="s">
        <v>13987</v>
      </c>
      <c r="NIV1" t="s">
        <v>13988</v>
      </c>
      <c r="NIW1" t="s">
        <v>13989</v>
      </c>
      <c r="NIX1" t="s">
        <v>13990</v>
      </c>
      <c r="NIY1" t="s">
        <v>13991</v>
      </c>
      <c r="NIZ1" t="s">
        <v>13992</v>
      </c>
      <c r="NJA1" t="s">
        <v>13993</v>
      </c>
      <c r="NJB1" t="s">
        <v>13994</v>
      </c>
      <c r="NJC1" t="s">
        <v>13995</v>
      </c>
      <c r="NJD1" t="s">
        <v>13996</v>
      </c>
      <c r="NJE1" t="s">
        <v>13997</v>
      </c>
      <c r="NJF1" t="s">
        <v>13998</v>
      </c>
      <c r="NJG1" t="s">
        <v>13999</v>
      </c>
      <c r="NJH1" t="s">
        <v>14000</v>
      </c>
      <c r="NJI1" t="s">
        <v>14001</v>
      </c>
      <c r="NJJ1" t="s">
        <v>14002</v>
      </c>
      <c r="NJK1" t="s">
        <v>14003</v>
      </c>
      <c r="NJL1" t="s">
        <v>14004</v>
      </c>
      <c r="NJM1" t="s">
        <v>14005</v>
      </c>
      <c r="NJN1" t="s">
        <v>14006</v>
      </c>
      <c r="NJO1" t="s">
        <v>14007</v>
      </c>
      <c r="NJP1" t="s">
        <v>14008</v>
      </c>
      <c r="NJQ1" t="s">
        <v>14009</v>
      </c>
      <c r="NJR1" t="s">
        <v>14010</v>
      </c>
      <c r="NJS1" t="s">
        <v>14011</v>
      </c>
      <c r="NJT1" t="s">
        <v>14012</v>
      </c>
      <c r="NJU1" t="s">
        <v>14013</v>
      </c>
      <c r="NJV1" t="s">
        <v>14014</v>
      </c>
      <c r="NJW1" t="s">
        <v>14015</v>
      </c>
      <c r="NJX1" t="s">
        <v>14016</v>
      </c>
      <c r="NJY1" t="s">
        <v>14017</v>
      </c>
      <c r="NJZ1" t="s">
        <v>14018</v>
      </c>
      <c r="NKA1" t="s">
        <v>14019</v>
      </c>
      <c r="NKB1" t="s">
        <v>14020</v>
      </c>
      <c r="NKC1" t="s">
        <v>14021</v>
      </c>
      <c r="NKD1" t="s">
        <v>14022</v>
      </c>
      <c r="NKE1" t="s">
        <v>14023</v>
      </c>
      <c r="NKF1" t="s">
        <v>14024</v>
      </c>
      <c r="NKG1" t="s">
        <v>14025</v>
      </c>
      <c r="NKH1" t="s">
        <v>14026</v>
      </c>
      <c r="NKI1" t="s">
        <v>14027</v>
      </c>
      <c r="NKJ1" t="s">
        <v>14028</v>
      </c>
      <c r="NKK1" t="s">
        <v>14029</v>
      </c>
      <c r="NKL1" t="s">
        <v>14030</v>
      </c>
      <c r="NKM1" t="s">
        <v>14031</v>
      </c>
      <c r="NKN1" t="s">
        <v>14032</v>
      </c>
      <c r="NKO1" t="s">
        <v>14033</v>
      </c>
      <c r="NKP1" t="s">
        <v>14034</v>
      </c>
      <c r="NKQ1" t="s">
        <v>14035</v>
      </c>
      <c r="NKR1" t="s">
        <v>14036</v>
      </c>
      <c r="NKS1" t="s">
        <v>14037</v>
      </c>
      <c r="NKT1" t="s">
        <v>14038</v>
      </c>
      <c r="NKU1" t="s">
        <v>14039</v>
      </c>
      <c r="NKV1" t="s">
        <v>14040</v>
      </c>
      <c r="NKW1" t="s">
        <v>14041</v>
      </c>
      <c r="NKX1" t="s">
        <v>14042</v>
      </c>
      <c r="NKY1" t="s">
        <v>14043</v>
      </c>
      <c r="NKZ1" t="s">
        <v>14044</v>
      </c>
      <c r="NLA1" t="s">
        <v>14045</v>
      </c>
      <c r="NLB1" t="s">
        <v>14046</v>
      </c>
      <c r="NLC1" t="s">
        <v>14047</v>
      </c>
      <c r="NLD1" t="s">
        <v>14048</v>
      </c>
      <c r="NLE1" t="s">
        <v>14049</v>
      </c>
      <c r="NLF1" t="s">
        <v>14050</v>
      </c>
      <c r="NLG1" t="s">
        <v>14051</v>
      </c>
      <c r="NLH1" t="s">
        <v>14052</v>
      </c>
      <c r="NLI1" t="s">
        <v>14053</v>
      </c>
      <c r="NLJ1" t="s">
        <v>14054</v>
      </c>
      <c r="NLK1" t="s">
        <v>14055</v>
      </c>
      <c r="NLL1" t="s">
        <v>14056</v>
      </c>
      <c r="NLM1" t="s">
        <v>14057</v>
      </c>
      <c r="NLN1" t="s">
        <v>14058</v>
      </c>
      <c r="NLO1" t="s">
        <v>14059</v>
      </c>
      <c r="NLP1" t="s">
        <v>14060</v>
      </c>
      <c r="NLQ1" t="s">
        <v>14061</v>
      </c>
      <c r="NLR1" t="s">
        <v>14062</v>
      </c>
      <c r="NLS1" t="s">
        <v>14063</v>
      </c>
      <c r="NLT1" t="s">
        <v>14064</v>
      </c>
      <c r="NLU1" t="s">
        <v>14065</v>
      </c>
      <c r="NLV1" t="s">
        <v>14066</v>
      </c>
      <c r="NLW1" t="s">
        <v>14067</v>
      </c>
      <c r="NLX1" t="s">
        <v>14068</v>
      </c>
      <c r="NLY1" t="s">
        <v>14069</v>
      </c>
      <c r="NLZ1" t="s">
        <v>14070</v>
      </c>
      <c r="NMA1" t="s">
        <v>14071</v>
      </c>
      <c r="NMB1" t="s">
        <v>14072</v>
      </c>
      <c r="NMC1" t="s">
        <v>14073</v>
      </c>
      <c r="NMD1" t="s">
        <v>14074</v>
      </c>
      <c r="NME1" t="s">
        <v>14075</v>
      </c>
      <c r="NMF1" t="s">
        <v>14076</v>
      </c>
      <c r="NMG1" t="s">
        <v>14077</v>
      </c>
      <c r="NMH1" t="s">
        <v>14078</v>
      </c>
      <c r="NMI1" t="s">
        <v>14079</v>
      </c>
      <c r="NMJ1" t="s">
        <v>14080</v>
      </c>
      <c r="NMK1" t="s">
        <v>14081</v>
      </c>
      <c r="NML1" t="s">
        <v>14082</v>
      </c>
      <c r="NMM1" t="s">
        <v>14083</v>
      </c>
      <c r="NMN1" t="s">
        <v>14084</v>
      </c>
      <c r="NMO1" t="s">
        <v>14085</v>
      </c>
      <c r="NMP1" t="s">
        <v>14086</v>
      </c>
      <c r="NMQ1" t="s">
        <v>14087</v>
      </c>
      <c r="NMR1" t="s">
        <v>14088</v>
      </c>
      <c r="NMS1" t="s">
        <v>14089</v>
      </c>
      <c r="NMT1" t="s">
        <v>14090</v>
      </c>
      <c r="NMU1" t="s">
        <v>14091</v>
      </c>
      <c r="NMV1" t="s">
        <v>14092</v>
      </c>
      <c r="NMW1" t="s">
        <v>14093</v>
      </c>
      <c r="NMX1" t="s">
        <v>14094</v>
      </c>
      <c r="NMY1" t="s">
        <v>14095</v>
      </c>
      <c r="NMZ1" t="s">
        <v>14096</v>
      </c>
      <c r="NNA1" t="s">
        <v>14097</v>
      </c>
      <c r="NNB1" t="s">
        <v>14098</v>
      </c>
      <c r="NNC1" t="s">
        <v>14099</v>
      </c>
      <c r="NND1" t="s">
        <v>14100</v>
      </c>
      <c r="NNE1" t="s">
        <v>14101</v>
      </c>
      <c r="NNF1" t="s">
        <v>14102</v>
      </c>
      <c r="NNG1" t="s">
        <v>14103</v>
      </c>
      <c r="NNH1" t="s">
        <v>14104</v>
      </c>
      <c r="NNI1" t="s">
        <v>14105</v>
      </c>
      <c r="NNJ1" t="s">
        <v>14106</v>
      </c>
      <c r="NNK1" t="s">
        <v>14107</v>
      </c>
      <c r="NNL1" t="s">
        <v>14108</v>
      </c>
      <c r="NNM1" t="s">
        <v>14109</v>
      </c>
      <c r="NNN1" t="s">
        <v>14110</v>
      </c>
      <c r="NNO1" t="s">
        <v>14111</v>
      </c>
      <c r="NNP1" t="s">
        <v>14112</v>
      </c>
      <c r="NNQ1" t="s">
        <v>14113</v>
      </c>
      <c r="NNR1" t="s">
        <v>14114</v>
      </c>
      <c r="NNS1" t="s">
        <v>14115</v>
      </c>
      <c r="NNT1" t="s">
        <v>14116</v>
      </c>
      <c r="NNU1" t="s">
        <v>14117</v>
      </c>
      <c r="NNV1" t="s">
        <v>14118</v>
      </c>
      <c r="NNW1" t="s">
        <v>14119</v>
      </c>
      <c r="NNX1" t="s">
        <v>14120</v>
      </c>
      <c r="NNY1" t="s">
        <v>14121</v>
      </c>
      <c r="NNZ1" t="s">
        <v>14122</v>
      </c>
      <c r="NOA1" t="s">
        <v>14123</v>
      </c>
      <c r="NOB1" t="s">
        <v>14124</v>
      </c>
      <c r="NOC1" t="s">
        <v>14125</v>
      </c>
      <c r="NOD1" t="s">
        <v>14126</v>
      </c>
      <c r="NOE1" t="s">
        <v>14127</v>
      </c>
      <c r="NOF1" t="s">
        <v>14128</v>
      </c>
      <c r="NOG1" t="s">
        <v>14129</v>
      </c>
      <c r="NOH1" t="s">
        <v>14130</v>
      </c>
      <c r="NOI1" t="s">
        <v>14131</v>
      </c>
      <c r="NOJ1" t="s">
        <v>14132</v>
      </c>
      <c r="NOK1" t="s">
        <v>14133</v>
      </c>
      <c r="NOL1" t="s">
        <v>14134</v>
      </c>
      <c r="NOM1" t="s">
        <v>14135</v>
      </c>
      <c r="NON1" t="s">
        <v>14136</v>
      </c>
      <c r="NOO1" t="s">
        <v>14137</v>
      </c>
      <c r="NOP1" t="s">
        <v>14138</v>
      </c>
      <c r="NOQ1" t="s">
        <v>14139</v>
      </c>
      <c r="NOR1" t="s">
        <v>14140</v>
      </c>
      <c r="NOS1" t="s">
        <v>14141</v>
      </c>
      <c r="NOT1" t="s">
        <v>14142</v>
      </c>
      <c r="NOU1" t="s">
        <v>14143</v>
      </c>
      <c r="NOV1" t="s">
        <v>14144</v>
      </c>
      <c r="NOW1" t="s">
        <v>14145</v>
      </c>
      <c r="NOX1" t="s">
        <v>14146</v>
      </c>
      <c r="NOY1" t="s">
        <v>14147</v>
      </c>
      <c r="NOZ1" t="s">
        <v>14148</v>
      </c>
      <c r="NPA1" t="s">
        <v>14149</v>
      </c>
      <c r="NPB1" t="s">
        <v>14150</v>
      </c>
      <c r="NPC1" t="s">
        <v>14151</v>
      </c>
      <c r="NPD1" t="s">
        <v>14152</v>
      </c>
      <c r="NPE1" t="s">
        <v>14153</v>
      </c>
      <c r="NPF1" t="s">
        <v>14154</v>
      </c>
      <c r="NPG1" t="s">
        <v>14155</v>
      </c>
      <c r="NPH1" t="s">
        <v>14156</v>
      </c>
      <c r="NPI1" t="s">
        <v>14157</v>
      </c>
      <c r="NPJ1" t="s">
        <v>14158</v>
      </c>
      <c r="NPK1" t="s">
        <v>14159</v>
      </c>
      <c r="NPL1" t="s">
        <v>14160</v>
      </c>
      <c r="NPM1" t="s">
        <v>14161</v>
      </c>
      <c r="NPN1" t="s">
        <v>14162</v>
      </c>
      <c r="NPO1" t="s">
        <v>14163</v>
      </c>
      <c r="NPP1" t="s">
        <v>14164</v>
      </c>
      <c r="NPQ1" t="s">
        <v>14165</v>
      </c>
      <c r="NPR1" t="s">
        <v>14166</v>
      </c>
      <c r="NPS1" t="s">
        <v>14167</v>
      </c>
      <c r="NPT1" t="s">
        <v>14168</v>
      </c>
      <c r="NPU1" t="s">
        <v>14169</v>
      </c>
      <c r="NPV1" t="s">
        <v>14170</v>
      </c>
      <c r="NPW1" t="s">
        <v>14171</v>
      </c>
      <c r="NPX1" t="s">
        <v>14172</v>
      </c>
      <c r="NPY1" t="s">
        <v>14173</v>
      </c>
      <c r="NPZ1" t="s">
        <v>14174</v>
      </c>
      <c r="NQA1" t="s">
        <v>14175</v>
      </c>
      <c r="NQB1" t="s">
        <v>14176</v>
      </c>
      <c r="NQC1" t="s">
        <v>14177</v>
      </c>
      <c r="NQD1" t="s">
        <v>14178</v>
      </c>
      <c r="NQE1" t="s">
        <v>14179</v>
      </c>
      <c r="NQF1" t="s">
        <v>14180</v>
      </c>
      <c r="NQG1" t="s">
        <v>14181</v>
      </c>
      <c r="NQH1" t="s">
        <v>14182</v>
      </c>
      <c r="NQI1" t="s">
        <v>14183</v>
      </c>
      <c r="NQJ1" t="s">
        <v>14184</v>
      </c>
      <c r="NQK1" t="s">
        <v>14185</v>
      </c>
      <c r="NQL1" t="s">
        <v>14186</v>
      </c>
      <c r="NQM1" t="s">
        <v>14187</v>
      </c>
      <c r="NQN1" t="s">
        <v>14188</v>
      </c>
      <c r="NQO1" t="s">
        <v>14189</v>
      </c>
      <c r="NQP1" t="s">
        <v>14190</v>
      </c>
      <c r="NQQ1" t="s">
        <v>14191</v>
      </c>
      <c r="NQR1" t="s">
        <v>14192</v>
      </c>
      <c r="NQS1" t="s">
        <v>14193</v>
      </c>
      <c r="NQT1" t="s">
        <v>14194</v>
      </c>
      <c r="NQU1" t="s">
        <v>14195</v>
      </c>
      <c r="NQV1" t="s">
        <v>14196</v>
      </c>
      <c r="NQW1" t="s">
        <v>14197</v>
      </c>
      <c r="NQX1" t="s">
        <v>14198</v>
      </c>
      <c r="NQY1" t="s">
        <v>14199</v>
      </c>
      <c r="NQZ1" t="s">
        <v>14200</v>
      </c>
      <c r="NRA1" t="s">
        <v>14201</v>
      </c>
      <c r="NRB1" t="s">
        <v>14202</v>
      </c>
      <c r="NRC1" t="s">
        <v>14203</v>
      </c>
      <c r="NRD1" t="s">
        <v>14204</v>
      </c>
      <c r="NRE1" t="s">
        <v>14205</v>
      </c>
      <c r="NRF1" t="s">
        <v>14206</v>
      </c>
      <c r="NRG1" t="s">
        <v>14207</v>
      </c>
      <c r="NRH1" t="s">
        <v>14208</v>
      </c>
      <c r="NRI1" t="s">
        <v>14209</v>
      </c>
      <c r="NRJ1" t="s">
        <v>14210</v>
      </c>
      <c r="NRK1" t="s">
        <v>14211</v>
      </c>
      <c r="NRL1" t="s">
        <v>14212</v>
      </c>
      <c r="NRM1" t="s">
        <v>14213</v>
      </c>
      <c r="NRN1" t="s">
        <v>14214</v>
      </c>
      <c r="NRO1" t="s">
        <v>14215</v>
      </c>
      <c r="NRP1" t="s">
        <v>14216</v>
      </c>
      <c r="NRQ1" t="s">
        <v>14217</v>
      </c>
      <c r="NRR1" t="s">
        <v>14218</v>
      </c>
      <c r="NRS1" t="s">
        <v>14219</v>
      </c>
      <c r="NRT1" t="s">
        <v>14220</v>
      </c>
      <c r="NRU1" t="s">
        <v>14221</v>
      </c>
      <c r="NRV1" t="s">
        <v>14222</v>
      </c>
      <c r="NRW1" t="s">
        <v>14223</v>
      </c>
      <c r="NRX1" t="s">
        <v>14224</v>
      </c>
      <c r="NRY1" t="s">
        <v>14225</v>
      </c>
      <c r="NRZ1" t="s">
        <v>14226</v>
      </c>
      <c r="NSA1" t="s">
        <v>14227</v>
      </c>
      <c r="NSB1" t="s">
        <v>14228</v>
      </c>
      <c r="NSC1" t="s">
        <v>14229</v>
      </c>
      <c r="NSD1" t="s">
        <v>14230</v>
      </c>
      <c r="NSE1" t="s">
        <v>14231</v>
      </c>
      <c r="NSF1" t="s">
        <v>14232</v>
      </c>
      <c r="NSG1" t="s">
        <v>14233</v>
      </c>
      <c r="NSH1" t="s">
        <v>14234</v>
      </c>
      <c r="NSI1" t="s">
        <v>14235</v>
      </c>
      <c r="NSJ1" t="s">
        <v>14236</v>
      </c>
      <c r="NSK1" t="s">
        <v>14237</v>
      </c>
      <c r="NSL1" t="s">
        <v>14238</v>
      </c>
      <c r="NSM1" t="s">
        <v>14239</v>
      </c>
      <c r="NSN1" t="s">
        <v>14240</v>
      </c>
      <c r="NSO1" t="s">
        <v>14241</v>
      </c>
      <c r="NSP1" t="s">
        <v>14242</v>
      </c>
      <c r="NSQ1" t="s">
        <v>14243</v>
      </c>
      <c r="NSR1" t="s">
        <v>14244</v>
      </c>
      <c r="NSS1" t="s">
        <v>14245</v>
      </c>
      <c r="NST1" t="s">
        <v>14246</v>
      </c>
      <c r="NSU1" t="s">
        <v>14247</v>
      </c>
      <c r="NSV1" t="s">
        <v>14248</v>
      </c>
      <c r="NSW1" t="s">
        <v>14249</v>
      </c>
      <c r="NSX1" t="s">
        <v>14250</v>
      </c>
      <c r="NSY1" t="s">
        <v>14251</v>
      </c>
      <c r="NSZ1" t="s">
        <v>14252</v>
      </c>
      <c r="NTA1" t="s">
        <v>14253</v>
      </c>
      <c r="NTB1" t="s">
        <v>14254</v>
      </c>
      <c r="NTC1" t="s">
        <v>14255</v>
      </c>
      <c r="NTD1" t="s">
        <v>14256</v>
      </c>
      <c r="NTE1" t="s">
        <v>14257</v>
      </c>
      <c r="NTF1" t="s">
        <v>14258</v>
      </c>
      <c r="NTG1" t="s">
        <v>14259</v>
      </c>
      <c r="NTH1" t="s">
        <v>14260</v>
      </c>
      <c r="NTI1" t="s">
        <v>14261</v>
      </c>
      <c r="NTJ1" t="s">
        <v>14262</v>
      </c>
      <c r="NTK1" t="s">
        <v>14263</v>
      </c>
      <c r="NTL1" t="s">
        <v>14264</v>
      </c>
      <c r="NTM1" t="s">
        <v>14265</v>
      </c>
      <c r="NTN1" t="s">
        <v>14266</v>
      </c>
      <c r="NTO1" t="s">
        <v>14267</v>
      </c>
      <c r="NTP1" t="s">
        <v>14268</v>
      </c>
      <c r="NTQ1" t="s">
        <v>14269</v>
      </c>
      <c r="NTR1" t="s">
        <v>14270</v>
      </c>
      <c r="NTS1" t="s">
        <v>14271</v>
      </c>
      <c r="NTT1" t="s">
        <v>14272</v>
      </c>
      <c r="NTU1" t="s">
        <v>14273</v>
      </c>
      <c r="NTV1" t="s">
        <v>14274</v>
      </c>
      <c r="NTW1" t="s">
        <v>14275</v>
      </c>
      <c r="NTX1" t="s">
        <v>14276</v>
      </c>
      <c r="NTY1" t="s">
        <v>14277</v>
      </c>
      <c r="NTZ1" t="s">
        <v>14278</v>
      </c>
      <c r="NUA1" t="s">
        <v>14279</v>
      </c>
      <c r="NUB1" t="s">
        <v>14280</v>
      </c>
      <c r="NUC1" t="s">
        <v>14281</v>
      </c>
      <c r="NUD1" t="s">
        <v>14282</v>
      </c>
      <c r="NUE1" t="s">
        <v>14283</v>
      </c>
      <c r="NUF1" t="s">
        <v>14284</v>
      </c>
      <c r="NUG1" t="s">
        <v>14285</v>
      </c>
      <c r="NUH1" t="s">
        <v>14286</v>
      </c>
      <c r="NUI1" t="s">
        <v>14287</v>
      </c>
      <c r="NUJ1" t="s">
        <v>14288</v>
      </c>
      <c r="NUK1" t="s">
        <v>14289</v>
      </c>
      <c r="NUL1" t="s">
        <v>14290</v>
      </c>
      <c r="NUM1" t="s">
        <v>14291</v>
      </c>
      <c r="NUN1" t="s">
        <v>14292</v>
      </c>
      <c r="NUO1" t="s">
        <v>14293</v>
      </c>
      <c r="NUP1" t="s">
        <v>14294</v>
      </c>
      <c r="NUQ1" t="s">
        <v>14295</v>
      </c>
      <c r="NUR1" t="s">
        <v>14296</v>
      </c>
      <c r="NUS1" t="s">
        <v>14297</v>
      </c>
      <c r="NUT1" t="s">
        <v>14298</v>
      </c>
      <c r="NUU1" t="s">
        <v>14299</v>
      </c>
      <c r="NUV1" t="s">
        <v>14300</v>
      </c>
      <c r="NUW1" t="s">
        <v>14301</v>
      </c>
      <c r="NUX1" t="s">
        <v>14302</v>
      </c>
      <c r="NUY1" t="s">
        <v>14303</v>
      </c>
      <c r="NUZ1" t="s">
        <v>14304</v>
      </c>
      <c r="NVA1" t="s">
        <v>14305</v>
      </c>
      <c r="NVB1" t="s">
        <v>14306</v>
      </c>
      <c r="NVC1" t="s">
        <v>14307</v>
      </c>
      <c r="NVD1" t="s">
        <v>14308</v>
      </c>
      <c r="NVE1" t="s">
        <v>14309</v>
      </c>
      <c r="NVF1" t="s">
        <v>14310</v>
      </c>
      <c r="NVG1" t="s">
        <v>14311</v>
      </c>
      <c r="NVH1" t="s">
        <v>14312</v>
      </c>
      <c r="NVI1" t="s">
        <v>14313</v>
      </c>
      <c r="NVJ1" t="s">
        <v>14314</v>
      </c>
      <c r="NVK1" t="s">
        <v>14315</v>
      </c>
      <c r="NVL1" t="s">
        <v>14316</v>
      </c>
      <c r="NVM1" t="s">
        <v>14317</v>
      </c>
      <c r="NVN1" t="s">
        <v>14318</v>
      </c>
      <c r="NVO1" t="s">
        <v>14319</v>
      </c>
      <c r="NVP1" t="s">
        <v>14320</v>
      </c>
      <c r="NVQ1" t="s">
        <v>14321</v>
      </c>
      <c r="NVR1" t="s">
        <v>14322</v>
      </c>
      <c r="NVS1" t="s">
        <v>14323</v>
      </c>
      <c r="NVT1" t="s">
        <v>14324</v>
      </c>
      <c r="NVU1" t="s">
        <v>14325</v>
      </c>
      <c r="NVV1" t="s">
        <v>14326</v>
      </c>
      <c r="NVW1" t="s">
        <v>14327</v>
      </c>
      <c r="NVX1" t="s">
        <v>14328</v>
      </c>
      <c r="NVY1" t="s">
        <v>14329</v>
      </c>
      <c r="NVZ1" t="s">
        <v>14330</v>
      </c>
      <c r="NWA1" t="s">
        <v>14331</v>
      </c>
      <c r="NWB1" t="s">
        <v>14332</v>
      </c>
      <c r="NWC1" t="s">
        <v>14333</v>
      </c>
      <c r="NWD1" t="s">
        <v>14334</v>
      </c>
      <c r="NWE1" t="s">
        <v>14335</v>
      </c>
      <c r="NWF1" t="s">
        <v>14336</v>
      </c>
      <c r="NWG1" t="s">
        <v>14337</v>
      </c>
      <c r="NWH1" t="s">
        <v>14338</v>
      </c>
      <c r="NWI1" t="s">
        <v>14339</v>
      </c>
      <c r="NWJ1" t="s">
        <v>14340</v>
      </c>
      <c r="NWK1" t="s">
        <v>14341</v>
      </c>
      <c r="NWL1" t="s">
        <v>14342</v>
      </c>
      <c r="NWM1" t="s">
        <v>14343</v>
      </c>
      <c r="NWN1" t="s">
        <v>14344</v>
      </c>
      <c r="NWO1" t="s">
        <v>14345</v>
      </c>
      <c r="NWP1" t="s">
        <v>14346</v>
      </c>
      <c r="NWQ1" t="s">
        <v>14347</v>
      </c>
      <c r="NWR1" t="s">
        <v>14348</v>
      </c>
      <c r="NWS1" t="s">
        <v>14349</v>
      </c>
      <c r="NWT1" t="s">
        <v>14350</v>
      </c>
      <c r="NWU1" t="s">
        <v>14351</v>
      </c>
      <c r="NWV1" t="s">
        <v>14352</v>
      </c>
      <c r="NWW1" t="s">
        <v>14353</v>
      </c>
      <c r="NWX1" t="s">
        <v>14354</v>
      </c>
      <c r="NWY1" t="s">
        <v>14355</v>
      </c>
      <c r="NWZ1" t="s">
        <v>14356</v>
      </c>
      <c r="NXA1" t="s">
        <v>14357</v>
      </c>
      <c r="NXB1" t="s">
        <v>14358</v>
      </c>
      <c r="NXC1" t="s">
        <v>14359</v>
      </c>
      <c r="NXD1" t="s">
        <v>14360</v>
      </c>
      <c r="NXE1" t="s">
        <v>14361</v>
      </c>
      <c r="NXF1" t="s">
        <v>14362</v>
      </c>
      <c r="NXG1" t="s">
        <v>14363</v>
      </c>
      <c r="NXH1" t="s">
        <v>14364</v>
      </c>
      <c r="NXI1" t="s">
        <v>14365</v>
      </c>
      <c r="NXJ1" t="s">
        <v>14366</v>
      </c>
      <c r="NXK1" t="s">
        <v>14367</v>
      </c>
      <c r="NXL1" t="s">
        <v>14368</v>
      </c>
      <c r="NXM1" t="s">
        <v>14369</v>
      </c>
      <c r="NXN1" t="s">
        <v>14370</v>
      </c>
      <c r="NXO1" t="s">
        <v>14371</v>
      </c>
      <c r="NXP1" t="s">
        <v>14372</v>
      </c>
      <c r="NXQ1" t="s">
        <v>14373</v>
      </c>
      <c r="NXR1" t="s">
        <v>14374</v>
      </c>
      <c r="NXS1" t="s">
        <v>14375</v>
      </c>
      <c r="NXT1" t="s">
        <v>14376</v>
      </c>
      <c r="NXU1" t="s">
        <v>14377</v>
      </c>
      <c r="NXV1" t="s">
        <v>14378</v>
      </c>
      <c r="NXW1" t="s">
        <v>14379</v>
      </c>
      <c r="NXX1" t="s">
        <v>14380</v>
      </c>
      <c r="NXY1" t="s">
        <v>14381</v>
      </c>
      <c r="NXZ1" t="s">
        <v>14382</v>
      </c>
      <c r="NYA1" t="s">
        <v>14383</v>
      </c>
      <c r="NYB1" t="s">
        <v>14384</v>
      </c>
      <c r="NYC1" t="s">
        <v>14385</v>
      </c>
      <c r="NYD1" t="s">
        <v>14386</v>
      </c>
      <c r="NYE1" t="s">
        <v>14387</v>
      </c>
      <c r="NYF1" t="s">
        <v>14388</v>
      </c>
      <c r="NYG1" t="s">
        <v>14389</v>
      </c>
      <c r="NYH1" t="s">
        <v>14390</v>
      </c>
      <c r="NYI1" t="s">
        <v>14391</v>
      </c>
      <c r="NYJ1" t="s">
        <v>14392</v>
      </c>
      <c r="NYK1" t="s">
        <v>14393</v>
      </c>
      <c r="NYL1" t="s">
        <v>14394</v>
      </c>
      <c r="NYM1" t="s">
        <v>14395</v>
      </c>
      <c r="NYN1" t="s">
        <v>14396</v>
      </c>
      <c r="NYO1" t="s">
        <v>14397</v>
      </c>
      <c r="NYP1" t="s">
        <v>14398</v>
      </c>
      <c r="NYQ1" t="s">
        <v>14399</v>
      </c>
      <c r="NYR1" t="s">
        <v>14400</v>
      </c>
      <c r="NYS1" t="s">
        <v>14401</v>
      </c>
      <c r="NYT1" t="s">
        <v>14402</v>
      </c>
      <c r="NYU1" t="s">
        <v>14403</v>
      </c>
      <c r="NYV1" t="s">
        <v>14404</v>
      </c>
      <c r="NYW1" t="s">
        <v>14405</v>
      </c>
      <c r="NYX1" t="s">
        <v>14406</v>
      </c>
      <c r="NYY1" t="s">
        <v>14407</v>
      </c>
      <c r="NYZ1" t="s">
        <v>14408</v>
      </c>
      <c r="NZA1" t="s">
        <v>14409</v>
      </c>
      <c r="NZB1" t="s">
        <v>14410</v>
      </c>
      <c r="NZC1" t="s">
        <v>14411</v>
      </c>
      <c r="NZD1" t="s">
        <v>14412</v>
      </c>
      <c r="NZE1" t="s">
        <v>14413</v>
      </c>
      <c r="NZF1" t="s">
        <v>14414</v>
      </c>
      <c r="NZG1" t="s">
        <v>14415</v>
      </c>
      <c r="NZH1" t="s">
        <v>14416</v>
      </c>
      <c r="NZI1" t="s">
        <v>14417</v>
      </c>
      <c r="NZJ1" t="s">
        <v>14418</v>
      </c>
      <c r="NZK1" t="s">
        <v>14419</v>
      </c>
      <c r="NZL1" t="s">
        <v>14420</v>
      </c>
      <c r="NZM1" t="s">
        <v>14421</v>
      </c>
      <c r="NZN1" t="s">
        <v>14422</v>
      </c>
      <c r="NZO1" t="s">
        <v>14423</v>
      </c>
      <c r="NZP1" t="s">
        <v>14424</v>
      </c>
      <c r="NZQ1" t="s">
        <v>14425</v>
      </c>
      <c r="NZR1" t="s">
        <v>14426</v>
      </c>
      <c r="NZS1" t="s">
        <v>14427</v>
      </c>
      <c r="NZT1" t="s">
        <v>14428</v>
      </c>
      <c r="NZU1" t="s">
        <v>14429</v>
      </c>
      <c r="NZV1" t="s">
        <v>14430</v>
      </c>
      <c r="NZW1" t="s">
        <v>14431</v>
      </c>
      <c r="NZX1" t="s">
        <v>14432</v>
      </c>
      <c r="NZY1" t="s">
        <v>14433</v>
      </c>
      <c r="NZZ1" t="s">
        <v>14434</v>
      </c>
      <c r="OAA1" t="s">
        <v>14435</v>
      </c>
      <c r="OAB1" t="s">
        <v>14436</v>
      </c>
      <c r="OAC1" t="s">
        <v>14437</v>
      </c>
      <c r="OAD1" t="s">
        <v>14438</v>
      </c>
      <c r="OAE1" t="s">
        <v>14439</v>
      </c>
      <c r="OAF1" t="s">
        <v>14440</v>
      </c>
      <c r="OAG1" t="s">
        <v>14441</v>
      </c>
      <c r="OAH1" t="s">
        <v>14442</v>
      </c>
      <c r="OAI1" t="s">
        <v>14443</v>
      </c>
      <c r="OAJ1" t="s">
        <v>14444</v>
      </c>
      <c r="OAK1" t="s">
        <v>14445</v>
      </c>
      <c r="OAL1" t="s">
        <v>14446</v>
      </c>
      <c r="OAM1" t="s">
        <v>14447</v>
      </c>
      <c r="OAN1" t="s">
        <v>14448</v>
      </c>
      <c r="OAO1" t="s">
        <v>14449</v>
      </c>
      <c r="OAP1" t="s">
        <v>14450</v>
      </c>
      <c r="OAQ1" t="s">
        <v>14451</v>
      </c>
      <c r="OAR1" t="s">
        <v>14452</v>
      </c>
      <c r="OAS1" t="s">
        <v>14453</v>
      </c>
      <c r="OAT1" t="s">
        <v>14454</v>
      </c>
      <c r="OAU1" t="s">
        <v>14455</v>
      </c>
      <c r="OAV1" t="s">
        <v>14456</v>
      </c>
      <c r="OAW1" t="s">
        <v>14457</v>
      </c>
      <c r="OAX1" t="s">
        <v>14458</v>
      </c>
      <c r="OAY1" t="s">
        <v>14459</v>
      </c>
      <c r="OAZ1" t="s">
        <v>14460</v>
      </c>
      <c r="OBA1" t="s">
        <v>14461</v>
      </c>
      <c r="OBB1" t="s">
        <v>14462</v>
      </c>
      <c r="OBC1" t="s">
        <v>14463</v>
      </c>
      <c r="OBD1" t="s">
        <v>14464</v>
      </c>
      <c r="OBE1" t="s">
        <v>14465</v>
      </c>
      <c r="OBF1" t="s">
        <v>14466</v>
      </c>
      <c r="OBG1" t="s">
        <v>14467</v>
      </c>
      <c r="OBH1" t="s">
        <v>14468</v>
      </c>
      <c r="OBI1" t="s">
        <v>14469</v>
      </c>
      <c r="OBJ1" t="s">
        <v>14470</v>
      </c>
      <c r="OBK1" t="s">
        <v>14471</v>
      </c>
      <c r="OBL1" t="s">
        <v>14472</v>
      </c>
      <c r="OBM1" t="s">
        <v>14473</v>
      </c>
      <c r="OBN1" t="s">
        <v>14474</v>
      </c>
      <c r="OBO1" t="s">
        <v>14475</v>
      </c>
      <c r="OBP1" t="s">
        <v>14476</v>
      </c>
      <c r="OBQ1" t="s">
        <v>14477</v>
      </c>
      <c r="OBR1" t="s">
        <v>14478</v>
      </c>
      <c r="OBS1" t="s">
        <v>14479</v>
      </c>
      <c r="OBT1" t="s">
        <v>14480</v>
      </c>
      <c r="OBU1" t="s">
        <v>14481</v>
      </c>
      <c r="OBV1" t="s">
        <v>14482</v>
      </c>
      <c r="OBW1" t="s">
        <v>14483</v>
      </c>
      <c r="OBX1" t="s">
        <v>14484</v>
      </c>
      <c r="OBY1" t="s">
        <v>14485</v>
      </c>
      <c r="OBZ1" t="s">
        <v>14486</v>
      </c>
      <c r="OCA1" t="s">
        <v>14487</v>
      </c>
      <c r="OCB1" t="s">
        <v>14488</v>
      </c>
      <c r="OCC1" t="s">
        <v>14489</v>
      </c>
      <c r="OCD1" t="s">
        <v>14490</v>
      </c>
      <c r="OCE1" t="s">
        <v>14491</v>
      </c>
      <c r="OCF1" t="s">
        <v>14492</v>
      </c>
      <c r="OCG1" t="s">
        <v>14493</v>
      </c>
      <c r="OCH1" t="s">
        <v>14494</v>
      </c>
      <c r="OCI1" t="s">
        <v>14495</v>
      </c>
      <c r="OCJ1" t="s">
        <v>14496</v>
      </c>
      <c r="OCK1" t="s">
        <v>14497</v>
      </c>
      <c r="OCL1" t="s">
        <v>14498</v>
      </c>
      <c r="OCM1" t="s">
        <v>14499</v>
      </c>
      <c r="OCN1" t="s">
        <v>14500</v>
      </c>
      <c r="OCO1" t="s">
        <v>14501</v>
      </c>
      <c r="OCP1" t="s">
        <v>14502</v>
      </c>
      <c r="OCQ1" t="s">
        <v>14503</v>
      </c>
      <c r="OCR1" t="s">
        <v>14504</v>
      </c>
      <c r="OCS1" t="s">
        <v>14505</v>
      </c>
      <c r="OCT1" t="s">
        <v>14506</v>
      </c>
      <c r="OCU1" t="s">
        <v>14507</v>
      </c>
      <c r="OCV1" t="s">
        <v>14508</v>
      </c>
      <c r="OCW1" t="s">
        <v>14509</v>
      </c>
      <c r="OCX1" t="s">
        <v>14510</v>
      </c>
      <c r="OCY1" t="s">
        <v>14511</v>
      </c>
      <c r="OCZ1" t="s">
        <v>14512</v>
      </c>
      <c r="ODA1" t="s">
        <v>14513</v>
      </c>
      <c r="ODB1" t="s">
        <v>14514</v>
      </c>
      <c r="ODC1" t="s">
        <v>14515</v>
      </c>
      <c r="ODD1" t="s">
        <v>14516</v>
      </c>
      <c r="ODE1" t="s">
        <v>14517</v>
      </c>
      <c r="ODF1" t="s">
        <v>14518</v>
      </c>
      <c r="ODG1" t="s">
        <v>14519</v>
      </c>
      <c r="ODH1" t="s">
        <v>14520</v>
      </c>
      <c r="ODI1" t="s">
        <v>14521</v>
      </c>
      <c r="ODJ1" t="s">
        <v>14522</v>
      </c>
      <c r="ODK1" t="s">
        <v>14523</v>
      </c>
      <c r="ODL1" t="s">
        <v>14524</v>
      </c>
      <c r="ODM1" t="s">
        <v>14525</v>
      </c>
      <c r="ODN1" t="s">
        <v>14526</v>
      </c>
      <c r="ODO1" t="s">
        <v>14527</v>
      </c>
      <c r="ODP1" t="s">
        <v>14528</v>
      </c>
      <c r="ODQ1" t="s">
        <v>14529</v>
      </c>
      <c r="ODR1" t="s">
        <v>14530</v>
      </c>
      <c r="ODS1" t="s">
        <v>14531</v>
      </c>
      <c r="ODT1" t="s">
        <v>14532</v>
      </c>
      <c r="ODU1" t="s">
        <v>14533</v>
      </c>
      <c r="ODV1" t="s">
        <v>14534</v>
      </c>
      <c r="ODW1" t="s">
        <v>14535</v>
      </c>
      <c r="ODX1" t="s">
        <v>14536</v>
      </c>
      <c r="ODY1" t="s">
        <v>14537</v>
      </c>
      <c r="ODZ1" t="s">
        <v>14538</v>
      </c>
      <c r="OEA1" t="s">
        <v>14539</v>
      </c>
      <c r="OEB1" t="s">
        <v>14540</v>
      </c>
      <c r="OEC1" t="s">
        <v>14541</v>
      </c>
      <c r="OED1" t="s">
        <v>14542</v>
      </c>
      <c r="OEE1" t="s">
        <v>14543</v>
      </c>
      <c r="OEF1" t="s">
        <v>14544</v>
      </c>
      <c r="OEG1" t="s">
        <v>14545</v>
      </c>
      <c r="OEH1" t="s">
        <v>14546</v>
      </c>
      <c r="OEI1" t="s">
        <v>14547</v>
      </c>
      <c r="OEJ1" t="s">
        <v>14548</v>
      </c>
      <c r="OEK1" t="s">
        <v>14549</v>
      </c>
      <c r="OEL1" t="s">
        <v>14550</v>
      </c>
      <c r="OEM1" t="s">
        <v>14551</v>
      </c>
      <c r="OEN1" t="s">
        <v>14552</v>
      </c>
      <c r="OEO1" t="s">
        <v>14553</v>
      </c>
      <c r="OEP1" t="s">
        <v>14554</v>
      </c>
      <c r="OEQ1" t="s">
        <v>14555</v>
      </c>
      <c r="OER1" t="s">
        <v>14556</v>
      </c>
      <c r="OES1" t="s">
        <v>14557</v>
      </c>
      <c r="OET1" t="s">
        <v>14558</v>
      </c>
      <c r="OEU1" t="s">
        <v>14559</v>
      </c>
      <c r="OEV1" t="s">
        <v>14560</v>
      </c>
      <c r="OEW1" t="s">
        <v>14561</v>
      </c>
      <c r="OEX1" t="s">
        <v>14562</v>
      </c>
      <c r="OEY1" t="s">
        <v>14563</v>
      </c>
      <c r="OEZ1" t="s">
        <v>14564</v>
      </c>
      <c r="OFA1" t="s">
        <v>14565</v>
      </c>
      <c r="OFB1" t="s">
        <v>14566</v>
      </c>
      <c r="OFC1" t="s">
        <v>14567</v>
      </c>
      <c r="OFD1" t="s">
        <v>14568</v>
      </c>
      <c r="OFE1" t="s">
        <v>14569</v>
      </c>
      <c r="OFF1" t="s">
        <v>14570</v>
      </c>
      <c r="OFG1" t="s">
        <v>14571</v>
      </c>
      <c r="OFH1" t="s">
        <v>14572</v>
      </c>
      <c r="OFI1" t="s">
        <v>14573</v>
      </c>
      <c r="OFJ1" t="s">
        <v>14574</v>
      </c>
      <c r="OFK1" t="s">
        <v>14575</v>
      </c>
      <c r="OFL1" t="s">
        <v>14576</v>
      </c>
      <c r="OFM1" t="s">
        <v>14577</v>
      </c>
      <c r="OFN1" t="s">
        <v>14578</v>
      </c>
      <c r="OFO1" t="s">
        <v>14579</v>
      </c>
      <c r="OFP1" t="s">
        <v>14580</v>
      </c>
      <c r="OFQ1" t="s">
        <v>14581</v>
      </c>
      <c r="OFR1" t="s">
        <v>14582</v>
      </c>
      <c r="OFS1" t="s">
        <v>14583</v>
      </c>
      <c r="OFT1" t="s">
        <v>14584</v>
      </c>
      <c r="OFU1" t="s">
        <v>14585</v>
      </c>
      <c r="OFV1" t="s">
        <v>14586</v>
      </c>
      <c r="OFW1" t="s">
        <v>14587</v>
      </c>
      <c r="OFX1" t="s">
        <v>14588</v>
      </c>
      <c r="OFY1" t="s">
        <v>14589</v>
      </c>
      <c r="OFZ1" t="s">
        <v>14590</v>
      </c>
      <c r="OGA1" t="s">
        <v>14591</v>
      </c>
      <c r="OGB1" t="s">
        <v>14592</v>
      </c>
      <c r="OGC1" t="s">
        <v>14593</v>
      </c>
      <c r="OGD1" t="s">
        <v>14594</v>
      </c>
      <c r="OGE1" t="s">
        <v>14595</v>
      </c>
      <c r="OGF1" t="s">
        <v>14596</v>
      </c>
      <c r="OGG1" t="s">
        <v>14597</v>
      </c>
      <c r="OGH1" t="s">
        <v>14598</v>
      </c>
      <c r="OGI1" t="s">
        <v>14599</v>
      </c>
      <c r="OGJ1" t="s">
        <v>14600</v>
      </c>
      <c r="OGK1" t="s">
        <v>14601</v>
      </c>
      <c r="OGL1" t="s">
        <v>14602</v>
      </c>
      <c r="OGM1" t="s">
        <v>14603</v>
      </c>
      <c r="OGN1" t="s">
        <v>14604</v>
      </c>
      <c r="OGO1" t="s">
        <v>14605</v>
      </c>
      <c r="OGP1" t="s">
        <v>14606</v>
      </c>
      <c r="OGQ1" t="s">
        <v>14607</v>
      </c>
      <c r="OGR1" t="s">
        <v>14608</v>
      </c>
      <c r="OGS1" t="s">
        <v>14609</v>
      </c>
      <c r="OGT1" t="s">
        <v>14610</v>
      </c>
      <c r="OGU1" t="s">
        <v>14611</v>
      </c>
      <c r="OGV1" t="s">
        <v>14612</v>
      </c>
      <c r="OGW1" t="s">
        <v>14613</v>
      </c>
      <c r="OGX1" t="s">
        <v>14614</v>
      </c>
      <c r="OGY1" t="s">
        <v>14615</v>
      </c>
      <c r="OGZ1" t="s">
        <v>14616</v>
      </c>
      <c r="OHA1" t="s">
        <v>14617</v>
      </c>
      <c r="OHB1" t="s">
        <v>14618</v>
      </c>
      <c r="OHC1" t="s">
        <v>14619</v>
      </c>
      <c r="OHD1" t="s">
        <v>14620</v>
      </c>
      <c r="OHE1" t="s">
        <v>14621</v>
      </c>
      <c r="OHF1" t="s">
        <v>14622</v>
      </c>
      <c r="OHG1" t="s">
        <v>14623</v>
      </c>
      <c r="OHH1" t="s">
        <v>14624</v>
      </c>
      <c r="OHI1" t="s">
        <v>14625</v>
      </c>
      <c r="OHJ1" t="s">
        <v>14626</v>
      </c>
      <c r="OHK1" t="s">
        <v>14627</v>
      </c>
      <c r="OHL1" t="s">
        <v>14628</v>
      </c>
      <c r="OHM1" t="s">
        <v>14629</v>
      </c>
      <c r="OHN1" t="s">
        <v>14630</v>
      </c>
      <c r="OHO1" t="s">
        <v>14631</v>
      </c>
      <c r="OHP1" t="s">
        <v>14632</v>
      </c>
      <c r="OHQ1" t="s">
        <v>14633</v>
      </c>
      <c r="OHR1" t="s">
        <v>14634</v>
      </c>
      <c r="OHS1" t="s">
        <v>14635</v>
      </c>
      <c r="OHT1" t="s">
        <v>14636</v>
      </c>
      <c r="OHU1" t="s">
        <v>14637</v>
      </c>
      <c r="OHV1" t="s">
        <v>14638</v>
      </c>
      <c r="OHW1" t="s">
        <v>14639</v>
      </c>
      <c r="OHX1" t="s">
        <v>14640</v>
      </c>
      <c r="OHY1" t="s">
        <v>14641</v>
      </c>
      <c r="OHZ1" t="s">
        <v>14642</v>
      </c>
      <c r="OIA1" t="s">
        <v>14643</v>
      </c>
      <c r="OIB1" t="s">
        <v>14644</v>
      </c>
      <c r="OIC1" t="s">
        <v>14645</v>
      </c>
      <c r="OID1" t="s">
        <v>14646</v>
      </c>
      <c r="OIE1" t="s">
        <v>14647</v>
      </c>
      <c r="OIF1" t="s">
        <v>14648</v>
      </c>
      <c r="OIG1" t="s">
        <v>14649</v>
      </c>
      <c r="OIH1" t="s">
        <v>14650</v>
      </c>
      <c r="OII1" t="s">
        <v>14651</v>
      </c>
      <c r="OIJ1" t="s">
        <v>14652</v>
      </c>
      <c r="OIK1" t="s">
        <v>14653</v>
      </c>
      <c r="OIL1" t="s">
        <v>14654</v>
      </c>
      <c r="OIM1" t="s">
        <v>14655</v>
      </c>
      <c r="OIN1" t="s">
        <v>14656</v>
      </c>
      <c r="OIO1" t="s">
        <v>14657</v>
      </c>
      <c r="OIP1" t="s">
        <v>14658</v>
      </c>
      <c r="OIQ1" t="s">
        <v>14659</v>
      </c>
      <c r="OIR1" t="s">
        <v>14660</v>
      </c>
      <c r="OIS1" t="s">
        <v>14661</v>
      </c>
      <c r="OIT1" t="s">
        <v>14662</v>
      </c>
      <c r="OIU1" t="s">
        <v>14663</v>
      </c>
      <c r="OIV1" t="s">
        <v>14664</v>
      </c>
      <c r="OIW1" t="s">
        <v>14665</v>
      </c>
      <c r="OIX1" t="s">
        <v>14666</v>
      </c>
      <c r="OIY1" t="s">
        <v>14667</v>
      </c>
      <c r="OIZ1" t="s">
        <v>14668</v>
      </c>
      <c r="OJA1" t="s">
        <v>14669</v>
      </c>
      <c r="OJB1" t="s">
        <v>14670</v>
      </c>
      <c r="OJC1" t="s">
        <v>14671</v>
      </c>
      <c r="OJD1" t="s">
        <v>14672</v>
      </c>
      <c r="OJE1" t="s">
        <v>14673</v>
      </c>
      <c r="OJF1" t="s">
        <v>14674</v>
      </c>
      <c r="OJG1" t="s">
        <v>14675</v>
      </c>
      <c r="OJH1" t="s">
        <v>14676</v>
      </c>
      <c r="OJI1" t="s">
        <v>14677</v>
      </c>
      <c r="OJJ1" t="s">
        <v>14678</v>
      </c>
      <c r="OJK1" t="s">
        <v>14679</v>
      </c>
      <c r="OJL1" t="s">
        <v>14680</v>
      </c>
      <c r="OJM1" t="s">
        <v>14681</v>
      </c>
      <c r="OJN1" t="s">
        <v>14682</v>
      </c>
      <c r="OJO1" t="s">
        <v>14683</v>
      </c>
      <c r="OJP1" t="s">
        <v>14684</v>
      </c>
      <c r="OJQ1" t="s">
        <v>14685</v>
      </c>
      <c r="OJR1" t="s">
        <v>14686</v>
      </c>
      <c r="OJS1" t="s">
        <v>14687</v>
      </c>
      <c r="OJT1" t="s">
        <v>14688</v>
      </c>
      <c r="OJU1" t="s">
        <v>14689</v>
      </c>
      <c r="OJV1" t="s">
        <v>14690</v>
      </c>
      <c r="OJW1" t="s">
        <v>14691</v>
      </c>
      <c r="OJX1" t="s">
        <v>14692</v>
      </c>
      <c r="OJY1" t="s">
        <v>14693</v>
      </c>
      <c r="OJZ1" t="s">
        <v>14694</v>
      </c>
      <c r="OKA1" t="s">
        <v>14695</v>
      </c>
      <c r="OKB1" t="s">
        <v>14696</v>
      </c>
      <c r="OKC1" t="s">
        <v>14697</v>
      </c>
      <c r="OKD1" t="s">
        <v>14698</v>
      </c>
      <c r="OKE1" t="s">
        <v>14699</v>
      </c>
      <c r="OKF1" t="s">
        <v>14700</v>
      </c>
      <c r="OKG1" t="s">
        <v>14701</v>
      </c>
      <c r="OKH1" t="s">
        <v>14702</v>
      </c>
      <c r="OKI1" t="s">
        <v>14703</v>
      </c>
      <c r="OKJ1" t="s">
        <v>14704</v>
      </c>
      <c r="OKK1" t="s">
        <v>14705</v>
      </c>
      <c r="OKL1" t="s">
        <v>14706</v>
      </c>
      <c r="OKM1" t="s">
        <v>14707</v>
      </c>
      <c r="OKN1" t="s">
        <v>14708</v>
      </c>
      <c r="OKO1" t="s">
        <v>14709</v>
      </c>
      <c r="OKP1" t="s">
        <v>14710</v>
      </c>
      <c r="OKQ1" t="s">
        <v>14711</v>
      </c>
      <c r="OKR1" t="s">
        <v>14712</v>
      </c>
      <c r="OKS1" t="s">
        <v>14713</v>
      </c>
      <c r="OKT1" t="s">
        <v>14714</v>
      </c>
      <c r="OKU1" t="s">
        <v>14715</v>
      </c>
      <c r="OKV1" t="s">
        <v>14716</v>
      </c>
      <c r="OKW1" t="s">
        <v>14717</v>
      </c>
      <c r="OKX1" t="s">
        <v>14718</v>
      </c>
      <c r="OKY1" t="s">
        <v>14719</v>
      </c>
      <c r="OKZ1" t="s">
        <v>14720</v>
      </c>
      <c r="OLA1" t="s">
        <v>14721</v>
      </c>
      <c r="OLB1" t="s">
        <v>14722</v>
      </c>
      <c r="OLC1" t="s">
        <v>14723</v>
      </c>
      <c r="OLD1" t="s">
        <v>14724</v>
      </c>
      <c r="OLE1" t="s">
        <v>14725</v>
      </c>
      <c r="OLF1" t="s">
        <v>14726</v>
      </c>
      <c r="OLG1" t="s">
        <v>14727</v>
      </c>
      <c r="OLH1" t="s">
        <v>14728</v>
      </c>
      <c r="OLI1" t="s">
        <v>14729</v>
      </c>
      <c r="OLJ1" t="s">
        <v>14730</v>
      </c>
      <c r="OLK1" t="s">
        <v>14731</v>
      </c>
      <c r="OLL1" t="s">
        <v>14732</v>
      </c>
      <c r="OLM1" t="s">
        <v>14733</v>
      </c>
      <c r="OLN1" t="s">
        <v>14734</v>
      </c>
      <c r="OLO1" t="s">
        <v>14735</v>
      </c>
      <c r="OLP1" t="s">
        <v>14736</v>
      </c>
      <c r="OLQ1" t="s">
        <v>14737</v>
      </c>
      <c r="OLR1" t="s">
        <v>14738</v>
      </c>
      <c r="OLS1" t="s">
        <v>14739</v>
      </c>
      <c r="OLT1" t="s">
        <v>14740</v>
      </c>
      <c r="OLU1" t="s">
        <v>14741</v>
      </c>
      <c r="OLV1" t="s">
        <v>14742</v>
      </c>
      <c r="OLW1" t="s">
        <v>14743</v>
      </c>
      <c r="OLX1" t="s">
        <v>14744</v>
      </c>
      <c r="OLY1" t="s">
        <v>14745</v>
      </c>
      <c r="OLZ1" t="s">
        <v>14746</v>
      </c>
      <c r="OMA1" t="s">
        <v>14747</v>
      </c>
      <c r="OMB1" t="s">
        <v>14748</v>
      </c>
      <c r="OMC1" t="s">
        <v>14749</v>
      </c>
      <c r="OMD1" t="s">
        <v>14750</v>
      </c>
      <c r="OME1" t="s">
        <v>14751</v>
      </c>
      <c r="OMF1" t="s">
        <v>14752</v>
      </c>
      <c r="OMG1" t="s">
        <v>14753</v>
      </c>
      <c r="OMH1" t="s">
        <v>14754</v>
      </c>
      <c r="OMI1" t="s">
        <v>14755</v>
      </c>
      <c r="OMJ1" t="s">
        <v>14756</v>
      </c>
      <c r="OMK1" t="s">
        <v>14757</v>
      </c>
      <c r="OML1" t="s">
        <v>14758</v>
      </c>
      <c r="OMM1" t="s">
        <v>14759</v>
      </c>
      <c r="OMN1" t="s">
        <v>14760</v>
      </c>
      <c r="OMO1" t="s">
        <v>14761</v>
      </c>
      <c r="OMP1" t="s">
        <v>14762</v>
      </c>
      <c r="OMQ1" t="s">
        <v>14763</v>
      </c>
      <c r="OMR1" t="s">
        <v>14764</v>
      </c>
      <c r="OMS1" t="s">
        <v>14765</v>
      </c>
      <c r="OMT1" t="s">
        <v>14766</v>
      </c>
      <c r="OMU1" t="s">
        <v>14767</v>
      </c>
      <c r="OMV1" t="s">
        <v>14768</v>
      </c>
      <c r="OMW1" t="s">
        <v>14769</v>
      </c>
      <c r="OMX1" t="s">
        <v>14770</v>
      </c>
      <c r="OMY1" t="s">
        <v>14771</v>
      </c>
      <c r="OMZ1" t="s">
        <v>14772</v>
      </c>
      <c r="ONA1" t="s">
        <v>14773</v>
      </c>
      <c r="ONB1" t="s">
        <v>14774</v>
      </c>
      <c r="ONC1" t="s">
        <v>14775</v>
      </c>
      <c r="OND1" t="s">
        <v>14776</v>
      </c>
      <c r="ONE1" t="s">
        <v>14777</v>
      </c>
      <c r="ONF1" t="s">
        <v>14778</v>
      </c>
      <c r="ONG1" t="s">
        <v>14779</v>
      </c>
      <c r="ONH1" t="s">
        <v>14780</v>
      </c>
      <c r="ONI1" t="s">
        <v>14781</v>
      </c>
      <c r="ONJ1" t="s">
        <v>14782</v>
      </c>
      <c r="ONK1" t="s">
        <v>14783</v>
      </c>
      <c r="ONL1" t="s">
        <v>14784</v>
      </c>
      <c r="ONM1" t="s">
        <v>14785</v>
      </c>
      <c r="ONN1" t="s">
        <v>14786</v>
      </c>
      <c r="ONO1" t="s">
        <v>14787</v>
      </c>
      <c r="ONP1" t="s">
        <v>14788</v>
      </c>
      <c r="ONQ1" t="s">
        <v>14789</v>
      </c>
      <c r="ONR1" t="s">
        <v>14790</v>
      </c>
      <c r="ONS1" t="s">
        <v>14791</v>
      </c>
      <c r="ONT1" t="s">
        <v>14792</v>
      </c>
      <c r="ONU1" t="s">
        <v>14793</v>
      </c>
      <c r="ONV1" t="s">
        <v>14794</v>
      </c>
      <c r="ONW1" t="s">
        <v>14795</v>
      </c>
      <c r="ONX1" t="s">
        <v>14796</v>
      </c>
      <c r="ONY1" t="s">
        <v>14797</v>
      </c>
      <c r="ONZ1" t="s">
        <v>14798</v>
      </c>
      <c r="OOA1" t="s">
        <v>14799</v>
      </c>
      <c r="OOB1" t="s">
        <v>14800</v>
      </c>
      <c r="OOC1" t="s">
        <v>14801</v>
      </c>
      <c r="OOD1" t="s">
        <v>14802</v>
      </c>
      <c r="OOE1" t="s">
        <v>14803</v>
      </c>
      <c r="OOF1" t="s">
        <v>14804</v>
      </c>
      <c r="OOG1" t="s">
        <v>14805</v>
      </c>
      <c r="OOH1" t="s">
        <v>14806</v>
      </c>
      <c r="OOI1" t="s">
        <v>14807</v>
      </c>
      <c r="OOJ1" t="s">
        <v>14808</v>
      </c>
      <c r="OOK1" t="s">
        <v>14809</v>
      </c>
      <c r="OOL1" t="s">
        <v>14810</v>
      </c>
      <c r="OOM1" t="s">
        <v>14811</v>
      </c>
      <c r="OON1" t="s">
        <v>14812</v>
      </c>
      <c r="OOO1" t="s">
        <v>14813</v>
      </c>
      <c r="OOP1" t="s">
        <v>14814</v>
      </c>
      <c r="OOQ1" t="s">
        <v>14815</v>
      </c>
      <c r="OOR1" t="s">
        <v>14816</v>
      </c>
      <c r="OOS1" t="s">
        <v>14817</v>
      </c>
      <c r="OOT1" t="s">
        <v>14818</v>
      </c>
      <c r="OOU1" t="s">
        <v>14819</v>
      </c>
      <c r="OOV1" t="s">
        <v>14820</v>
      </c>
      <c r="OOW1" t="s">
        <v>14821</v>
      </c>
      <c r="OOX1" t="s">
        <v>14822</v>
      </c>
      <c r="OOY1" t="s">
        <v>14823</v>
      </c>
      <c r="OOZ1" t="s">
        <v>14824</v>
      </c>
      <c r="OPA1" t="s">
        <v>14825</v>
      </c>
      <c r="OPB1" t="s">
        <v>14826</v>
      </c>
      <c r="OPC1" t="s">
        <v>14827</v>
      </c>
      <c r="OPD1" t="s">
        <v>14828</v>
      </c>
      <c r="OPE1" t="s">
        <v>14829</v>
      </c>
      <c r="OPF1" t="s">
        <v>14830</v>
      </c>
      <c r="OPG1" t="s">
        <v>14831</v>
      </c>
      <c r="OPH1" t="s">
        <v>14832</v>
      </c>
      <c r="OPI1" t="s">
        <v>14833</v>
      </c>
      <c r="OPJ1" t="s">
        <v>14834</v>
      </c>
      <c r="OPK1" t="s">
        <v>14835</v>
      </c>
      <c r="OPL1" t="s">
        <v>14836</v>
      </c>
      <c r="OPM1" t="s">
        <v>14837</v>
      </c>
      <c r="OPN1" t="s">
        <v>14838</v>
      </c>
      <c r="OPO1" t="s">
        <v>14839</v>
      </c>
      <c r="OPP1" t="s">
        <v>14840</v>
      </c>
      <c r="OPQ1" t="s">
        <v>14841</v>
      </c>
      <c r="OPR1" t="s">
        <v>14842</v>
      </c>
      <c r="OPS1" t="s">
        <v>14843</v>
      </c>
      <c r="OPT1" t="s">
        <v>14844</v>
      </c>
      <c r="OPU1" t="s">
        <v>14845</v>
      </c>
      <c r="OPV1" t="s">
        <v>14846</v>
      </c>
      <c r="OPW1" t="s">
        <v>14847</v>
      </c>
      <c r="OPX1" t="s">
        <v>14848</v>
      </c>
      <c r="OPY1" t="s">
        <v>14849</v>
      </c>
      <c r="OPZ1" t="s">
        <v>14850</v>
      </c>
      <c r="OQA1" t="s">
        <v>14851</v>
      </c>
      <c r="OQB1" t="s">
        <v>14852</v>
      </c>
      <c r="OQC1" t="s">
        <v>14853</v>
      </c>
      <c r="OQD1" t="s">
        <v>14854</v>
      </c>
      <c r="OQE1" t="s">
        <v>14855</v>
      </c>
      <c r="OQF1" t="s">
        <v>14856</v>
      </c>
      <c r="OQG1" t="s">
        <v>14857</v>
      </c>
      <c r="OQH1" t="s">
        <v>14858</v>
      </c>
      <c r="OQI1" t="s">
        <v>14859</v>
      </c>
      <c r="OQJ1" t="s">
        <v>14860</v>
      </c>
      <c r="OQK1" t="s">
        <v>14861</v>
      </c>
      <c r="OQL1" t="s">
        <v>14862</v>
      </c>
      <c r="OQM1" t="s">
        <v>14863</v>
      </c>
      <c r="OQN1" t="s">
        <v>14864</v>
      </c>
      <c r="OQO1" t="s">
        <v>14865</v>
      </c>
      <c r="OQP1" t="s">
        <v>14866</v>
      </c>
      <c r="OQQ1" t="s">
        <v>14867</v>
      </c>
      <c r="OQR1" t="s">
        <v>14868</v>
      </c>
      <c r="OQS1" t="s">
        <v>14869</v>
      </c>
      <c r="OQT1" t="s">
        <v>14870</v>
      </c>
      <c r="OQU1" t="s">
        <v>14871</v>
      </c>
      <c r="OQV1" t="s">
        <v>14872</v>
      </c>
      <c r="OQW1" t="s">
        <v>14873</v>
      </c>
      <c r="OQX1" t="s">
        <v>14874</v>
      </c>
      <c r="OQY1" t="s">
        <v>14875</v>
      </c>
      <c r="OQZ1" t="s">
        <v>14876</v>
      </c>
      <c r="ORA1" t="s">
        <v>14877</v>
      </c>
      <c r="ORB1" t="s">
        <v>14878</v>
      </c>
      <c r="ORC1" t="s">
        <v>14879</v>
      </c>
      <c r="ORD1" t="s">
        <v>14880</v>
      </c>
      <c r="ORE1" t="s">
        <v>14881</v>
      </c>
      <c r="ORF1" t="s">
        <v>14882</v>
      </c>
      <c r="ORG1" t="s">
        <v>14883</v>
      </c>
      <c r="ORH1" t="s">
        <v>14884</v>
      </c>
      <c r="ORI1" t="s">
        <v>14885</v>
      </c>
      <c r="ORJ1" t="s">
        <v>14886</v>
      </c>
      <c r="ORK1" t="s">
        <v>14887</v>
      </c>
      <c r="ORL1" t="s">
        <v>14888</v>
      </c>
      <c r="ORM1" t="s">
        <v>14889</v>
      </c>
      <c r="ORN1" t="s">
        <v>14890</v>
      </c>
      <c r="ORO1" t="s">
        <v>14891</v>
      </c>
      <c r="ORP1" t="s">
        <v>14892</v>
      </c>
      <c r="ORQ1" t="s">
        <v>14893</v>
      </c>
      <c r="ORR1" t="s">
        <v>14894</v>
      </c>
      <c r="ORS1" t="s">
        <v>14895</v>
      </c>
      <c r="ORT1" t="s">
        <v>14896</v>
      </c>
      <c r="ORU1" t="s">
        <v>14897</v>
      </c>
      <c r="ORV1" t="s">
        <v>14898</v>
      </c>
      <c r="ORW1" t="s">
        <v>14899</v>
      </c>
      <c r="ORX1" t="s">
        <v>14900</v>
      </c>
      <c r="ORY1" t="s">
        <v>14901</v>
      </c>
      <c r="ORZ1" t="s">
        <v>14902</v>
      </c>
      <c r="OSA1" t="s">
        <v>14903</v>
      </c>
      <c r="OSB1" t="s">
        <v>14904</v>
      </c>
      <c r="OSC1" t="s">
        <v>14905</v>
      </c>
      <c r="OSD1" t="s">
        <v>14906</v>
      </c>
      <c r="OSE1" t="s">
        <v>14907</v>
      </c>
      <c r="OSF1" t="s">
        <v>14908</v>
      </c>
      <c r="OSG1" t="s">
        <v>14909</v>
      </c>
      <c r="OSH1" t="s">
        <v>14910</v>
      </c>
      <c r="OSI1" t="s">
        <v>14911</v>
      </c>
      <c r="OSJ1" t="s">
        <v>14912</v>
      </c>
      <c r="OSK1" t="s">
        <v>14913</v>
      </c>
      <c r="OSL1" t="s">
        <v>14914</v>
      </c>
      <c r="OSM1" t="s">
        <v>14915</v>
      </c>
      <c r="OSN1" t="s">
        <v>14916</v>
      </c>
      <c r="OSO1" t="s">
        <v>14917</v>
      </c>
      <c r="OSP1" t="s">
        <v>14918</v>
      </c>
      <c r="OSQ1" t="s">
        <v>14919</v>
      </c>
      <c r="OSR1" t="s">
        <v>14920</v>
      </c>
      <c r="OSS1" t="s">
        <v>14921</v>
      </c>
      <c r="OST1" t="s">
        <v>14922</v>
      </c>
      <c r="OSU1" t="s">
        <v>14923</v>
      </c>
      <c r="OSV1" t="s">
        <v>14924</v>
      </c>
      <c r="OSW1" t="s">
        <v>14925</v>
      </c>
      <c r="OSX1" t="s">
        <v>14926</v>
      </c>
      <c r="OSY1" t="s">
        <v>14927</v>
      </c>
      <c r="OSZ1" t="s">
        <v>14928</v>
      </c>
      <c r="OTA1" t="s">
        <v>14929</v>
      </c>
      <c r="OTB1" t="s">
        <v>14930</v>
      </c>
      <c r="OTC1" t="s">
        <v>14931</v>
      </c>
      <c r="OTD1" t="s">
        <v>14932</v>
      </c>
      <c r="OTE1" t="s">
        <v>14933</v>
      </c>
      <c r="OTF1" t="s">
        <v>14934</v>
      </c>
      <c r="OTG1" t="s">
        <v>14935</v>
      </c>
      <c r="OTH1" t="s">
        <v>14936</v>
      </c>
      <c r="OTI1" t="s">
        <v>14937</v>
      </c>
      <c r="OTJ1" t="s">
        <v>14938</v>
      </c>
      <c r="OTK1" t="s">
        <v>14939</v>
      </c>
      <c r="OTL1" t="s">
        <v>14940</v>
      </c>
      <c r="OTM1" t="s">
        <v>14941</v>
      </c>
      <c r="OTN1" t="s">
        <v>14942</v>
      </c>
      <c r="OTO1" t="s">
        <v>14943</v>
      </c>
      <c r="OTP1" t="s">
        <v>14944</v>
      </c>
      <c r="OTQ1" t="s">
        <v>14945</v>
      </c>
      <c r="OTR1" t="s">
        <v>14946</v>
      </c>
      <c r="OTS1" t="s">
        <v>14947</v>
      </c>
      <c r="OTT1" t="s">
        <v>14948</v>
      </c>
      <c r="OTU1" t="s">
        <v>14949</v>
      </c>
      <c r="OTV1" t="s">
        <v>14950</v>
      </c>
      <c r="OTW1" t="s">
        <v>14951</v>
      </c>
      <c r="OTX1" t="s">
        <v>14952</v>
      </c>
      <c r="OTY1" t="s">
        <v>14953</v>
      </c>
      <c r="OTZ1" t="s">
        <v>14954</v>
      </c>
      <c r="OUA1" t="s">
        <v>14955</v>
      </c>
      <c r="OUB1" t="s">
        <v>14956</v>
      </c>
      <c r="OUC1" t="s">
        <v>14957</v>
      </c>
      <c r="OUD1" t="s">
        <v>14958</v>
      </c>
      <c r="OUE1" t="s">
        <v>14959</v>
      </c>
      <c r="OUF1" t="s">
        <v>14960</v>
      </c>
      <c r="OUG1" t="s">
        <v>14961</v>
      </c>
      <c r="OUH1" t="s">
        <v>14962</v>
      </c>
      <c r="OUI1" t="s">
        <v>14963</v>
      </c>
      <c r="OUJ1" t="s">
        <v>14964</v>
      </c>
      <c r="OUK1" t="s">
        <v>14965</v>
      </c>
      <c r="OUL1" t="s">
        <v>14966</v>
      </c>
      <c r="OUM1" t="s">
        <v>14967</v>
      </c>
      <c r="OUN1" t="s">
        <v>14968</v>
      </c>
      <c r="OUO1" t="s">
        <v>14969</v>
      </c>
      <c r="OUP1" t="s">
        <v>14970</v>
      </c>
      <c r="OUQ1" t="s">
        <v>14971</v>
      </c>
      <c r="OUR1" t="s">
        <v>14972</v>
      </c>
      <c r="OUS1" t="s">
        <v>14973</v>
      </c>
      <c r="OUT1" t="s">
        <v>14974</v>
      </c>
      <c r="OUU1" t="s">
        <v>14975</v>
      </c>
      <c r="OUV1" t="s">
        <v>14976</v>
      </c>
      <c r="OUW1" t="s">
        <v>14977</v>
      </c>
      <c r="OUX1" t="s">
        <v>14978</v>
      </c>
      <c r="OUY1" t="s">
        <v>14979</v>
      </c>
      <c r="OUZ1" t="s">
        <v>14980</v>
      </c>
      <c r="OVA1" t="s">
        <v>14981</v>
      </c>
      <c r="OVB1" t="s">
        <v>14982</v>
      </c>
      <c r="OVC1" t="s">
        <v>14983</v>
      </c>
      <c r="OVD1" t="s">
        <v>14984</v>
      </c>
      <c r="OVE1" t="s">
        <v>14985</v>
      </c>
      <c r="OVF1" t="s">
        <v>14986</v>
      </c>
      <c r="OVG1" t="s">
        <v>14987</v>
      </c>
      <c r="OVH1" t="s">
        <v>14988</v>
      </c>
      <c r="OVI1" t="s">
        <v>14989</v>
      </c>
      <c r="OVJ1" t="s">
        <v>14990</v>
      </c>
      <c r="OVK1" t="s">
        <v>14991</v>
      </c>
      <c r="OVL1" t="s">
        <v>14992</v>
      </c>
      <c r="OVM1" t="s">
        <v>14993</v>
      </c>
      <c r="OVN1" t="s">
        <v>14994</v>
      </c>
      <c r="OVO1" t="s">
        <v>14995</v>
      </c>
      <c r="OVP1" t="s">
        <v>14996</v>
      </c>
      <c r="OVQ1" t="s">
        <v>14997</v>
      </c>
      <c r="OVR1" t="s">
        <v>14998</v>
      </c>
      <c r="OVS1" t="s">
        <v>14999</v>
      </c>
      <c r="OVT1" t="s">
        <v>15000</v>
      </c>
      <c r="OVU1" t="s">
        <v>15001</v>
      </c>
      <c r="OVV1" t="s">
        <v>15002</v>
      </c>
      <c r="OVW1" t="s">
        <v>15003</v>
      </c>
      <c r="OVX1" t="s">
        <v>15004</v>
      </c>
      <c r="OVY1" t="s">
        <v>15005</v>
      </c>
      <c r="OVZ1" t="s">
        <v>15006</v>
      </c>
      <c r="OWA1" t="s">
        <v>15007</v>
      </c>
      <c r="OWB1" t="s">
        <v>15008</v>
      </c>
      <c r="OWC1" t="s">
        <v>15009</v>
      </c>
      <c r="OWD1" t="s">
        <v>15010</v>
      </c>
      <c r="OWE1" t="s">
        <v>15011</v>
      </c>
      <c r="OWF1" t="s">
        <v>15012</v>
      </c>
      <c r="OWG1" t="s">
        <v>15013</v>
      </c>
      <c r="OWH1" t="s">
        <v>15014</v>
      </c>
      <c r="OWI1" t="s">
        <v>15015</v>
      </c>
      <c r="OWJ1" t="s">
        <v>15016</v>
      </c>
      <c r="OWK1" t="s">
        <v>15017</v>
      </c>
      <c r="OWL1" t="s">
        <v>15018</v>
      </c>
      <c r="OWM1" t="s">
        <v>15019</v>
      </c>
      <c r="OWN1" t="s">
        <v>15020</v>
      </c>
      <c r="OWO1" t="s">
        <v>15021</v>
      </c>
      <c r="OWP1" t="s">
        <v>15022</v>
      </c>
      <c r="OWQ1" t="s">
        <v>15023</v>
      </c>
      <c r="OWR1" t="s">
        <v>15024</v>
      </c>
      <c r="OWS1" t="s">
        <v>15025</v>
      </c>
      <c r="OWT1" t="s">
        <v>15026</v>
      </c>
      <c r="OWU1" t="s">
        <v>15027</v>
      </c>
      <c r="OWV1" t="s">
        <v>15028</v>
      </c>
      <c r="OWW1" t="s">
        <v>15029</v>
      </c>
      <c r="OWX1" t="s">
        <v>15030</v>
      </c>
      <c r="OWY1" t="s">
        <v>15031</v>
      </c>
      <c r="OWZ1" t="s">
        <v>15032</v>
      </c>
      <c r="OXA1" t="s">
        <v>15033</v>
      </c>
      <c r="OXB1" t="s">
        <v>15034</v>
      </c>
      <c r="OXC1" t="s">
        <v>15035</v>
      </c>
      <c r="OXD1" t="s">
        <v>15036</v>
      </c>
      <c r="OXE1" t="s">
        <v>15037</v>
      </c>
      <c r="OXF1" t="s">
        <v>15038</v>
      </c>
      <c r="OXG1" t="s">
        <v>15039</v>
      </c>
      <c r="OXH1" t="s">
        <v>15040</v>
      </c>
      <c r="OXI1" t="s">
        <v>15041</v>
      </c>
      <c r="OXJ1" t="s">
        <v>15042</v>
      </c>
      <c r="OXK1" t="s">
        <v>15043</v>
      </c>
      <c r="OXL1" t="s">
        <v>15044</v>
      </c>
      <c r="OXM1" t="s">
        <v>15045</v>
      </c>
      <c r="OXN1" t="s">
        <v>15046</v>
      </c>
      <c r="OXO1" t="s">
        <v>15047</v>
      </c>
      <c r="OXP1" t="s">
        <v>15048</v>
      </c>
      <c r="OXQ1" t="s">
        <v>15049</v>
      </c>
      <c r="OXR1" t="s">
        <v>15050</v>
      </c>
      <c r="OXS1" t="s">
        <v>15051</v>
      </c>
      <c r="OXT1" t="s">
        <v>15052</v>
      </c>
      <c r="OXU1" t="s">
        <v>15053</v>
      </c>
      <c r="OXV1" t="s">
        <v>15054</v>
      </c>
      <c r="OXW1" t="s">
        <v>15055</v>
      </c>
      <c r="OXX1" t="s">
        <v>15056</v>
      </c>
      <c r="OXY1" t="s">
        <v>15057</v>
      </c>
      <c r="OXZ1" t="s">
        <v>15058</v>
      </c>
      <c r="OYA1" t="s">
        <v>15059</v>
      </c>
      <c r="OYB1" t="s">
        <v>15060</v>
      </c>
      <c r="OYC1" t="s">
        <v>15061</v>
      </c>
      <c r="OYD1" t="s">
        <v>15062</v>
      </c>
      <c r="OYE1" t="s">
        <v>15063</v>
      </c>
      <c r="OYF1" t="s">
        <v>15064</v>
      </c>
      <c r="OYG1" t="s">
        <v>15065</v>
      </c>
      <c r="OYH1" t="s">
        <v>15066</v>
      </c>
      <c r="OYI1" t="s">
        <v>15067</v>
      </c>
      <c r="OYJ1" t="s">
        <v>15068</v>
      </c>
      <c r="OYK1" t="s">
        <v>15069</v>
      </c>
      <c r="OYL1" t="s">
        <v>15070</v>
      </c>
      <c r="OYM1" t="s">
        <v>15071</v>
      </c>
      <c r="OYN1" t="s">
        <v>15072</v>
      </c>
      <c r="OYO1" t="s">
        <v>15073</v>
      </c>
      <c r="OYP1" t="s">
        <v>15074</v>
      </c>
      <c r="OYQ1" t="s">
        <v>15075</v>
      </c>
      <c r="OYR1" t="s">
        <v>15076</v>
      </c>
      <c r="OYS1" t="s">
        <v>15077</v>
      </c>
      <c r="OYT1" t="s">
        <v>15078</v>
      </c>
      <c r="OYU1" t="s">
        <v>15079</v>
      </c>
      <c r="OYV1" t="s">
        <v>15080</v>
      </c>
      <c r="OYW1" t="s">
        <v>15081</v>
      </c>
      <c r="OYX1" t="s">
        <v>15082</v>
      </c>
      <c r="OYY1" t="s">
        <v>15083</v>
      </c>
      <c r="OYZ1" t="s">
        <v>15084</v>
      </c>
      <c r="OZA1" t="s">
        <v>15085</v>
      </c>
      <c r="OZB1" t="s">
        <v>15086</v>
      </c>
      <c r="OZC1" t="s">
        <v>15087</v>
      </c>
      <c r="OZD1" t="s">
        <v>15088</v>
      </c>
      <c r="OZE1" t="s">
        <v>15089</v>
      </c>
      <c r="OZF1" t="s">
        <v>15090</v>
      </c>
      <c r="OZG1" t="s">
        <v>15091</v>
      </c>
      <c r="OZH1" t="s">
        <v>15092</v>
      </c>
      <c r="OZI1" t="s">
        <v>15093</v>
      </c>
      <c r="OZJ1" t="s">
        <v>15094</v>
      </c>
      <c r="OZK1" t="s">
        <v>15095</v>
      </c>
      <c r="OZL1" t="s">
        <v>15096</v>
      </c>
      <c r="OZM1" t="s">
        <v>15097</v>
      </c>
      <c r="OZN1" t="s">
        <v>15098</v>
      </c>
      <c r="OZO1" t="s">
        <v>15099</v>
      </c>
      <c r="OZP1" t="s">
        <v>15100</v>
      </c>
      <c r="OZQ1" t="s">
        <v>15101</v>
      </c>
      <c r="OZR1" t="s">
        <v>15102</v>
      </c>
      <c r="OZS1" t="s">
        <v>15103</v>
      </c>
      <c r="OZT1" t="s">
        <v>15104</v>
      </c>
      <c r="OZU1" t="s">
        <v>15105</v>
      </c>
      <c r="OZV1" t="s">
        <v>15106</v>
      </c>
      <c r="OZW1" t="s">
        <v>15107</v>
      </c>
      <c r="OZX1" t="s">
        <v>15108</v>
      </c>
      <c r="OZY1" t="s">
        <v>15109</v>
      </c>
      <c r="OZZ1" t="s">
        <v>15110</v>
      </c>
      <c r="PAA1" t="s">
        <v>15111</v>
      </c>
      <c r="PAB1" t="s">
        <v>15112</v>
      </c>
      <c r="PAC1" t="s">
        <v>15113</v>
      </c>
      <c r="PAD1" t="s">
        <v>15114</v>
      </c>
      <c r="PAE1" t="s">
        <v>15115</v>
      </c>
      <c r="PAF1" t="s">
        <v>15116</v>
      </c>
      <c r="PAG1" t="s">
        <v>15117</v>
      </c>
      <c r="PAH1" t="s">
        <v>15118</v>
      </c>
      <c r="PAI1" t="s">
        <v>15119</v>
      </c>
      <c r="PAJ1" t="s">
        <v>15120</v>
      </c>
      <c r="PAK1" t="s">
        <v>15121</v>
      </c>
      <c r="PAL1" t="s">
        <v>15122</v>
      </c>
      <c r="PAM1" t="s">
        <v>15123</v>
      </c>
      <c r="PAN1" t="s">
        <v>15124</v>
      </c>
      <c r="PAO1" t="s">
        <v>15125</v>
      </c>
      <c r="PAP1" t="s">
        <v>15126</v>
      </c>
      <c r="PAQ1" t="s">
        <v>15127</v>
      </c>
      <c r="PAR1" t="s">
        <v>15128</v>
      </c>
      <c r="PAS1" t="s">
        <v>15129</v>
      </c>
      <c r="PAT1" t="s">
        <v>15130</v>
      </c>
      <c r="PAU1" t="s">
        <v>15131</v>
      </c>
      <c r="PAV1" t="s">
        <v>15132</v>
      </c>
      <c r="PAW1" t="s">
        <v>15133</v>
      </c>
      <c r="PAX1" t="s">
        <v>15134</v>
      </c>
      <c r="PAY1" t="s">
        <v>15135</v>
      </c>
      <c r="PAZ1" t="s">
        <v>15136</v>
      </c>
      <c r="PBA1" t="s">
        <v>15137</v>
      </c>
      <c r="PBB1" t="s">
        <v>15138</v>
      </c>
      <c r="PBC1" t="s">
        <v>15139</v>
      </c>
      <c r="PBD1" t="s">
        <v>15140</v>
      </c>
      <c r="PBE1" t="s">
        <v>15141</v>
      </c>
      <c r="PBF1" t="s">
        <v>15142</v>
      </c>
      <c r="PBG1" t="s">
        <v>15143</v>
      </c>
      <c r="PBH1" t="s">
        <v>15144</v>
      </c>
      <c r="PBI1" t="s">
        <v>15145</v>
      </c>
      <c r="PBJ1" t="s">
        <v>15146</v>
      </c>
      <c r="PBK1" t="s">
        <v>15147</v>
      </c>
      <c r="PBL1" t="s">
        <v>15148</v>
      </c>
      <c r="PBM1" t="s">
        <v>15149</v>
      </c>
      <c r="PBN1" t="s">
        <v>15150</v>
      </c>
      <c r="PBO1" t="s">
        <v>15151</v>
      </c>
      <c r="PBP1" t="s">
        <v>15152</v>
      </c>
      <c r="PBQ1" t="s">
        <v>15153</v>
      </c>
      <c r="PBR1" t="s">
        <v>15154</v>
      </c>
      <c r="PBS1" t="s">
        <v>15155</v>
      </c>
      <c r="PBT1" t="s">
        <v>15156</v>
      </c>
      <c r="PBU1" t="s">
        <v>15157</v>
      </c>
      <c r="PBV1" t="s">
        <v>15158</v>
      </c>
      <c r="PBW1" t="s">
        <v>15159</v>
      </c>
      <c r="PBX1" t="s">
        <v>15160</v>
      </c>
      <c r="PBY1" t="s">
        <v>15161</v>
      </c>
      <c r="PBZ1" t="s">
        <v>15162</v>
      </c>
      <c r="PCA1" t="s">
        <v>15163</v>
      </c>
      <c r="PCB1" t="s">
        <v>15164</v>
      </c>
      <c r="PCC1" t="s">
        <v>15165</v>
      </c>
      <c r="PCD1" t="s">
        <v>15166</v>
      </c>
      <c r="PCE1" t="s">
        <v>15167</v>
      </c>
      <c r="PCF1" t="s">
        <v>15168</v>
      </c>
      <c r="PCG1" t="s">
        <v>15169</v>
      </c>
      <c r="PCH1" t="s">
        <v>15170</v>
      </c>
      <c r="PCI1" t="s">
        <v>15171</v>
      </c>
      <c r="PCJ1" t="s">
        <v>15172</v>
      </c>
      <c r="PCK1" t="s">
        <v>15173</v>
      </c>
      <c r="PCL1" t="s">
        <v>15174</v>
      </c>
      <c r="PCM1" t="s">
        <v>15175</v>
      </c>
      <c r="PCN1" t="s">
        <v>15176</v>
      </c>
      <c r="PCO1" t="s">
        <v>15177</v>
      </c>
      <c r="PCP1" t="s">
        <v>15178</v>
      </c>
      <c r="PCQ1" t="s">
        <v>15179</v>
      </c>
      <c r="PCR1" t="s">
        <v>15180</v>
      </c>
      <c r="PCS1" t="s">
        <v>15181</v>
      </c>
      <c r="PCT1" t="s">
        <v>15182</v>
      </c>
      <c r="PCU1" t="s">
        <v>15183</v>
      </c>
      <c r="PCV1" t="s">
        <v>15184</v>
      </c>
      <c r="PCW1" t="s">
        <v>15185</v>
      </c>
      <c r="PCX1" t="s">
        <v>15186</v>
      </c>
      <c r="PCY1" t="s">
        <v>15187</v>
      </c>
      <c r="PCZ1" t="s">
        <v>15188</v>
      </c>
      <c r="PDA1" t="s">
        <v>15189</v>
      </c>
      <c r="PDB1" t="s">
        <v>15190</v>
      </c>
      <c r="PDC1" t="s">
        <v>15191</v>
      </c>
      <c r="PDD1" t="s">
        <v>15192</v>
      </c>
      <c r="PDE1" t="s">
        <v>15193</v>
      </c>
      <c r="PDF1" t="s">
        <v>15194</v>
      </c>
      <c r="PDG1" t="s">
        <v>15195</v>
      </c>
      <c r="PDH1" t="s">
        <v>15196</v>
      </c>
      <c r="PDI1" t="s">
        <v>15197</v>
      </c>
      <c r="PDJ1" t="s">
        <v>15198</v>
      </c>
      <c r="PDK1" t="s">
        <v>15199</v>
      </c>
      <c r="PDL1" t="s">
        <v>15200</v>
      </c>
      <c r="PDM1" t="s">
        <v>15201</v>
      </c>
      <c r="PDN1" t="s">
        <v>15202</v>
      </c>
      <c r="PDO1" t="s">
        <v>15203</v>
      </c>
      <c r="PDP1" t="s">
        <v>15204</v>
      </c>
      <c r="PDQ1" t="s">
        <v>15205</v>
      </c>
      <c r="PDR1" t="s">
        <v>15206</v>
      </c>
      <c r="PDS1" t="s">
        <v>15207</v>
      </c>
      <c r="PDT1" t="s">
        <v>15208</v>
      </c>
      <c r="PDU1" t="s">
        <v>15209</v>
      </c>
      <c r="PDV1" t="s">
        <v>15210</v>
      </c>
      <c r="PDW1" t="s">
        <v>15211</v>
      </c>
      <c r="PDX1" t="s">
        <v>15212</v>
      </c>
      <c r="PDY1" t="s">
        <v>15213</v>
      </c>
      <c r="PDZ1" t="s">
        <v>15214</v>
      </c>
      <c r="PEA1" t="s">
        <v>15215</v>
      </c>
      <c r="PEB1" t="s">
        <v>15216</v>
      </c>
      <c r="PEC1" t="s">
        <v>15217</v>
      </c>
      <c r="PED1" t="s">
        <v>15218</v>
      </c>
      <c r="PEE1" t="s">
        <v>15219</v>
      </c>
      <c r="PEF1" t="s">
        <v>15220</v>
      </c>
      <c r="PEG1" t="s">
        <v>15221</v>
      </c>
      <c r="PEH1" t="s">
        <v>15222</v>
      </c>
      <c r="PEI1" t="s">
        <v>15223</v>
      </c>
      <c r="PEJ1" t="s">
        <v>15224</v>
      </c>
      <c r="PEK1" t="s">
        <v>15225</v>
      </c>
      <c r="PEL1" t="s">
        <v>15226</v>
      </c>
      <c r="PEM1" t="s">
        <v>15227</v>
      </c>
      <c r="PEN1" t="s">
        <v>15228</v>
      </c>
      <c r="PEO1" t="s">
        <v>15229</v>
      </c>
      <c r="PEP1" t="s">
        <v>15230</v>
      </c>
      <c r="PEQ1" t="s">
        <v>15231</v>
      </c>
      <c r="PER1" t="s">
        <v>15232</v>
      </c>
      <c r="PES1" t="s">
        <v>15233</v>
      </c>
      <c r="PET1" t="s">
        <v>15234</v>
      </c>
      <c r="PEU1" t="s">
        <v>15235</v>
      </c>
      <c r="PEV1" t="s">
        <v>15236</v>
      </c>
      <c r="PEW1" t="s">
        <v>15237</v>
      </c>
      <c r="PEX1" t="s">
        <v>15238</v>
      </c>
      <c r="PEY1" t="s">
        <v>15239</v>
      </c>
      <c r="PEZ1" t="s">
        <v>15240</v>
      </c>
      <c r="PFA1" t="s">
        <v>15241</v>
      </c>
      <c r="PFB1" t="s">
        <v>15242</v>
      </c>
      <c r="PFC1" t="s">
        <v>15243</v>
      </c>
      <c r="PFD1" t="s">
        <v>15244</v>
      </c>
      <c r="PFE1" t="s">
        <v>15245</v>
      </c>
      <c r="PFF1" t="s">
        <v>15246</v>
      </c>
      <c r="PFG1" t="s">
        <v>15247</v>
      </c>
      <c r="PFH1" t="s">
        <v>15248</v>
      </c>
      <c r="PFI1" t="s">
        <v>15249</v>
      </c>
      <c r="PFJ1" t="s">
        <v>15250</v>
      </c>
      <c r="PFK1" t="s">
        <v>15251</v>
      </c>
      <c r="PFL1" t="s">
        <v>15252</v>
      </c>
      <c r="PFM1" t="s">
        <v>15253</v>
      </c>
      <c r="PFN1" t="s">
        <v>15254</v>
      </c>
      <c r="PFO1" t="s">
        <v>15255</v>
      </c>
      <c r="PFP1" t="s">
        <v>15256</v>
      </c>
      <c r="PFQ1" t="s">
        <v>15257</v>
      </c>
      <c r="PFR1" t="s">
        <v>15258</v>
      </c>
      <c r="PFS1" t="s">
        <v>15259</v>
      </c>
      <c r="PFT1" t="s">
        <v>15260</v>
      </c>
      <c r="PFU1" t="s">
        <v>15261</v>
      </c>
      <c r="PFV1" t="s">
        <v>15262</v>
      </c>
      <c r="PFW1" t="s">
        <v>15263</v>
      </c>
      <c r="PFX1" t="s">
        <v>15264</v>
      </c>
      <c r="PFY1" t="s">
        <v>15265</v>
      </c>
      <c r="PFZ1" t="s">
        <v>15266</v>
      </c>
      <c r="PGA1" t="s">
        <v>15267</v>
      </c>
      <c r="PGB1" t="s">
        <v>15268</v>
      </c>
      <c r="PGC1" t="s">
        <v>15269</v>
      </c>
      <c r="PGD1" t="s">
        <v>15270</v>
      </c>
      <c r="PGE1" t="s">
        <v>15271</v>
      </c>
      <c r="PGF1" t="s">
        <v>15272</v>
      </c>
      <c r="PGG1" t="s">
        <v>15273</v>
      </c>
      <c r="PGH1" t="s">
        <v>15274</v>
      </c>
      <c r="PGI1" t="s">
        <v>15275</v>
      </c>
      <c r="PGJ1" t="s">
        <v>15276</v>
      </c>
      <c r="PGK1" t="s">
        <v>15277</v>
      </c>
      <c r="PGL1" t="s">
        <v>15278</v>
      </c>
      <c r="PGM1" t="s">
        <v>15279</v>
      </c>
      <c r="PGN1" t="s">
        <v>15280</v>
      </c>
      <c r="PGO1" t="s">
        <v>15281</v>
      </c>
      <c r="PGP1" t="s">
        <v>15282</v>
      </c>
      <c r="PGQ1" t="s">
        <v>15283</v>
      </c>
      <c r="PGR1" t="s">
        <v>15284</v>
      </c>
      <c r="PGS1" t="s">
        <v>15285</v>
      </c>
      <c r="PGT1" t="s">
        <v>15286</v>
      </c>
      <c r="PGU1" t="s">
        <v>15287</v>
      </c>
      <c r="PGV1" t="s">
        <v>15288</v>
      </c>
      <c r="PGW1" t="s">
        <v>15289</v>
      </c>
      <c r="PGX1" t="s">
        <v>15290</v>
      </c>
      <c r="PGY1" t="s">
        <v>15291</v>
      </c>
      <c r="PGZ1" t="s">
        <v>15292</v>
      </c>
      <c r="PHA1" t="s">
        <v>15293</v>
      </c>
      <c r="PHB1" t="s">
        <v>15294</v>
      </c>
      <c r="PHC1" t="s">
        <v>15295</v>
      </c>
      <c r="PHD1" t="s">
        <v>15296</v>
      </c>
      <c r="PHE1" t="s">
        <v>15297</v>
      </c>
      <c r="PHF1" t="s">
        <v>15298</v>
      </c>
      <c r="PHG1" t="s">
        <v>15299</v>
      </c>
      <c r="PHH1" t="s">
        <v>15300</v>
      </c>
      <c r="PHI1" t="s">
        <v>15301</v>
      </c>
      <c r="PHJ1" t="s">
        <v>15302</v>
      </c>
      <c r="PHK1" t="s">
        <v>15303</v>
      </c>
      <c r="PHL1" t="s">
        <v>15304</v>
      </c>
      <c r="PHM1" t="s">
        <v>15305</v>
      </c>
      <c r="PHN1" t="s">
        <v>15306</v>
      </c>
      <c r="PHO1" t="s">
        <v>15307</v>
      </c>
      <c r="PHP1" t="s">
        <v>15308</v>
      </c>
      <c r="PHQ1" t="s">
        <v>15309</v>
      </c>
      <c r="PHR1" t="s">
        <v>15310</v>
      </c>
      <c r="PHS1" t="s">
        <v>15311</v>
      </c>
      <c r="PHT1" t="s">
        <v>15312</v>
      </c>
      <c r="PHU1" t="s">
        <v>15313</v>
      </c>
      <c r="PHV1" t="s">
        <v>15314</v>
      </c>
      <c r="PHW1" t="s">
        <v>15315</v>
      </c>
      <c r="PHX1" t="s">
        <v>15316</v>
      </c>
      <c r="PHY1" t="s">
        <v>15317</v>
      </c>
      <c r="PHZ1" t="s">
        <v>15318</v>
      </c>
      <c r="PIA1" t="s">
        <v>15319</v>
      </c>
      <c r="PIB1" t="s">
        <v>15320</v>
      </c>
      <c r="PIC1" t="s">
        <v>15321</v>
      </c>
      <c r="PID1" t="s">
        <v>15322</v>
      </c>
      <c r="PIE1" t="s">
        <v>15323</v>
      </c>
      <c r="PIF1" t="s">
        <v>15324</v>
      </c>
      <c r="PIG1" t="s">
        <v>15325</v>
      </c>
      <c r="PIH1" t="s">
        <v>15326</v>
      </c>
      <c r="PII1" t="s">
        <v>15327</v>
      </c>
      <c r="PIJ1" t="s">
        <v>15328</v>
      </c>
      <c r="PIK1" t="s">
        <v>15329</v>
      </c>
      <c r="PIL1" t="s">
        <v>15330</v>
      </c>
      <c r="PIM1" t="s">
        <v>15331</v>
      </c>
      <c r="PIN1" t="s">
        <v>15332</v>
      </c>
      <c r="PIO1" t="s">
        <v>15333</v>
      </c>
      <c r="PIP1" t="s">
        <v>15334</v>
      </c>
      <c r="PIQ1" t="s">
        <v>15335</v>
      </c>
      <c r="PIR1" t="s">
        <v>15336</v>
      </c>
      <c r="PIS1" t="s">
        <v>15337</v>
      </c>
      <c r="PIT1" t="s">
        <v>15338</v>
      </c>
      <c r="PIU1" t="s">
        <v>15339</v>
      </c>
      <c r="PIV1" t="s">
        <v>15340</v>
      </c>
      <c r="PIW1" t="s">
        <v>15341</v>
      </c>
      <c r="PIX1" t="s">
        <v>15342</v>
      </c>
      <c r="PIY1" t="s">
        <v>15343</v>
      </c>
      <c r="PIZ1" t="s">
        <v>15344</v>
      </c>
      <c r="PJA1" t="s">
        <v>15345</v>
      </c>
      <c r="PJB1" t="s">
        <v>15346</v>
      </c>
      <c r="PJC1" t="s">
        <v>15347</v>
      </c>
      <c r="PJD1" t="s">
        <v>15348</v>
      </c>
      <c r="PJE1" t="s">
        <v>15349</v>
      </c>
      <c r="PJF1" t="s">
        <v>15350</v>
      </c>
      <c r="PJG1" t="s">
        <v>15351</v>
      </c>
      <c r="PJH1" t="s">
        <v>15352</v>
      </c>
      <c r="PJI1" t="s">
        <v>15353</v>
      </c>
      <c r="PJJ1" t="s">
        <v>15354</v>
      </c>
      <c r="PJK1" t="s">
        <v>15355</v>
      </c>
      <c r="PJL1" t="s">
        <v>15356</v>
      </c>
      <c r="PJM1" t="s">
        <v>15357</v>
      </c>
      <c r="PJN1" t="s">
        <v>15358</v>
      </c>
      <c r="PJO1" t="s">
        <v>15359</v>
      </c>
      <c r="PJP1" t="s">
        <v>15360</v>
      </c>
      <c r="PJQ1" t="s">
        <v>15361</v>
      </c>
      <c r="PJR1" t="s">
        <v>15362</v>
      </c>
      <c r="PJS1" t="s">
        <v>15363</v>
      </c>
      <c r="PJT1" t="s">
        <v>15364</v>
      </c>
      <c r="PJU1" t="s">
        <v>15365</v>
      </c>
      <c r="PJV1" t="s">
        <v>15366</v>
      </c>
      <c r="PJW1" t="s">
        <v>15367</v>
      </c>
      <c r="PJX1" t="s">
        <v>15368</v>
      </c>
      <c r="PJY1" t="s">
        <v>15369</v>
      </c>
      <c r="PJZ1" t="s">
        <v>15370</v>
      </c>
      <c r="PKA1" t="s">
        <v>15371</v>
      </c>
      <c r="PKB1" t="s">
        <v>15372</v>
      </c>
      <c r="PKC1" t="s">
        <v>15373</v>
      </c>
      <c r="PKD1" t="s">
        <v>15374</v>
      </c>
      <c r="PKE1" t="s">
        <v>15375</v>
      </c>
      <c r="PKF1" t="s">
        <v>15376</v>
      </c>
      <c r="PKG1" t="s">
        <v>15377</v>
      </c>
      <c r="PKH1" t="s">
        <v>15378</v>
      </c>
      <c r="PKI1" t="s">
        <v>15379</v>
      </c>
      <c r="PKJ1" t="s">
        <v>15380</v>
      </c>
      <c r="PKK1" t="s">
        <v>15381</v>
      </c>
      <c r="PKL1" t="s">
        <v>15382</v>
      </c>
      <c r="PKM1" t="s">
        <v>15383</v>
      </c>
      <c r="PKN1" t="s">
        <v>15384</v>
      </c>
      <c r="PKO1" t="s">
        <v>15385</v>
      </c>
      <c r="PKP1" t="s">
        <v>15386</v>
      </c>
      <c r="PKQ1" t="s">
        <v>15387</v>
      </c>
      <c r="PKR1" t="s">
        <v>15388</v>
      </c>
      <c r="PKS1" t="s">
        <v>15389</v>
      </c>
      <c r="PKT1" t="s">
        <v>15390</v>
      </c>
      <c r="PKU1" t="s">
        <v>15391</v>
      </c>
      <c r="PKV1" t="s">
        <v>15392</v>
      </c>
      <c r="PKW1" t="s">
        <v>15393</v>
      </c>
      <c r="PKX1" t="s">
        <v>15394</v>
      </c>
      <c r="PKY1" t="s">
        <v>15395</v>
      </c>
      <c r="PKZ1" t="s">
        <v>15396</v>
      </c>
      <c r="PLA1" t="s">
        <v>15397</v>
      </c>
      <c r="PLB1" t="s">
        <v>15398</v>
      </c>
      <c r="PLC1" t="s">
        <v>15399</v>
      </c>
      <c r="PLD1" t="s">
        <v>15400</v>
      </c>
      <c r="PLE1" t="s">
        <v>15401</v>
      </c>
      <c r="PLF1" t="s">
        <v>15402</v>
      </c>
      <c r="PLG1" t="s">
        <v>15403</v>
      </c>
      <c r="PLH1" t="s">
        <v>15404</v>
      </c>
      <c r="PLI1" t="s">
        <v>15405</v>
      </c>
      <c r="PLJ1" t="s">
        <v>15406</v>
      </c>
      <c r="PLK1" t="s">
        <v>15407</v>
      </c>
      <c r="PLL1" t="s">
        <v>15408</v>
      </c>
      <c r="PLM1" t="s">
        <v>15409</v>
      </c>
      <c r="PLN1" t="s">
        <v>15410</v>
      </c>
      <c r="PLO1" t="s">
        <v>15411</v>
      </c>
      <c r="PLP1" t="s">
        <v>15412</v>
      </c>
      <c r="PLQ1" t="s">
        <v>15413</v>
      </c>
      <c r="PLR1" t="s">
        <v>15414</v>
      </c>
      <c r="PLS1" t="s">
        <v>15415</v>
      </c>
      <c r="PLT1" t="s">
        <v>15416</v>
      </c>
      <c r="PLU1" t="s">
        <v>15417</v>
      </c>
      <c r="PLV1" t="s">
        <v>15418</v>
      </c>
      <c r="PLW1" t="s">
        <v>15419</v>
      </c>
      <c r="PLX1" t="s">
        <v>15420</v>
      </c>
      <c r="PLY1" t="s">
        <v>15421</v>
      </c>
      <c r="PLZ1" t="s">
        <v>15422</v>
      </c>
      <c r="PMA1" t="s">
        <v>15423</v>
      </c>
      <c r="PMB1" t="s">
        <v>15424</v>
      </c>
      <c r="PMC1" t="s">
        <v>15425</v>
      </c>
      <c r="PMD1" t="s">
        <v>15426</v>
      </c>
      <c r="PME1" t="s">
        <v>15427</v>
      </c>
      <c r="PMF1" t="s">
        <v>15428</v>
      </c>
      <c r="PMG1" t="s">
        <v>15429</v>
      </c>
      <c r="PMH1" t="s">
        <v>15430</v>
      </c>
      <c r="PMI1" t="s">
        <v>15431</v>
      </c>
      <c r="PMJ1" t="s">
        <v>15432</v>
      </c>
      <c r="PMK1" t="s">
        <v>15433</v>
      </c>
      <c r="PML1" t="s">
        <v>15434</v>
      </c>
      <c r="PMM1" t="s">
        <v>15435</v>
      </c>
      <c r="PMN1" t="s">
        <v>15436</v>
      </c>
      <c r="PMO1" t="s">
        <v>15437</v>
      </c>
      <c r="PMP1" t="s">
        <v>15438</v>
      </c>
      <c r="PMQ1" t="s">
        <v>15439</v>
      </c>
      <c r="PMR1" t="s">
        <v>15440</v>
      </c>
      <c r="PMS1" t="s">
        <v>15441</v>
      </c>
      <c r="PMT1" t="s">
        <v>15442</v>
      </c>
      <c r="PMU1" t="s">
        <v>15443</v>
      </c>
      <c r="PMV1" t="s">
        <v>15444</v>
      </c>
      <c r="PMW1" t="s">
        <v>15445</v>
      </c>
      <c r="PMX1" t="s">
        <v>15446</v>
      </c>
      <c r="PMY1" t="s">
        <v>15447</v>
      </c>
      <c r="PMZ1" t="s">
        <v>15448</v>
      </c>
      <c r="PNA1" t="s">
        <v>15449</v>
      </c>
      <c r="PNB1" t="s">
        <v>15450</v>
      </c>
      <c r="PNC1" t="s">
        <v>15451</v>
      </c>
      <c r="PND1" t="s">
        <v>15452</v>
      </c>
      <c r="PNE1" t="s">
        <v>15453</v>
      </c>
      <c r="PNF1" t="s">
        <v>15454</v>
      </c>
      <c r="PNG1" t="s">
        <v>15455</v>
      </c>
      <c r="PNH1" t="s">
        <v>15456</v>
      </c>
      <c r="PNI1" t="s">
        <v>15457</v>
      </c>
      <c r="PNJ1" t="s">
        <v>15458</v>
      </c>
      <c r="PNK1" t="s">
        <v>15459</v>
      </c>
      <c r="PNL1" t="s">
        <v>15460</v>
      </c>
      <c r="PNM1" t="s">
        <v>15461</v>
      </c>
      <c r="PNN1" t="s">
        <v>15462</v>
      </c>
      <c r="PNO1" t="s">
        <v>15463</v>
      </c>
      <c r="PNP1" t="s">
        <v>15464</v>
      </c>
      <c r="PNQ1" t="s">
        <v>15465</v>
      </c>
      <c r="PNR1" t="s">
        <v>15466</v>
      </c>
      <c r="PNS1" t="s">
        <v>15467</v>
      </c>
      <c r="PNT1" t="s">
        <v>15468</v>
      </c>
      <c r="PNU1" t="s">
        <v>15469</v>
      </c>
      <c r="PNV1" t="s">
        <v>15470</v>
      </c>
      <c r="PNW1" t="s">
        <v>15471</v>
      </c>
      <c r="PNX1" t="s">
        <v>15472</v>
      </c>
      <c r="PNY1" t="s">
        <v>15473</v>
      </c>
      <c r="PNZ1" t="s">
        <v>15474</v>
      </c>
      <c r="POA1" t="s">
        <v>15475</v>
      </c>
      <c r="POB1" t="s">
        <v>15476</v>
      </c>
      <c r="POC1" t="s">
        <v>15477</v>
      </c>
      <c r="POD1" t="s">
        <v>15478</v>
      </c>
      <c r="POE1" t="s">
        <v>15479</v>
      </c>
      <c r="POF1" t="s">
        <v>15480</v>
      </c>
      <c r="POG1" t="s">
        <v>15481</v>
      </c>
      <c r="POH1" t="s">
        <v>15482</v>
      </c>
      <c r="POI1" t="s">
        <v>15483</v>
      </c>
      <c r="POJ1" t="s">
        <v>15484</v>
      </c>
      <c r="POK1" t="s">
        <v>15485</v>
      </c>
      <c r="POL1" t="s">
        <v>15486</v>
      </c>
      <c r="POM1" t="s">
        <v>15487</v>
      </c>
      <c r="PON1" t="s">
        <v>15488</v>
      </c>
      <c r="POO1" t="s">
        <v>15489</v>
      </c>
      <c r="POP1" t="s">
        <v>15490</v>
      </c>
      <c r="POQ1" t="s">
        <v>15491</v>
      </c>
      <c r="POR1" t="s">
        <v>15492</v>
      </c>
      <c r="POS1" t="s">
        <v>15493</v>
      </c>
      <c r="POT1" t="s">
        <v>15494</v>
      </c>
      <c r="POU1" t="s">
        <v>15495</v>
      </c>
      <c r="POV1" t="s">
        <v>15496</v>
      </c>
      <c r="POW1" t="s">
        <v>15497</v>
      </c>
      <c r="POX1" t="s">
        <v>15498</v>
      </c>
      <c r="POY1" t="s">
        <v>15499</v>
      </c>
      <c r="POZ1" t="s">
        <v>15500</v>
      </c>
      <c r="PPA1" t="s">
        <v>15501</v>
      </c>
      <c r="PPB1" t="s">
        <v>15502</v>
      </c>
      <c r="PPC1" t="s">
        <v>15503</v>
      </c>
      <c r="PPD1" t="s">
        <v>15504</v>
      </c>
      <c r="PPE1" t="s">
        <v>15505</v>
      </c>
      <c r="PPF1" t="s">
        <v>15506</v>
      </c>
      <c r="PPG1" t="s">
        <v>15507</v>
      </c>
      <c r="PPH1" t="s">
        <v>15508</v>
      </c>
      <c r="PPI1" t="s">
        <v>15509</v>
      </c>
      <c r="PPJ1" t="s">
        <v>15510</v>
      </c>
      <c r="PPK1" t="s">
        <v>15511</v>
      </c>
      <c r="PPL1" t="s">
        <v>15512</v>
      </c>
      <c r="PPM1" t="s">
        <v>15513</v>
      </c>
      <c r="PPN1" t="s">
        <v>15514</v>
      </c>
      <c r="PPO1" t="s">
        <v>15515</v>
      </c>
      <c r="PPP1" t="s">
        <v>15516</v>
      </c>
      <c r="PPQ1" t="s">
        <v>15517</v>
      </c>
      <c r="PPR1" t="s">
        <v>15518</v>
      </c>
      <c r="PPS1" t="s">
        <v>15519</v>
      </c>
      <c r="PPT1" t="s">
        <v>15520</v>
      </c>
      <c r="PPU1" t="s">
        <v>15521</v>
      </c>
      <c r="PPV1" t="s">
        <v>15522</v>
      </c>
      <c r="PPW1" t="s">
        <v>15523</v>
      </c>
      <c r="PPX1" t="s">
        <v>15524</v>
      </c>
      <c r="PPY1" t="s">
        <v>15525</v>
      </c>
      <c r="PPZ1" t="s">
        <v>15526</v>
      </c>
      <c r="PQA1" t="s">
        <v>15527</v>
      </c>
      <c r="PQB1" t="s">
        <v>15528</v>
      </c>
      <c r="PQC1" t="s">
        <v>15529</v>
      </c>
      <c r="PQD1" t="s">
        <v>15530</v>
      </c>
      <c r="PQE1" t="s">
        <v>15531</v>
      </c>
      <c r="PQF1" t="s">
        <v>15532</v>
      </c>
      <c r="PQG1" t="s">
        <v>15533</v>
      </c>
      <c r="PQH1" t="s">
        <v>15534</v>
      </c>
      <c r="PQI1" t="s">
        <v>15535</v>
      </c>
      <c r="PQJ1" t="s">
        <v>15536</v>
      </c>
      <c r="PQK1" t="s">
        <v>15537</v>
      </c>
      <c r="PQL1" t="s">
        <v>15538</v>
      </c>
      <c r="PQM1" t="s">
        <v>15539</v>
      </c>
      <c r="PQN1" t="s">
        <v>15540</v>
      </c>
      <c r="PQO1" t="s">
        <v>15541</v>
      </c>
      <c r="PQP1" t="s">
        <v>15542</v>
      </c>
      <c r="PQQ1" t="s">
        <v>15543</v>
      </c>
      <c r="PQR1" t="s">
        <v>15544</v>
      </c>
      <c r="PQS1" t="s">
        <v>15545</v>
      </c>
      <c r="PQT1" t="s">
        <v>15546</v>
      </c>
      <c r="PQU1" t="s">
        <v>15547</v>
      </c>
      <c r="PQV1" t="s">
        <v>15548</v>
      </c>
      <c r="PQW1" t="s">
        <v>15549</v>
      </c>
      <c r="PQX1" t="s">
        <v>15550</v>
      </c>
      <c r="PQY1" t="s">
        <v>15551</v>
      </c>
      <c r="PQZ1" t="s">
        <v>15552</v>
      </c>
      <c r="PRA1" t="s">
        <v>15553</v>
      </c>
      <c r="PRB1" t="s">
        <v>15554</v>
      </c>
      <c r="PRC1" t="s">
        <v>15555</v>
      </c>
      <c r="PRD1" t="s">
        <v>15556</v>
      </c>
      <c r="PRE1" t="s">
        <v>15557</v>
      </c>
      <c r="PRF1" t="s">
        <v>15558</v>
      </c>
      <c r="PRG1" t="s">
        <v>15559</v>
      </c>
      <c r="PRH1" t="s">
        <v>15560</v>
      </c>
      <c r="PRI1" t="s">
        <v>15561</v>
      </c>
      <c r="PRJ1" t="s">
        <v>15562</v>
      </c>
      <c r="PRK1" t="s">
        <v>15563</v>
      </c>
      <c r="PRL1" t="s">
        <v>15564</v>
      </c>
      <c r="PRM1" t="s">
        <v>15565</v>
      </c>
      <c r="PRN1" t="s">
        <v>15566</v>
      </c>
      <c r="PRO1" t="s">
        <v>15567</v>
      </c>
      <c r="PRP1" t="s">
        <v>15568</v>
      </c>
      <c r="PRQ1" t="s">
        <v>15569</v>
      </c>
      <c r="PRR1" t="s">
        <v>15570</v>
      </c>
      <c r="PRS1" t="s">
        <v>15571</v>
      </c>
      <c r="PRT1" t="s">
        <v>15572</v>
      </c>
      <c r="PRU1" t="s">
        <v>15573</v>
      </c>
      <c r="PRV1" t="s">
        <v>15574</v>
      </c>
      <c r="PRW1" t="s">
        <v>15575</v>
      </c>
      <c r="PRX1" t="s">
        <v>15576</v>
      </c>
      <c r="PRY1" t="s">
        <v>15577</v>
      </c>
      <c r="PRZ1" t="s">
        <v>15578</v>
      </c>
      <c r="PSA1" t="s">
        <v>15579</v>
      </c>
      <c r="PSB1" t="s">
        <v>15580</v>
      </c>
      <c r="PSC1" t="s">
        <v>15581</v>
      </c>
      <c r="PSD1" t="s">
        <v>15582</v>
      </c>
      <c r="PSE1" t="s">
        <v>15583</v>
      </c>
      <c r="PSF1" t="s">
        <v>15584</v>
      </c>
      <c r="PSG1" t="s">
        <v>15585</v>
      </c>
      <c r="PSH1" t="s">
        <v>15586</v>
      </c>
      <c r="PSI1" t="s">
        <v>15587</v>
      </c>
      <c r="PSJ1" t="s">
        <v>15588</v>
      </c>
      <c r="PSK1" t="s">
        <v>15589</v>
      </c>
      <c r="PSL1" t="s">
        <v>15590</v>
      </c>
      <c r="PSM1" t="s">
        <v>15591</v>
      </c>
      <c r="PSN1" t="s">
        <v>15592</v>
      </c>
      <c r="PSO1" t="s">
        <v>15593</v>
      </c>
      <c r="PSP1" t="s">
        <v>15594</v>
      </c>
      <c r="PSQ1" t="s">
        <v>15595</v>
      </c>
      <c r="PSR1" t="s">
        <v>15596</v>
      </c>
      <c r="PSS1" t="s">
        <v>15597</v>
      </c>
      <c r="PST1" t="s">
        <v>15598</v>
      </c>
      <c r="PSU1" t="s">
        <v>15599</v>
      </c>
      <c r="PSV1" t="s">
        <v>15600</v>
      </c>
      <c r="PSW1" t="s">
        <v>15601</v>
      </c>
      <c r="PSX1" t="s">
        <v>15602</v>
      </c>
      <c r="PSY1" t="s">
        <v>15603</v>
      </c>
      <c r="PSZ1" t="s">
        <v>15604</v>
      </c>
      <c r="PTA1" t="s">
        <v>15605</v>
      </c>
      <c r="PTB1" t="s">
        <v>15606</v>
      </c>
      <c r="PTC1" t="s">
        <v>15607</v>
      </c>
      <c r="PTD1" t="s">
        <v>15608</v>
      </c>
      <c r="PTE1" t="s">
        <v>15609</v>
      </c>
      <c r="PTF1" t="s">
        <v>15610</v>
      </c>
      <c r="PTG1" t="s">
        <v>15611</v>
      </c>
      <c r="PTH1" t="s">
        <v>15612</v>
      </c>
      <c r="PTI1" t="s">
        <v>15613</v>
      </c>
      <c r="PTJ1" t="s">
        <v>15614</v>
      </c>
      <c r="PTK1" t="s">
        <v>15615</v>
      </c>
      <c r="PTL1" t="s">
        <v>15616</v>
      </c>
      <c r="PTM1" t="s">
        <v>15617</v>
      </c>
      <c r="PTN1" t="s">
        <v>15618</v>
      </c>
      <c r="PTO1" t="s">
        <v>15619</v>
      </c>
      <c r="PTP1" t="s">
        <v>15620</v>
      </c>
      <c r="PTQ1" t="s">
        <v>15621</v>
      </c>
      <c r="PTR1" t="s">
        <v>15622</v>
      </c>
      <c r="PTS1" t="s">
        <v>15623</v>
      </c>
      <c r="PTT1" t="s">
        <v>15624</v>
      </c>
      <c r="PTU1" t="s">
        <v>15625</v>
      </c>
      <c r="PTV1" t="s">
        <v>15626</v>
      </c>
      <c r="PTW1" t="s">
        <v>15627</v>
      </c>
      <c r="PTX1" t="s">
        <v>15628</v>
      </c>
      <c r="PTY1" t="s">
        <v>15629</v>
      </c>
      <c r="PTZ1" t="s">
        <v>15630</v>
      </c>
      <c r="PUA1" t="s">
        <v>15631</v>
      </c>
      <c r="PUB1" t="s">
        <v>15632</v>
      </c>
      <c r="PUC1" t="s">
        <v>15633</v>
      </c>
      <c r="PUD1" t="s">
        <v>15634</v>
      </c>
      <c r="PUE1" t="s">
        <v>15635</v>
      </c>
      <c r="PUF1" t="s">
        <v>15636</v>
      </c>
      <c r="PUG1" t="s">
        <v>15637</v>
      </c>
      <c r="PUH1" t="s">
        <v>15638</v>
      </c>
      <c r="PUI1" t="s">
        <v>15639</v>
      </c>
      <c r="PUJ1" t="s">
        <v>15640</v>
      </c>
      <c r="PUK1" t="s">
        <v>15641</v>
      </c>
      <c r="PUL1" t="s">
        <v>15642</v>
      </c>
      <c r="PUM1" t="s">
        <v>15643</v>
      </c>
      <c r="PUN1" t="s">
        <v>15644</v>
      </c>
      <c r="PUO1" t="s">
        <v>15645</v>
      </c>
      <c r="PUP1" t="s">
        <v>15646</v>
      </c>
      <c r="PUQ1" t="s">
        <v>15647</v>
      </c>
      <c r="PUR1" t="s">
        <v>15648</v>
      </c>
      <c r="PUS1" t="s">
        <v>15649</v>
      </c>
      <c r="PUT1" t="s">
        <v>15650</v>
      </c>
      <c r="PUU1" t="s">
        <v>15651</v>
      </c>
      <c r="PUV1" t="s">
        <v>15652</v>
      </c>
      <c r="PUW1" t="s">
        <v>15653</v>
      </c>
      <c r="PUX1" t="s">
        <v>15654</v>
      </c>
      <c r="PUY1" t="s">
        <v>15655</v>
      </c>
      <c r="PUZ1" t="s">
        <v>15656</v>
      </c>
      <c r="PVA1" t="s">
        <v>15657</v>
      </c>
      <c r="PVB1" t="s">
        <v>15658</v>
      </c>
      <c r="PVC1" t="s">
        <v>15659</v>
      </c>
      <c r="PVD1" t="s">
        <v>15660</v>
      </c>
      <c r="PVE1" t="s">
        <v>15661</v>
      </c>
      <c r="PVF1" t="s">
        <v>15662</v>
      </c>
      <c r="PVG1" t="s">
        <v>15663</v>
      </c>
      <c r="PVH1" t="s">
        <v>15664</v>
      </c>
      <c r="PVI1" t="s">
        <v>15665</v>
      </c>
      <c r="PVJ1" t="s">
        <v>15666</v>
      </c>
      <c r="PVK1" t="s">
        <v>15667</v>
      </c>
      <c r="PVL1" t="s">
        <v>15668</v>
      </c>
      <c r="PVM1" t="s">
        <v>15669</v>
      </c>
      <c r="PVN1" t="s">
        <v>15670</v>
      </c>
      <c r="PVO1" t="s">
        <v>15671</v>
      </c>
      <c r="PVP1" t="s">
        <v>15672</v>
      </c>
      <c r="PVQ1" t="s">
        <v>15673</v>
      </c>
      <c r="PVR1" t="s">
        <v>15674</v>
      </c>
      <c r="PVS1" t="s">
        <v>15675</v>
      </c>
      <c r="PVT1" t="s">
        <v>15676</v>
      </c>
      <c r="PVU1" t="s">
        <v>15677</v>
      </c>
      <c r="PVV1" t="s">
        <v>15678</v>
      </c>
      <c r="PVW1" t="s">
        <v>15679</v>
      </c>
      <c r="PVX1" t="s">
        <v>15680</v>
      </c>
      <c r="PVY1" t="s">
        <v>15681</v>
      </c>
      <c r="PVZ1" t="s">
        <v>15682</v>
      </c>
      <c r="PWA1" t="s">
        <v>15683</v>
      </c>
      <c r="PWB1" t="s">
        <v>15684</v>
      </c>
      <c r="PWC1" t="s">
        <v>15685</v>
      </c>
      <c r="PWD1" t="s">
        <v>15686</v>
      </c>
      <c r="PWE1" t="s">
        <v>15687</v>
      </c>
      <c r="PWF1" t="s">
        <v>15688</v>
      </c>
      <c r="PWG1" t="s">
        <v>15689</v>
      </c>
      <c r="PWH1" t="s">
        <v>15690</v>
      </c>
      <c r="PWI1" t="s">
        <v>15691</v>
      </c>
      <c r="PWJ1" t="s">
        <v>15692</v>
      </c>
      <c r="PWK1" t="s">
        <v>15693</v>
      </c>
      <c r="PWL1" t="s">
        <v>15694</v>
      </c>
      <c r="PWM1" t="s">
        <v>15695</v>
      </c>
      <c r="PWN1" t="s">
        <v>15696</v>
      </c>
      <c r="PWO1" t="s">
        <v>15697</v>
      </c>
      <c r="PWP1" t="s">
        <v>15698</v>
      </c>
      <c r="PWQ1" t="s">
        <v>15699</v>
      </c>
      <c r="PWR1" t="s">
        <v>15700</v>
      </c>
      <c r="PWS1" t="s">
        <v>15701</v>
      </c>
      <c r="PWT1" t="s">
        <v>15702</v>
      </c>
      <c r="PWU1" t="s">
        <v>15703</v>
      </c>
      <c r="PWV1" t="s">
        <v>15704</v>
      </c>
      <c r="PWW1" t="s">
        <v>15705</v>
      </c>
      <c r="PWX1" t="s">
        <v>15706</v>
      </c>
      <c r="PWY1" t="s">
        <v>15707</v>
      </c>
      <c r="PWZ1" t="s">
        <v>15708</v>
      </c>
      <c r="PXA1" t="s">
        <v>15709</v>
      </c>
      <c r="PXB1" t="s">
        <v>15710</v>
      </c>
      <c r="PXC1" t="s">
        <v>15711</v>
      </c>
      <c r="PXD1" t="s">
        <v>15712</v>
      </c>
      <c r="PXE1" t="s">
        <v>15713</v>
      </c>
      <c r="PXF1" t="s">
        <v>15714</v>
      </c>
      <c r="PXG1" t="s">
        <v>15715</v>
      </c>
      <c r="PXH1" t="s">
        <v>15716</v>
      </c>
      <c r="PXI1" t="s">
        <v>15717</v>
      </c>
      <c r="PXJ1" t="s">
        <v>15718</v>
      </c>
      <c r="PXK1" t="s">
        <v>15719</v>
      </c>
      <c r="PXL1" t="s">
        <v>15720</v>
      </c>
      <c r="PXM1" t="s">
        <v>15721</v>
      </c>
      <c r="PXN1" t="s">
        <v>15722</v>
      </c>
      <c r="PXO1" t="s">
        <v>15723</v>
      </c>
      <c r="PXP1" t="s">
        <v>15724</v>
      </c>
      <c r="PXQ1" t="s">
        <v>15725</v>
      </c>
      <c r="PXR1" t="s">
        <v>15726</v>
      </c>
      <c r="PXS1" t="s">
        <v>15727</v>
      </c>
      <c r="PXT1" t="s">
        <v>15728</v>
      </c>
      <c r="PXU1" t="s">
        <v>15729</v>
      </c>
      <c r="PXV1" t="s">
        <v>15730</v>
      </c>
      <c r="PXW1" t="s">
        <v>15731</v>
      </c>
      <c r="PXX1" t="s">
        <v>15732</v>
      </c>
      <c r="PXY1" t="s">
        <v>15733</v>
      </c>
      <c r="PXZ1" t="s">
        <v>15734</v>
      </c>
      <c r="PYA1" t="s">
        <v>15735</v>
      </c>
      <c r="PYB1" t="s">
        <v>15736</v>
      </c>
      <c r="PYC1" t="s">
        <v>15737</v>
      </c>
      <c r="PYD1" t="s">
        <v>15738</v>
      </c>
      <c r="PYE1" t="s">
        <v>15739</v>
      </c>
      <c r="PYF1" t="s">
        <v>15740</v>
      </c>
      <c r="PYG1" t="s">
        <v>15741</v>
      </c>
      <c r="PYH1" t="s">
        <v>15742</v>
      </c>
      <c r="PYI1" t="s">
        <v>15743</v>
      </c>
      <c r="PYJ1" t="s">
        <v>15744</v>
      </c>
      <c r="PYK1" t="s">
        <v>15745</v>
      </c>
      <c r="PYL1" t="s">
        <v>15746</v>
      </c>
      <c r="PYM1" t="s">
        <v>15747</v>
      </c>
      <c r="PYN1" t="s">
        <v>15748</v>
      </c>
      <c r="PYO1" t="s">
        <v>15749</v>
      </c>
      <c r="PYP1" t="s">
        <v>15750</v>
      </c>
      <c r="PYQ1" t="s">
        <v>15751</v>
      </c>
      <c r="PYR1" t="s">
        <v>15752</v>
      </c>
      <c r="PYS1" t="s">
        <v>15753</v>
      </c>
      <c r="PYT1" t="s">
        <v>15754</v>
      </c>
      <c r="PYU1" t="s">
        <v>15755</v>
      </c>
      <c r="PYV1" t="s">
        <v>15756</v>
      </c>
      <c r="PYW1" t="s">
        <v>15757</v>
      </c>
      <c r="PYX1" t="s">
        <v>15758</v>
      </c>
      <c r="PYY1" t="s">
        <v>15759</v>
      </c>
      <c r="PYZ1" t="s">
        <v>15760</v>
      </c>
      <c r="PZA1" t="s">
        <v>15761</v>
      </c>
      <c r="PZB1" t="s">
        <v>15762</v>
      </c>
      <c r="PZC1" t="s">
        <v>15763</v>
      </c>
      <c r="PZD1" t="s">
        <v>15764</v>
      </c>
      <c r="PZE1" t="s">
        <v>15765</v>
      </c>
      <c r="PZF1" t="s">
        <v>15766</v>
      </c>
      <c r="PZG1" t="s">
        <v>15767</v>
      </c>
      <c r="PZH1" t="s">
        <v>15768</v>
      </c>
      <c r="PZI1" t="s">
        <v>15769</v>
      </c>
      <c r="PZJ1" t="s">
        <v>15770</v>
      </c>
      <c r="PZK1" t="s">
        <v>15771</v>
      </c>
      <c r="PZL1" t="s">
        <v>15772</v>
      </c>
      <c r="PZM1" t="s">
        <v>15773</v>
      </c>
      <c r="PZN1" t="s">
        <v>15774</v>
      </c>
      <c r="PZO1" t="s">
        <v>15775</v>
      </c>
      <c r="PZP1" t="s">
        <v>15776</v>
      </c>
      <c r="PZQ1" t="s">
        <v>15777</v>
      </c>
      <c r="PZR1" t="s">
        <v>15778</v>
      </c>
      <c r="PZS1" t="s">
        <v>15779</v>
      </c>
      <c r="PZT1" t="s">
        <v>15780</v>
      </c>
      <c r="PZU1" t="s">
        <v>15781</v>
      </c>
      <c r="PZV1" t="s">
        <v>15782</v>
      </c>
      <c r="PZW1" t="s">
        <v>15783</v>
      </c>
      <c r="PZX1" t="s">
        <v>15784</v>
      </c>
      <c r="PZY1" t="s">
        <v>15785</v>
      </c>
      <c r="PZZ1" t="s">
        <v>15786</v>
      </c>
      <c r="QAA1" t="s">
        <v>15787</v>
      </c>
      <c r="QAB1" t="s">
        <v>15788</v>
      </c>
      <c r="QAC1" t="s">
        <v>15789</v>
      </c>
      <c r="QAD1" t="s">
        <v>15790</v>
      </c>
      <c r="QAE1" t="s">
        <v>15791</v>
      </c>
      <c r="QAF1" t="s">
        <v>15792</v>
      </c>
      <c r="QAG1" t="s">
        <v>15793</v>
      </c>
      <c r="QAH1" t="s">
        <v>15794</v>
      </c>
      <c r="QAI1" t="s">
        <v>15795</v>
      </c>
      <c r="QAJ1" t="s">
        <v>15796</v>
      </c>
      <c r="QAK1" t="s">
        <v>15797</v>
      </c>
      <c r="QAL1" t="s">
        <v>15798</v>
      </c>
      <c r="QAM1" t="s">
        <v>15799</v>
      </c>
      <c r="QAN1" t="s">
        <v>15800</v>
      </c>
      <c r="QAO1" t="s">
        <v>15801</v>
      </c>
      <c r="QAP1" t="s">
        <v>15802</v>
      </c>
      <c r="QAQ1" t="s">
        <v>15803</v>
      </c>
      <c r="QAR1" t="s">
        <v>15804</v>
      </c>
      <c r="QAS1" t="s">
        <v>15805</v>
      </c>
      <c r="QAT1" t="s">
        <v>15806</v>
      </c>
      <c r="QAU1" t="s">
        <v>15807</v>
      </c>
      <c r="QAV1" t="s">
        <v>15808</v>
      </c>
      <c r="QAW1" t="s">
        <v>15809</v>
      </c>
      <c r="QAX1" t="s">
        <v>15810</v>
      </c>
      <c r="QAY1" t="s">
        <v>15811</v>
      </c>
      <c r="QAZ1" t="s">
        <v>15812</v>
      </c>
      <c r="QBA1" t="s">
        <v>15813</v>
      </c>
      <c r="QBB1" t="s">
        <v>15814</v>
      </c>
      <c r="QBC1" t="s">
        <v>15815</v>
      </c>
      <c r="QBD1" t="s">
        <v>15816</v>
      </c>
      <c r="QBE1" t="s">
        <v>15817</v>
      </c>
      <c r="QBF1" t="s">
        <v>15818</v>
      </c>
      <c r="QBG1" t="s">
        <v>15819</v>
      </c>
      <c r="QBH1" t="s">
        <v>15820</v>
      </c>
      <c r="QBI1" t="s">
        <v>15821</v>
      </c>
      <c r="QBJ1" t="s">
        <v>15822</v>
      </c>
      <c r="QBK1" t="s">
        <v>15823</v>
      </c>
      <c r="QBL1" t="s">
        <v>15824</v>
      </c>
      <c r="QBM1" t="s">
        <v>15825</v>
      </c>
      <c r="QBN1" t="s">
        <v>15826</v>
      </c>
      <c r="QBO1" t="s">
        <v>15827</v>
      </c>
      <c r="QBP1" t="s">
        <v>15828</v>
      </c>
      <c r="QBQ1" t="s">
        <v>15829</v>
      </c>
      <c r="QBR1" t="s">
        <v>15830</v>
      </c>
      <c r="QBS1" t="s">
        <v>15831</v>
      </c>
      <c r="QBT1" t="s">
        <v>15832</v>
      </c>
      <c r="QBU1" t="s">
        <v>15833</v>
      </c>
      <c r="QBV1" t="s">
        <v>15834</v>
      </c>
      <c r="QBW1" t="s">
        <v>15835</v>
      </c>
      <c r="QBX1" t="s">
        <v>15836</v>
      </c>
      <c r="QBY1" t="s">
        <v>15837</v>
      </c>
      <c r="QBZ1" t="s">
        <v>15838</v>
      </c>
      <c r="QCA1" t="s">
        <v>15839</v>
      </c>
      <c r="QCB1" t="s">
        <v>15840</v>
      </c>
      <c r="QCC1" t="s">
        <v>15841</v>
      </c>
      <c r="QCD1" t="s">
        <v>15842</v>
      </c>
      <c r="QCE1" t="s">
        <v>15843</v>
      </c>
      <c r="QCF1" t="s">
        <v>15844</v>
      </c>
      <c r="QCG1" t="s">
        <v>15845</v>
      </c>
      <c r="QCH1" t="s">
        <v>15846</v>
      </c>
      <c r="QCI1" t="s">
        <v>15847</v>
      </c>
      <c r="QCJ1" t="s">
        <v>15848</v>
      </c>
      <c r="QCK1" t="s">
        <v>15849</v>
      </c>
      <c r="QCL1" t="s">
        <v>15850</v>
      </c>
      <c r="QCM1" t="s">
        <v>15851</v>
      </c>
      <c r="QCN1" t="s">
        <v>15852</v>
      </c>
      <c r="QCO1" t="s">
        <v>15853</v>
      </c>
      <c r="QCP1" t="s">
        <v>15854</v>
      </c>
      <c r="QCQ1" t="s">
        <v>15855</v>
      </c>
      <c r="QCR1" t="s">
        <v>15856</v>
      </c>
      <c r="QCS1" t="s">
        <v>15857</v>
      </c>
      <c r="QCT1" t="s">
        <v>15858</v>
      </c>
      <c r="QCU1" t="s">
        <v>15859</v>
      </c>
      <c r="QCV1" t="s">
        <v>15860</v>
      </c>
      <c r="QCW1" t="s">
        <v>15861</v>
      </c>
      <c r="QCX1" t="s">
        <v>15862</v>
      </c>
      <c r="QCY1" t="s">
        <v>15863</v>
      </c>
      <c r="QCZ1" t="s">
        <v>15864</v>
      </c>
      <c r="QDA1" t="s">
        <v>15865</v>
      </c>
      <c r="QDB1" t="s">
        <v>15866</v>
      </c>
      <c r="QDC1" t="s">
        <v>15867</v>
      </c>
      <c r="QDD1" t="s">
        <v>15868</v>
      </c>
      <c r="QDE1" t="s">
        <v>15869</v>
      </c>
      <c r="QDF1" t="s">
        <v>15870</v>
      </c>
      <c r="QDG1" t="s">
        <v>15871</v>
      </c>
      <c r="QDH1" t="s">
        <v>15872</v>
      </c>
      <c r="QDI1" t="s">
        <v>15873</v>
      </c>
      <c r="QDJ1" t="s">
        <v>15874</v>
      </c>
      <c r="QDK1" t="s">
        <v>15875</v>
      </c>
      <c r="QDL1" t="s">
        <v>15876</v>
      </c>
      <c r="QDM1" t="s">
        <v>15877</v>
      </c>
      <c r="QDN1" t="s">
        <v>15878</v>
      </c>
      <c r="QDO1" t="s">
        <v>15879</v>
      </c>
      <c r="QDP1" t="s">
        <v>15880</v>
      </c>
      <c r="QDQ1" t="s">
        <v>15881</v>
      </c>
      <c r="QDR1" t="s">
        <v>15882</v>
      </c>
      <c r="QDS1" t="s">
        <v>15883</v>
      </c>
      <c r="QDT1" t="s">
        <v>15884</v>
      </c>
      <c r="QDU1" t="s">
        <v>15885</v>
      </c>
      <c r="QDV1" t="s">
        <v>15886</v>
      </c>
      <c r="QDW1" t="s">
        <v>15887</v>
      </c>
      <c r="QDX1" t="s">
        <v>15888</v>
      </c>
      <c r="QDY1" t="s">
        <v>15889</v>
      </c>
      <c r="QDZ1" t="s">
        <v>15890</v>
      </c>
      <c r="QEA1" t="s">
        <v>15891</v>
      </c>
      <c r="QEB1" t="s">
        <v>15892</v>
      </c>
      <c r="QEC1" t="s">
        <v>15893</v>
      </c>
      <c r="QED1" t="s">
        <v>15894</v>
      </c>
      <c r="QEE1" t="s">
        <v>15895</v>
      </c>
      <c r="QEF1" t="s">
        <v>15896</v>
      </c>
      <c r="QEG1" t="s">
        <v>15897</v>
      </c>
      <c r="QEH1" t="s">
        <v>15898</v>
      </c>
      <c r="QEI1" t="s">
        <v>15899</v>
      </c>
      <c r="QEJ1" t="s">
        <v>15900</v>
      </c>
      <c r="QEK1" t="s">
        <v>15901</v>
      </c>
      <c r="QEL1" t="s">
        <v>15902</v>
      </c>
      <c r="QEM1" t="s">
        <v>15903</v>
      </c>
      <c r="QEN1" t="s">
        <v>15904</v>
      </c>
      <c r="QEO1" t="s">
        <v>15905</v>
      </c>
      <c r="QEP1" t="s">
        <v>15906</v>
      </c>
      <c r="QEQ1" t="s">
        <v>15907</v>
      </c>
      <c r="QER1" t="s">
        <v>15908</v>
      </c>
      <c r="QES1" t="s">
        <v>15909</v>
      </c>
      <c r="QET1" t="s">
        <v>15910</v>
      </c>
      <c r="QEU1" t="s">
        <v>15911</v>
      </c>
      <c r="QEV1" t="s">
        <v>15912</v>
      </c>
      <c r="QEW1" t="s">
        <v>15913</v>
      </c>
      <c r="QEX1" t="s">
        <v>15914</v>
      </c>
      <c r="QEY1" t="s">
        <v>15915</v>
      </c>
      <c r="QEZ1" t="s">
        <v>15916</v>
      </c>
      <c r="QFA1" t="s">
        <v>15917</v>
      </c>
      <c r="QFB1" t="s">
        <v>15918</v>
      </c>
      <c r="QFC1" t="s">
        <v>15919</v>
      </c>
      <c r="QFD1" t="s">
        <v>15920</v>
      </c>
      <c r="QFE1" t="s">
        <v>15921</v>
      </c>
      <c r="QFF1" t="s">
        <v>15922</v>
      </c>
      <c r="QFG1" t="s">
        <v>15923</v>
      </c>
      <c r="QFH1" t="s">
        <v>15924</v>
      </c>
      <c r="QFI1" t="s">
        <v>15925</v>
      </c>
      <c r="QFJ1" t="s">
        <v>15926</v>
      </c>
      <c r="QFK1" t="s">
        <v>15927</v>
      </c>
      <c r="QFL1" t="s">
        <v>15928</v>
      </c>
      <c r="QFM1" t="s">
        <v>15929</v>
      </c>
      <c r="QFN1" t="s">
        <v>15930</v>
      </c>
      <c r="QFO1" t="s">
        <v>15931</v>
      </c>
      <c r="QFP1" t="s">
        <v>15932</v>
      </c>
      <c r="QFQ1" t="s">
        <v>15933</v>
      </c>
      <c r="QFR1" t="s">
        <v>15934</v>
      </c>
      <c r="QFS1" t="s">
        <v>15935</v>
      </c>
      <c r="QFT1" t="s">
        <v>15936</v>
      </c>
      <c r="QFU1" t="s">
        <v>15937</v>
      </c>
      <c r="QFV1" t="s">
        <v>15938</v>
      </c>
      <c r="QFW1" t="s">
        <v>15939</v>
      </c>
      <c r="QFX1" t="s">
        <v>15940</v>
      </c>
      <c r="QFY1" t="s">
        <v>15941</v>
      </c>
      <c r="QFZ1" t="s">
        <v>15942</v>
      </c>
      <c r="QGA1" t="s">
        <v>15943</v>
      </c>
      <c r="QGB1" t="s">
        <v>15944</v>
      </c>
      <c r="QGC1" t="s">
        <v>15945</v>
      </c>
      <c r="QGD1" t="s">
        <v>15946</v>
      </c>
      <c r="QGE1" t="s">
        <v>15947</v>
      </c>
      <c r="QGF1" t="s">
        <v>15948</v>
      </c>
      <c r="QGG1" t="s">
        <v>15949</v>
      </c>
      <c r="QGH1" t="s">
        <v>15950</v>
      </c>
      <c r="QGI1" t="s">
        <v>15951</v>
      </c>
      <c r="QGJ1" t="s">
        <v>15952</v>
      </c>
      <c r="QGK1" t="s">
        <v>15953</v>
      </c>
      <c r="QGL1" t="s">
        <v>15954</v>
      </c>
      <c r="QGM1" t="s">
        <v>15955</v>
      </c>
      <c r="QGN1" t="s">
        <v>15956</v>
      </c>
      <c r="QGO1" t="s">
        <v>15957</v>
      </c>
      <c r="QGP1" t="s">
        <v>15958</v>
      </c>
      <c r="QGQ1" t="s">
        <v>15959</v>
      </c>
      <c r="QGR1" t="s">
        <v>15960</v>
      </c>
      <c r="QGS1" t="s">
        <v>15961</v>
      </c>
      <c r="QGT1" t="s">
        <v>15962</v>
      </c>
      <c r="QGU1" t="s">
        <v>15963</v>
      </c>
      <c r="QGV1" t="s">
        <v>15964</v>
      </c>
      <c r="QGW1" t="s">
        <v>15965</v>
      </c>
      <c r="QGX1" t="s">
        <v>15966</v>
      </c>
      <c r="QGY1" t="s">
        <v>15967</v>
      </c>
      <c r="QGZ1" t="s">
        <v>15968</v>
      </c>
      <c r="QHA1" t="s">
        <v>15969</v>
      </c>
      <c r="QHB1" t="s">
        <v>15970</v>
      </c>
      <c r="QHC1" t="s">
        <v>15971</v>
      </c>
      <c r="QHD1" t="s">
        <v>15972</v>
      </c>
      <c r="QHE1" t="s">
        <v>15973</v>
      </c>
      <c r="QHF1" t="s">
        <v>15974</v>
      </c>
      <c r="QHG1" t="s">
        <v>15975</v>
      </c>
      <c r="QHH1" t="s">
        <v>15976</v>
      </c>
      <c r="QHI1" t="s">
        <v>15977</v>
      </c>
      <c r="QHJ1" t="s">
        <v>15978</v>
      </c>
      <c r="QHK1" t="s">
        <v>15979</v>
      </c>
      <c r="QHL1" t="s">
        <v>15980</v>
      </c>
      <c r="QHM1" t="s">
        <v>15981</v>
      </c>
      <c r="QHN1" t="s">
        <v>15982</v>
      </c>
      <c r="QHO1" t="s">
        <v>15983</v>
      </c>
      <c r="QHP1" t="s">
        <v>15984</v>
      </c>
      <c r="QHQ1" t="s">
        <v>15985</v>
      </c>
      <c r="QHR1" t="s">
        <v>15986</v>
      </c>
      <c r="QHS1" t="s">
        <v>15987</v>
      </c>
      <c r="QHT1" t="s">
        <v>15988</v>
      </c>
      <c r="QHU1" t="s">
        <v>15989</v>
      </c>
      <c r="QHV1" t="s">
        <v>15990</v>
      </c>
      <c r="QHW1" t="s">
        <v>15991</v>
      </c>
      <c r="QHX1" t="s">
        <v>15992</v>
      </c>
      <c r="QHY1" t="s">
        <v>15993</v>
      </c>
      <c r="QHZ1" t="s">
        <v>15994</v>
      </c>
      <c r="QIA1" t="s">
        <v>15995</v>
      </c>
      <c r="QIB1" t="s">
        <v>15996</v>
      </c>
      <c r="QIC1" t="s">
        <v>15997</v>
      </c>
      <c r="QID1" t="s">
        <v>15998</v>
      </c>
      <c r="QIE1" t="s">
        <v>15999</v>
      </c>
      <c r="QIF1" t="s">
        <v>16000</v>
      </c>
      <c r="QIG1" t="s">
        <v>16001</v>
      </c>
      <c r="QIH1" t="s">
        <v>16002</v>
      </c>
      <c r="QII1" t="s">
        <v>16003</v>
      </c>
      <c r="QIJ1" t="s">
        <v>16004</v>
      </c>
      <c r="QIK1" t="s">
        <v>16005</v>
      </c>
      <c r="QIL1" t="s">
        <v>16006</v>
      </c>
      <c r="QIM1" t="s">
        <v>16007</v>
      </c>
      <c r="QIN1" t="s">
        <v>16008</v>
      </c>
      <c r="QIO1" t="s">
        <v>16009</v>
      </c>
      <c r="QIP1" t="s">
        <v>16010</v>
      </c>
      <c r="QIQ1" t="s">
        <v>16011</v>
      </c>
      <c r="QIR1" t="s">
        <v>16012</v>
      </c>
      <c r="QIS1" t="s">
        <v>16013</v>
      </c>
      <c r="QIT1" t="s">
        <v>16014</v>
      </c>
      <c r="QIU1" t="s">
        <v>16015</v>
      </c>
      <c r="QIV1" t="s">
        <v>16016</v>
      </c>
      <c r="QIW1" t="s">
        <v>16017</v>
      </c>
      <c r="QIX1" t="s">
        <v>16018</v>
      </c>
      <c r="QIY1" t="s">
        <v>16019</v>
      </c>
      <c r="QIZ1" t="s">
        <v>16020</v>
      </c>
      <c r="QJA1" t="s">
        <v>16021</v>
      </c>
      <c r="QJB1" t="s">
        <v>16022</v>
      </c>
      <c r="QJC1" t="s">
        <v>16023</v>
      </c>
      <c r="QJD1" t="s">
        <v>16024</v>
      </c>
      <c r="QJE1" t="s">
        <v>16025</v>
      </c>
      <c r="QJF1" t="s">
        <v>16026</v>
      </c>
      <c r="QJG1" t="s">
        <v>16027</v>
      </c>
      <c r="QJH1" t="s">
        <v>16028</v>
      </c>
      <c r="QJI1" t="s">
        <v>16029</v>
      </c>
      <c r="QJJ1" t="s">
        <v>16030</v>
      </c>
      <c r="QJK1" t="s">
        <v>16031</v>
      </c>
      <c r="QJL1" t="s">
        <v>16032</v>
      </c>
      <c r="QJM1" t="s">
        <v>16033</v>
      </c>
      <c r="QJN1" t="s">
        <v>16034</v>
      </c>
      <c r="QJO1" t="s">
        <v>16035</v>
      </c>
      <c r="QJP1" t="s">
        <v>16036</v>
      </c>
      <c r="QJQ1" t="s">
        <v>16037</v>
      </c>
      <c r="QJR1" t="s">
        <v>16038</v>
      </c>
      <c r="QJS1" t="s">
        <v>16039</v>
      </c>
      <c r="QJT1" t="s">
        <v>16040</v>
      </c>
      <c r="QJU1" t="s">
        <v>16041</v>
      </c>
      <c r="QJV1" t="s">
        <v>16042</v>
      </c>
      <c r="QJW1" t="s">
        <v>16043</v>
      </c>
      <c r="QJX1" t="s">
        <v>16044</v>
      </c>
      <c r="QJY1" t="s">
        <v>16045</v>
      </c>
      <c r="QJZ1" t="s">
        <v>16046</v>
      </c>
      <c r="QKA1" t="s">
        <v>16047</v>
      </c>
      <c r="QKB1" t="s">
        <v>16048</v>
      </c>
      <c r="QKC1" t="s">
        <v>16049</v>
      </c>
      <c r="QKD1" t="s">
        <v>16050</v>
      </c>
      <c r="QKE1" t="s">
        <v>16051</v>
      </c>
      <c r="QKF1" t="s">
        <v>16052</v>
      </c>
      <c r="QKG1" t="s">
        <v>16053</v>
      </c>
      <c r="QKH1" t="s">
        <v>16054</v>
      </c>
      <c r="QKI1" t="s">
        <v>16055</v>
      </c>
      <c r="QKJ1" t="s">
        <v>16056</v>
      </c>
      <c r="QKK1" t="s">
        <v>16057</v>
      </c>
      <c r="QKL1" t="s">
        <v>16058</v>
      </c>
      <c r="QKM1" t="s">
        <v>16059</v>
      </c>
      <c r="QKN1" t="s">
        <v>16060</v>
      </c>
      <c r="QKO1" t="s">
        <v>16061</v>
      </c>
      <c r="QKP1" t="s">
        <v>16062</v>
      </c>
      <c r="QKQ1" t="s">
        <v>16063</v>
      </c>
      <c r="QKR1" t="s">
        <v>16064</v>
      </c>
      <c r="QKS1" t="s">
        <v>16065</v>
      </c>
      <c r="QKT1" t="s">
        <v>16066</v>
      </c>
      <c r="QKU1" t="s">
        <v>16067</v>
      </c>
      <c r="QKV1" t="s">
        <v>16068</v>
      </c>
      <c r="QKW1" t="s">
        <v>16069</v>
      </c>
      <c r="QKX1" t="s">
        <v>16070</v>
      </c>
      <c r="QKY1" t="s">
        <v>16071</v>
      </c>
      <c r="QKZ1" t="s">
        <v>16072</v>
      </c>
      <c r="QLA1" t="s">
        <v>16073</v>
      </c>
      <c r="QLB1" t="s">
        <v>16074</v>
      </c>
      <c r="QLC1" t="s">
        <v>16075</v>
      </c>
      <c r="QLD1" t="s">
        <v>16076</v>
      </c>
      <c r="QLE1" t="s">
        <v>16077</v>
      </c>
      <c r="QLF1" t="s">
        <v>16078</v>
      </c>
      <c r="QLG1" t="s">
        <v>16079</v>
      </c>
      <c r="QLH1" t="s">
        <v>16080</v>
      </c>
      <c r="QLI1" t="s">
        <v>16081</v>
      </c>
      <c r="QLJ1" t="s">
        <v>16082</v>
      </c>
      <c r="QLK1" t="s">
        <v>16083</v>
      </c>
      <c r="QLL1" t="s">
        <v>16084</v>
      </c>
      <c r="QLM1" t="s">
        <v>16085</v>
      </c>
      <c r="QLN1" t="s">
        <v>16086</v>
      </c>
      <c r="QLO1" t="s">
        <v>16087</v>
      </c>
      <c r="QLP1" t="s">
        <v>16088</v>
      </c>
      <c r="QLQ1" t="s">
        <v>16089</v>
      </c>
      <c r="QLR1" t="s">
        <v>16090</v>
      </c>
      <c r="QLS1" t="s">
        <v>16091</v>
      </c>
      <c r="QLT1" t="s">
        <v>16092</v>
      </c>
      <c r="QLU1" t="s">
        <v>16093</v>
      </c>
      <c r="QLV1" t="s">
        <v>16094</v>
      </c>
      <c r="QLW1" t="s">
        <v>16095</v>
      </c>
      <c r="QLX1" t="s">
        <v>16096</v>
      </c>
      <c r="QLY1" t="s">
        <v>16097</v>
      </c>
      <c r="QLZ1" t="s">
        <v>16098</v>
      </c>
      <c r="QMA1" t="s">
        <v>16099</v>
      </c>
      <c r="QMB1" t="s">
        <v>16100</v>
      </c>
      <c r="QMC1" t="s">
        <v>16101</v>
      </c>
      <c r="QMD1" t="s">
        <v>16102</v>
      </c>
      <c r="QME1" t="s">
        <v>16103</v>
      </c>
      <c r="QMF1" t="s">
        <v>16104</v>
      </c>
      <c r="QMG1" t="s">
        <v>16105</v>
      </c>
      <c r="QMH1" t="s">
        <v>16106</v>
      </c>
      <c r="QMI1" t="s">
        <v>16107</v>
      </c>
      <c r="QMJ1" t="s">
        <v>16108</v>
      </c>
      <c r="QMK1" t="s">
        <v>16109</v>
      </c>
      <c r="QML1" t="s">
        <v>16110</v>
      </c>
      <c r="QMM1" t="s">
        <v>16111</v>
      </c>
      <c r="QMN1" t="s">
        <v>16112</v>
      </c>
      <c r="QMO1" t="s">
        <v>16113</v>
      </c>
      <c r="QMP1" t="s">
        <v>16114</v>
      </c>
      <c r="QMQ1" t="s">
        <v>16115</v>
      </c>
      <c r="QMR1" t="s">
        <v>16116</v>
      </c>
      <c r="QMS1" t="s">
        <v>16117</v>
      </c>
      <c r="QMT1" t="s">
        <v>16118</v>
      </c>
      <c r="QMU1" t="s">
        <v>16119</v>
      </c>
      <c r="QMV1" t="s">
        <v>16120</v>
      </c>
      <c r="QMW1" t="s">
        <v>16121</v>
      </c>
      <c r="QMX1" t="s">
        <v>16122</v>
      </c>
      <c r="QMY1" t="s">
        <v>16123</v>
      </c>
      <c r="QMZ1" t="s">
        <v>16124</v>
      </c>
      <c r="QNA1" t="s">
        <v>16125</v>
      </c>
      <c r="QNB1" t="s">
        <v>16126</v>
      </c>
      <c r="QNC1" t="s">
        <v>16127</v>
      </c>
      <c r="QND1" t="s">
        <v>16128</v>
      </c>
      <c r="QNE1" t="s">
        <v>16129</v>
      </c>
      <c r="QNF1" t="s">
        <v>16130</v>
      </c>
      <c r="QNG1" t="s">
        <v>16131</v>
      </c>
      <c r="QNH1" t="s">
        <v>16132</v>
      </c>
      <c r="QNI1" t="s">
        <v>16133</v>
      </c>
      <c r="QNJ1" t="s">
        <v>16134</v>
      </c>
      <c r="QNK1" t="s">
        <v>16135</v>
      </c>
      <c r="QNL1" t="s">
        <v>16136</v>
      </c>
      <c r="QNM1" t="s">
        <v>16137</v>
      </c>
      <c r="QNN1" t="s">
        <v>16138</v>
      </c>
      <c r="QNO1" t="s">
        <v>16139</v>
      </c>
      <c r="QNP1" t="s">
        <v>16140</v>
      </c>
      <c r="QNQ1" t="s">
        <v>16141</v>
      </c>
      <c r="QNR1" t="s">
        <v>16142</v>
      </c>
      <c r="QNS1" t="s">
        <v>16143</v>
      </c>
      <c r="QNT1" t="s">
        <v>16144</v>
      </c>
      <c r="QNU1" t="s">
        <v>16145</v>
      </c>
      <c r="QNV1" t="s">
        <v>16146</v>
      </c>
      <c r="QNW1" t="s">
        <v>16147</v>
      </c>
      <c r="QNX1" t="s">
        <v>16148</v>
      </c>
      <c r="QNY1" t="s">
        <v>16149</v>
      </c>
      <c r="QNZ1" t="s">
        <v>16150</v>
      </c>
      <c r="QOA1" t="s">
        <v>16151</v>
      </c>
      <c r="QOB1" t="s">
        <v>16152</v>
      </c>
      <c r="QOC1" t="s">
        <v>16153</v>
      </c>
      <c r="QOD1" t="s">
        <v>16154</v>
      </c>
      <c r="QOE1" t="s">
        <v>16155</v>
      </c>
      <c r="QOF1" t="s">
        <v>16156</v>
      </c>
      <c r="QOG1" t="s">
        <v>16157</v>
      </c>
      <c r="QOH1" t="s">
        <v>16158</v>
      </c>
      <c r="QOI1" t="s">
        <v>16159</v>
      </c>
      <c r="QOJ1" t="s">
        <v>16160</v>
      </c>
      <c r="QOK1" t="s">
        <v>16161</v>
      </c>
      <c r="QOL1" t="s">
        <v>16162</v>
      </c>
      <c r="QOM1" t="s">
        <v>16163</v>
      </c>
      <c r="QON1" t="s">
        <v>16164</v>
      </c>
      <c r="QOO1" t="s">
        <v>16165</v>
      </c>
      <c r="QOP1" t="s">
        <v>16166</v>
      </c>
      <c r="QOQ1" t="s">
        <v>16167</v>
      </c>
      <c r="QOR1" t="s">
        <v>16168</v>
      </c>
      <c r="QOS1" t="s">
        <v>16169</v>
      </c>
      <c r="QOT1" t="s">
        <v>16170</v>
      </c>
      <c r="QOU1" t="s">
        <v>16171</v>
      </c>
      <c r="QOV1" t="s">
        <v>16172</v>
      </c>
      <c r="QOW1" t="s">
        <v>16173</v>
      </c>
      <c r="QOX1" t="s">
        <v>16174</v>
      </c>
      <c r="QOY1" t="s">
        <v>16175</v>
      </c>
      <c r="QOZ1" t="s">
        <v>16176</v>
      </c>
      <c r="QPA1" t="s">
        <v>16177</v>
      </c>
      <c r="QPB1" t="s">
        <v>16178</v>
      </c>
      <c r="QPC1" t="s">
        <v>16179</v>
      </c>
      <c r="QPD1" t="s">
        <v>16180</v>
      </c>
      <c r="QPE1" t="s">
        <v>16181</v>
      </c>
      <c r="QPF1" t="s">
        <v>16182</v>
      </c>
      <c r="QPG1" t="s">
        <v>16183</v>
      </c>
      <c r="QPH1" t="s">
        <v>16184</v>
      </c>
      <c r="QPI1" t="s">
        <v>16185</v>
      </c>
      <c r="QPJ1" t="s">
        <v>16186</v>
      </c>
      <c r="QPK1" t="s">
        <v>16187</v>
      </c>
      <c r="QPL1" t="s">
        <v>16188</v>
      </c>
      <c r="QPM1" t="s">
        <v>16189</v>
      </c>
      <c r="QPN1" t="s">
        <v>16190</v>
      </c>
      <c r="QPO1" t="s">
        <v>16191</v>
      </c>
      <c r="QPP1" t="s">
        <v>16192</v>
      </c>
      <c r="QPQ1" t="s">
        <v>16193</v>
      </c>
      <c r="QPR1" t="s">
        <v>16194</v>
      </c>
      <c r="QPS1" t="s">
        <v>16195</v>
      </c>
      <c r="QPT1" t="s">
        <v>16196</v>
      </c>
      <c r="QPU1" t="s">
        <v>16197</v>
      </c>
      <c r="QPV1" t="s">
        <v>16198</v>
      </c>
      <c r="QPW1" t="s">
        <v>16199</v>
      </c>
      <c r="QPX1" t="s">
        <v>16200</v>
      </c>
      <c r="QPY1" t="s">
        <v>16201</v>
      </c>
      <c r="QPZ1" t="s">
        <v>16202</v>
      </c>
      <c r="QQA1" t="s">
        <v>16203</v>
      </c>
      <c r="QQB1" t="s">
        <v>16204</v>
      </c>
      <c r="QQC1" t="s">
        <v>16205</v>
      </c>
      <c r="QQD1" t="s">
        <v>16206</v>
      </c>
      <c r="QQE1" t="s">
        <v>16207</v>
      </c>
      <c r="QQF1" t="s">
        <v>16208</v>
      </c>
      <c r="QQG1" t="s">
        <v>16209</v>
      </c>
      <c r="QQH1" t="s">
        <v>16210</v>
      </c>
      <c r="QQI1" t="s">
        <v>16211</v>
      </c>
      <c r="QQJ1" t="s">
        <v>16212</v>
      </c>
      <c r="QQK1" t="s">
        <v>16213</v>
      </c>
      <c r="QQL1" t="s">
        <v>16214</v>
      </c>
      <c r="QQM1" t="s">
        <v>16215</v>
      </c>
      <c r="QQN1" t="s">
        <v>16216</v>
      </c>
      <c r="QQO1" t="s">
        <v>16217</v>
      </c>
      <c r="QQP1" t="s">
        <v>16218</v>
      </c>
      <c r="QQQ1" t="s">
        <v>16219</v>
      </c>
      <c r="QQR1" t="s">
        <v>16220</v>
      </c>
      <c r="QQS1" t="s">
        <v>16221</v>
      </c>
      <c r="QQT1" t="s">
        <v>16222</v>
      </c>
      <c r="QQU1" t="s">
        <v>16223</v>
      </c>
      <c r="QQV1" t="s">
        <v>16224</v>
      </c>
      <c r="QQW1" t="s">
        <v>16225</v>
      </c>
      <c r="QQX1" t="s">
        <v>16226</v>
      </c>
      <c r="QQY1" t="s">
        <v>16227</v>
      </c>
      <c r="QQZ1" t="s">
        <v>16228</v>
      </c>
      <c r="QRA1" t="s">
        <v>16229</v>
      </c>
      <c r="QRB1" t="s">
        <v>16230</v>
      </c>
      <c r="QRC1" t="s">
        <v>16231</v>
      </c>
      <c r="QRD1" t="s">
        <v>16232</v>
      </c>
      <c r="QRE1" t="s">
        <v>16233</v>
      </c>
      <c r="QRF1" t="s">
        <v>16234</v>
      </c>
      <c r="QRG1" t="s">
        <v>16235</v>
      </c>
      <c r="QRH1" t="s">
        <v>16236</v>
      </c>
      <c r="QRI1" t="s">
        <v>16237</v>
      </c>
      <c r="QRJ1" t="s">
        <v>16238</v>
      </c>
      <c r="QRK1" t="s">
        <v>16239</v>
      </c>
      <c r="QRL1" t="s">
        <v>16240</v>
      </c>
      <c r="QRM1" t="s">
        <v>16241</v>
      </c>
      <c r="QRN1" t="s">
        <v>16242</v>
      </c>
      <c r="QRO1" t="s">
        <v>16243</v>
      </c>
      <c r="QRP1" t="s">
        <v>16244</v>
      </c>
      <c r="QRQ1" t="s">
        <v>16245</v>
      </c>
      <c r="QRR1" t="s">
        <v>16246</v>
      </c>
      <c r="QRS1" t="s">
        <v>16247</v>
      </c>
      <c r="QRT1" t="s">
        <v>16248</v>
      </c>
      <c r="QRU1" t="s">
        <v>16249</v>
      </c>
      <c r="QRV1" t="s">
        <v>16250</v>
      </c>
      <c r="QRW1" t="s">
        <v>16251</v>
      </c>
      <c r="QRX1" t="s">
        <v>16252</v>
      </c>
      <c r="QRY1" t="s">
        <v>16253</v>
      </c>
      <c r="QRZ1" t="s">
        <v>16254</v>
      </c>
      <c r="QSA1" t="s">
        <v>16255</v>
      </c>
      <c r="QSB1" t="s">
        <v>16256</v>
      </c>
      <c r="QSC1" t="s">
        <v>16257</v>
      </c>
      <c r="QSD1" t="s">
        <v>16258</v>
      </c>
      <c r="QSE1" t="s">
        <v>16259</v>
      </c>
      <c r="QSF1" t="s">
        <v>16260</v>
      </c>
      <c r="QSG1" t="s">
        <v>16261</v>
      </c>
      <c r="QSH1" t="s">
        <v>16262</v>
      </c>
      <c r="QSI1" t="s">
        <v>16263</v>
      </c>
      <c r="QSJ1" t="s">
        <v>16264</v>
      </c>
      <c r="QSK1" t="s">
        <v>16265</v>
      </c>
      <c r="QSL1" t="s">
        <v>16266</v>
      </c>
      <c r="QSM1" t="s">
        <v>16267</v>
      </c>
      <c r="QSN1" t="s">
        <v>16268</v>
      </c>
      <c r="QSO1" t="s">
        <v>16269</v>
      </c>
      <c r="QSP1" t="s">
        <v>16270</v>
      </c>
      <c r="QSQ1" t="s">
        <v>16271</v>
      </c>
      <c r="QSR1" t="s">
        <v>16272</v>
      </c>
      <c r="QSS1" t="s">
        <v>16273</v>
      </c>
      <c r="QST1" t="s">
        <v>16274</v>
      </c>
      <c r="QSU1" t="s">
        <v>16275</v>
      </c>
      <c r="QSV1" t="s">
        <v>16276</v>
      </c>
      <c r="QSW1" t="s">
        <v>16277</v>
      </c>
      <c r="QSX1" t="s">
        <v>16278</v>
      </c>
      <c r="QSY1" t="s">
        <v>16279</v>
      </c>
      <c r="QSZ1" t="s">
        <v>16280</v>
      </c>
      <c r="QTA1" t="s">
        <v>16281</v>
      </c>
      <c r="QTB1" t="s">
        <v>16282</v>
      </c>
      <c r="QTC1" t="s">
        <v>16283</v>
      </c>
      <c r="QTD1" t="s">
        <v>16284</v>
      </c>
      <c r="QTE1" t="s">
        <v>16285</v>
      </c>
      <c r="QTF1" t="s">
        <v>16286</v>
      </c>
      <c r="QTG1" t="s">
        <v>16287</v>
      </c>
      <c r="QTH1" t="s">
        <v>16288</v>
      </c>
      <c r="QTI1" t="s">
        <v>16289</v>
      </c>
      <c r="QTJ1" t="s">
        <v>16290</v>
      </c>
      <c r="QTK1" t="s">
        <v>16291</v>
      </c>
      <c r="QTL1" t="s">
        <v>16292</v>
      </c>
      <c r="QTM1" t="s">
        <v>16293</v>
      </c>
      <c r="QTN1" t="s">
        <v>16294</v>
      </c>
      <c r="QTO1" t="s">
        <v>16295</v>
      </c>
      <c r="QTP1" t="s">
        <v>16296</v>
      </c>
      <c r="QTQ1" t="s">
        <v>16297</v>
      </c>
      <c r="QTR1" t="s">
        <v>16298</v>
      </c>
      <c r="QTS1" t="s">
        <v>16299</v>
      </c>
      <c r="QTT1" t="s">
        <v>16300</v>
      </c>
      <c r="QTU1" t="s">
        <v>16301</v>
      </c>
      <c r="QTV1" t="s">
        <v>16302</v>
      </c>
      <c r="QTW1" t="s">
        <v>16303</v>
      </c>
      <c r="QTX1" t="s">
        <v>16304</v>
      </c>
      <c r="QTY1" t="s">
        <v>16305</v>
      </c>
      <c r="QTZ1" t="s">
        <v>16306</v>
      </c>
      <c r="QUA1" t="s">
        <v>16307</v>
      </c>
      <c r="QUB1" t="s">
        <v>16308</v>
      </c>
      <c r="QUC1" t="s">
        <v>16309</v>
      </c>
      <c r="QUD1" t="s">
        <v>16310</v>
      </c>
      <c r="QUE1" t="s">
        <v>16311</v>
      </c>
      <c r="QUF1" t="s">
        <v>16312</v>
      </c>
      <c r="QUG1" t="s">
        <v>16313</v>
      </c>
      <c r="QUH1" t="s">
        <v>16314</v>
      </c>
      <c r="QUI1" t="s">
        <v>16315</v>
      </c>
      <c r="QUJ1" t="s">
        <v>16316</v>
      </c>
      <c r="QUK1" t="s">
        <v>16317</v>
      </c>
      <c r="QUL1" t="s">
        <v>16318</v>
      </c>
      <c r="QUM1" t="s">
        <v>16319</v>
      </c>
      <c r="QUN1" t="s">
        <v>16320</v>
      </c>
      <c r="QUO1" t="s">
        <v>16321</v>
      </c>
      <c r="QUP1" t="s">
        <v>16322</v>
      </c>
      <c r="QUQ1" t="s">
        <v>16323</v>
      </c>
      <c r="QUR1" t="s">
        <v>16324</v>
      </c>
      <c r="QUS1" t="s">
        <v>16325</v>
      </c>
      <c r="QUT1" t="s">
        <v>16326</v>
      </c>
      <c r="QUU1" t="s">
        <v>16327</v>
      </c>
      <c r="QUV1" t="s">
        <v>16328</v>
      </c>
      <c r="QUW1" t="s">
        <v>16329</v>
      </c>
      <c r="QUX1" t="s">
        <v>16330</v>
      </c>
      <c r="QUY1" t="s">
        <v>16331</v>
      </c>
      <c r="QUZ1" t="s">
        <v>16332</v>
      </c>
      <c r="QVA1" t="s">
        <v>16333</v>
      </c>
      <c r="QVB1" t="s">
        <v>16334</v>
      </c>
      <c r="QVC1" t="s">
        <v>16335</v>
      </c>
      <c r="QVD1" t="s">
        <v>16336</v>
      </c>
      <c r="QVE1" t="s">
        <v>16337</v>
      </c>
      <c r="QVF1" t="s">
        <v>16338</v>
      </c>
      <c r="QVG1" t="s">
        <v>16339</v>
      </c>
      <c r="QVH1" t="s">
        <v>16340</v>
      </c>
      <c r="QVI1" t="s">
        <v>16341</v>
      </c>
      <c r="QVJ1" t="s">
        <v>16342</v>
      </c>
      <c r="QVK1" t="s">
        <v>16343</v>
      </c>
      <c r="QVL1" t="s">
        <v>16344</v>
      </c>
      <c r="QVM1" t="s">
        <v>16345</v>
      </c>
      <c r="QVN1" t="s">
        <v>16346</v>
      </c>
      <c r="QVO1" t="s">
        <v>16347</v>
      </c>
      <c r="QVP1" t="s">
        <v>16348</v>
      </c>
      <c r="QVQ1" t="s">
        <v>16349</v>
      </c>
      <c r="QVR1" t="s">
        <v>16350</v>
      </c>
      <c r="QVS1" t="s">
        <v>16351</v>
      </c>
      <c r="QVT1" t="s">
        <v>16352</v>
      </c>
      <c r="QVU1" t="s">
        <v>16353</v>
      </c>
      <c r="QVV1" t="s">
        <v>16354</v>
      </c>
      <c r="QVW1" t="s">
        <v>16355</v>
      </c>
      <c r="QVX1" t="s">
        <v>16356</v>
      </c>
      <c r="QVY1" t="s">
        <v>16357</v>
      </c>
      <c r="QVZ1" t="s">
        <v>16358</v>
      </c>
      <c r="QWA1" t="s">
        <v>16359</v>
      </c>
      <c r="QWB1" t="s">
        <v>16360</v>
      </c>
      <c r="QWC1" t="s">
        <v>16361</v>
      </c>
      <c r="QWD1" t="s">
        <v>16362</v>
      </c>
      <c r="QWE1" t="s">
        <v>16363</v>
      </c>
      <c r="QWF1" t="s">
        <v>16364</v>
      </c>
      <c r="QWG1" t="s">
        <v>16365</v>
      </c>
      <c r="QWH1" t="s">
        <v>16366</v>
      </c>
      <c r="QWI1" t="s">
        <v>16367</v>
      </c>
      <c r="QWJ1" t="s">
        <v>16368</v>
      </c>
      <c r="QWK1" t="s">
        <v>16369</v>
      </c>
      <c r="QWL1" t="s">
        <v>16370</v>
      </c>
      <c r="QWM1" t="s">
        <v>16371</v>
      </c>
      <c r="QWN1" t="s">
        <v>16372</v>
      </c>
      <c r="QWO1" t="s">
        <v>16373</v>
      </c>
      <c r="QWP1" t="s">
        <v>16374</v>
      </c>
      <c r="QWQ1" t="s">
        <v>16375</v>
      </c>
      <c r="QWR1" t="s">
        <v>16376</v>
      </c>
      <c r="QWS1" t="s">
        <v>16377</v>
      </c>
      <c r="QWT1" t="s">
        <v>16378</v>
      </c>
      <c r="QWU1" t="s">
        <v>16379</v>
      </c>
      <c r="QWV1" t="s">
        <v>16380</v>
      </c>
      <c r="QWW1" t="s">
        <v>16381</v>
      </c>
      <c r="QWX1" t="s">
        <v>16382</v>
      </c>
      <c r="QWY1" t="s">
        <v>16383</v>
      </c>
      <c r="QWZ1" t="s">
        <v>16384</v>
      </c>
      <c r="QXA1" t="s">
        <v>16385</v>
      </c>
      <c r="QXB1" t="s">
        <v>16386</v>
      </c>
      <c r="QXC1" t="s">
        <v>16387</v>
      </c>
      <c r="QXD1" t="s">
        <v>16388</v>
      </c>
      <c r="QXE1" t="s">
        <v>16389</v>
      </c>
      <c r="QXF1" t="s">
        <v>16390</v>
      </c>
      <c r="QXG1" t="s">
        <v>16391</v>
      </c>
      <c r="QXH1" t="s">
        <v>16392</v>
      </c>
      <c r="QXI1" t="s">
        <v>16393</v>
      </c>
      <c r="QXJ1" t="s">
        <v>16394</v>
      </c>
      <c r="QXK1" t="s">
        <v>16395</v>
      </c>
      <c r="QXL1" t="s">
        <v>16396</v>
      </c>
      <c r="QXM1" t="s">
        <v>16397</v>
      </c>
      <c r="QXN1" t="s">
        <v>16398</v>
      </c>
      <c r="QXO1" t="s">
        <v>16399</v>
      </c>
      <c r="QXP1" t="s">
        <v>16400</v>
      </c>
      <c r="QXQ1" t="s">
        <v>16401</v>
      </c>
      <c r="QXR1" t="s">
        <v>16402</v>
      </c>
      <c r="QXS1" t="s">
        <v>16403</v>
      </c>
      <c r="QXT1" t="s">
        <v>16404</v>
      </c>
      <c r="QXU1" t="s">
        <v>16405</v>
      </c>
      <c r="QXV1" t="s">
        <v>16406</v>
      </c>
      <c r="QXW1" t="s">
        <v>16407</v>
      </c>
      <c r="QXX1" t="s">
        <v>16408</v>
      </c>
      <c r="QXY1" t="s">
        <v>16409</v>
      </c>
      <c r="QXZ1" t="s">
        <v>16410</v>
      </c>
      <c r="QYA1" t="s">
        <v>16411</v>
      </c>
      <c r="QYB1" t="s">
        <v>16412</v>
      </c>
      <c r="QYC1" t="s">
        <v>16413</v>
      </c>
      <c r="QYD1" t="s">
        <v>16414</v>
      </c>
      <c r="QYE1" t="s">
        <v>16415</v>
      </c>
      <c r="QYF1" t="s">
        <v>16416</v>
      </c>
      <c r="QYG1" t="s">
        <v>16417</v>
      </c>
      <c r="QYH1" t="s">
        <v>16418</v>
      </c>
      <c r="QYI1" t="s">
        <v>16419</v>
      </c>
      <c r="QYJ1" t="s">
        <v>16420</v>
      </c>
      <c r="QYK1" t="s">
        <v>16421</v>
      </c>
      <c r="QYL1" t="s">
        <v>16422</v>
      </c>
      <c r="QYM1" t="s">
        <v>16423</v>
      </c>
      <c r="QYN1" t="s">
        <v>16424</v>
      </c>
      <c r="QYO1" t="s">
        <v>16425</v>
      </c>
      <c r="QYP1" t="s">
        <v>16426</v>
      </c>
      <c r="QYQ1" t="s">
        <v>16427</v>
      </c>
      <c r="QYR1" t="s">
        <v>16428</v>
      </c>
      <c r="QYS1" t="s">
        <v>16429</v>
      </c>
      <c r="QYT1" t="s">
        <v>16430</v>
      </c>
      <c r="QYU1" t="s">
        <v>16431</v>
      </c>
      <c r="QYV1" t="s">
        <v>16432</v>
      </c>
      <c r="QYW1" t="s">
        <v>16433</v>
      </c>
      <c r="QYX1" t="s">
        <v>16434</v>
      </c>
      <c r="QYY1" t="s">
        <v>16435</v>
      </c>
      <c r="QYZ1" t="s">
        <v>16436</v>
      </c>
      <c r="QZA1" t="s">
        <v>16437</v>
      </c>
      <c r="QZB1" t="s">
        <v>16438</v>
      </c>
      <c r="QZC1" t="s">
        <v>16439</v>
      </c>
      <c r="QZD1" t="s">
        <v>16440</v>
      </c>
      <c r="QZE1" t="s">
        <v>16441</v>
      </c>
      <c r="QZF1" t="s">
        <v>16442</v>
      </c>
      <c r="QZG1" t="s">
        <v>16443</v>
      </c>
      <c r="QZH1" t="s">
        <v>16444</v>
      </c>
      <c r="QZI1" t="s">
        <v>16445</v>
      </c>
      <c r="QZJ1" t="s">
        <v>16446</v>
      </c>
      <c r="QZK1" t="s">
        <v>16447</v>
      </c>
      <c r="QZL1" t="s">
        <v>16448</v>
      </c>
      <c r="QZM1" t="s">
        <v>16449</v>
      </c>
      <c r="QZN1" t="s">
        <v>16450</v>
      </c>
      <c r="QZO1" t="s">
        <v>16451</v>
      </c>
      <c r="QZP1" t="s">
        <v>16452</v>
      </c>
      <c r="QZQ1" t="s">
        <v>16453</v>
      </c>
      <c r="QZR1" t="s">
        <v>16454</v>
      </c>
      <c r="QZS1" t="s">
        <v>16455</v>
      </c>
      <c r="QZT1" t="s">
        <v>16456</v>
      </c>
      <c r="QZU1" t="s">
        <v>16457</v>
      </c>
      <c r="QZV1" t="s">
        <v>16458</v>
      </c>
      <c r="QZW1" t="s">
        <v>16459</v>
      </c>
      <c r="QZX1" t="s">
        <v>16460</v>
      </c>
      <c r="QZY1" t="s">
        <v>16461</v>
      </c>
      <c r="QZZ1" t="s">
        <v>16462</v>
      </c>
      <c r="RAA1" t="s">
        <v>16463</v>
      </c>
      <c r="RAB1" t="s">
        <v>16464</v>
      </c>
      <c r="RAC1" t="s">
        <v>16465</v>
      </c>
      <c r="RAD1" t="s">
        <v>16466</v>
      </c>
      <c r="RAE1" t="s">
        <v>16467</v>
      </c>
      <c r="RAF1" t="s">
        <v>16468</v>
      </c>
      <c r="RAG1" t="s">
        <v>16469</v>
      </c>
      <c r="RAH1" t="s">
        <v>16470</v>
      </c>
      <c r="RAI1" t="s">
        <v>16471</v>
      </c>
      <c r="RAJ1" t="s">
        <v>16472</v>
      </c>
      <c r="RAK1" t="s">
        <v>16473</v>
      </c>
      <c r="RAL1" t="s">
        <v>16474</v>
      </c>
      <c r="RAM1" t="s">
        <v>16475</v>
      </c>
      <c r="RAN1" t="s">
        <v>16476</v>
      </c>
      <c r="RAO1" t="s">
        <v>16477</v>
      </c>
      <c r="RAP1" t="s">
        <v>16478</v>
      </c>
      <c r="RAQ1" t="s">
        <v>16479</v>
      </c>
      <c r="RAR1" t="s">
        <v>16480</v>
      </c>
      <c r="RAS1" t="s">
        <v>16481</v>
      </c>
      <c r="RAT1" t="s">
        <v>16482</v>
      </c>
      <c r="RAU1" t="s">
        <v>16483</v>
      </c>
      <c r="RAV1" t="s">
        <v>16484</v>
      </c>
      <c r="RAW1" t="s">
        <v>16485</v>
      </c>
      <c r="RAX1" t="s">
        <v>16486</v>
      </c>
      <c r="RAY1" t="s">
        <v>16487</v>
      </c>
      <c r="RAZ1" t="s">
        <v>16488</v>
      </c>
      <c r="RBA1" t="s">
        <v>16489</v>
      </c>
      <c r="RBB1" t="s">
        <v>16490</v>
      </c>
      <c r="RBC1" t="s">
        <v>16491</v>
      </c>
      <c r="RBD1" t="s">
        <v>16492</v>
      </c>
      <c r="RBE1" t="s">
        <v>16493</v>
      </c>
      <c r="RBF1" t="s">
        <v>16494</v>
      </c>
      <c r="RBG1" t="s">
        <v>16495</v>
      </c>
      <c r="RBH1" t="s">
        <v>16496</v>
      </c>
      <c r="RBI1" t="s">
        <v>16497</v>
      </c>
      <c r="RBJ1" t="s">
        <v>16498</v>
      </c>
      <c r="RBK1" t="s">
        <v>16499</v>
      </c>
      <c r="RBL1" t="s">
        <v>16500</v>
      </c>
      <c r="RBM1" t="s">
        <v>16501</v>
      </c>
      <c r="RBN1" t="s">
        <v>16502</v>
      </c>
      <c r="RBO1" t="s">
        <v>16503</v>
      </c>
      <c r="RBP1" t="s">
        <v>16504</v>
      </c>
      <c r="RBQ1" t="s">
        <v>16505</v>
      </c>
      <c r="RBR1" t="s">
        <v>16506</v>
      </c>
      <c r="RBS1" t="s">
        <v>16507</v>
      </c>
      <c r="RBT1" t="s">
        <v>16508</v>
      </c>
      <c r="RBU1" t="s">
        <v>16509</v>
      </c>
      <c r="RBV1" t="s">
        <v>16510</v>
      </c>
      <c r="RBW1" t="s">
        <v>16511</v>
      </c>
      <c r="RBX1" t="s">
        <v>16512</v>
      </c>
      <c r="RBY1" t="s">
        <v>16513</v>
      </c>
      <c r="RBZ1" t="s">
        <v>16514</v>
      </c>
      <c r="RCA1" t="s">
        <v>16515</v>
      </c>
      <c r="RCB1" t="s">
        <v>16516</v>
      </c>
      <c r="RCC1" t="s">
        <v>16517</v>
      </c>
      <c r="RCD1" t="s">
        <v>16518</v>
      </c>
      <c r="RCE1" t="s">
        <v>16519</v>
      </c>
      <c r="RCF1" t="s">
        <v>16520</v>
      </c>
      <c r="RCG1" t="s">
        <v>16521</v>
      </c>
      <c r="RCH1" t="s">
        <v>16522</v>
      </c>
      <c r="RCI1" t="s">
        <v>16523</v>
      </c>
      <c r="RCJ1" t="s">
        <v>16524</v>
      </c>
      <c r="RCK1" t="s">
        <v>16525</v>
      </c>
      <c r="RCL1" t="s">
        <v>16526</v>
      </c>
      <c r="RCM1" t="s">
        <v>16527</v>
      </c>
      <c r="RCN1" t="s">
        <v>16528</v>
      </c>
      <c r="RCO1" t="s">
        <v>16529</v>
      </c>
      <c r="RCP1" t="s">
        <v>16530</v>
      </c>
      <c r="RCQ1" t="s">
        <v>16531</v>
      </c>
      <c r="RCR1" t="s">
        <v>16532</v>
      </c>
      <c r="RCS1" t="s">
        <v>16533</v>
      </c>
      <c r="RCT1" t="s">
        <v>16534</v>
      </c>
      <c r="RCU1" t="s">
        <v>16535</v>
      </c>
      <c r="RCV1" t="s">
        <v>16536</v>
      </c>
      <c r="RCW1" t="s">
        <v>16537</v>
      </c>
      <c r="RCX1" t="s">
        <v>16538</v>
      </c>
      <c r="RCY1" t="s">
        <v>16539</v>
      </c>
      <c r="RCZ1" t="s">
        <v>16540</v>
      </c>
      <c r="RDA1" t="s">
        <v>16541</v>
      </c>
      <c r="RDB1" t="s">
        <v>16542</v>
      </c>
      <c r="RDC1" t="s">
        <v>16543</v>
      </c>
      <c r="RDD1" t="s">
        <v>16544</v>
      </c>
      <c r="RDE1" t="s">
        <v>16545</v>
      </c>
      <c r="RDF1" t="s">
        <v>16546</v>
      </c>
      <c r="RDG1" t="s">
        <v>16547</v>
      </c>
      <c r="RDH1" t="s">
        <v>16548</v>
      </c>
      <c r="RDI1" t="s">
        <v>16549</v>
      </c>
      <c r="RDJ1" t="s">
        <v>16550</v>
      </c>
      <c r="RDK1" t="s">
        <v>16551</v>
      </c>
      <c r="RDL1" t="s">
        <v>16552</v>
      </c>
      <c r="RDM1" t="s">
        <v>16553</v>
      </c>
      <c r="RDN1" t="s">
        <v>16554</v>
      </c>
      <c r="RDO1" t="s">
        <v>16555</v>
      </c>
      <c r="RDP1" t="s">
        <v>16556</v>
      </c>
      <c r="RDQ1" t="s">
        <v>16557</v>
      </c>
      <c r="RDR1" t="s">
        <v>16558</v>
      </c>
      <c r="RDS1" t="s">
        <v>16559</v>
      </c>
      <c r="RDT1" t="s">
        <v>16560</v>
      </c>
      <c r="RDU1" t="s">
        <v>16561</v>
      </c>
      <c r="RDV1" t="s">
        <v>16562</v>
      </c>
      <c r="RDW1" t="s">
        <v>16563</v>
      </c>
      <c r="RDX1" t="s">
        <v>16564</v>
      </c>
      <c r="RDY1" t="s">
        <v>16565</v>
      </c>
      <c r="RDZ1" t="s">
        <v>16566</v>
      </c>
      <c r="REA1" t="s">
        <v>16567</v>
      </c>
      <c r="REB1" t="s">
        <v>16568</v>
      </c>
      <c r="REC1" t="s">
        <v>16569</v>
      </c>
      <c r="RED1" t="s">
        <v>16570</v>
      </c>
      <c r="REE1" t="s">
        <v>16571</v>
      </c>
      <c r="REF1" t="s">
        <v>16572</v>
      </c>
      <c r="REG1" t="s">
        <v>16573</v>
      </c>
      <c r="REH1" t="s">
        <v>16574</v>
      </c>
      <c r="REI1" t="s">
        <v>16575</v>
      </c>
      <c r="REJ1" t="s">
        <v>16576</v>
      </c>
      <c r="REK1" t="s">
        <v>16577</v>
      </c>
      <c r="REL1" t="s">
        <v>16578</v>
      </c>
      <c r="REM1" t="s">
        <v>16579</v>
      </c>
      <c r="REN1" t="s">
        <v>16580</v>
      </c>
      <c r="REO1" t="s">
        <v>16581</v>
      </c>
      <c r="REP1" t="s">
        <v>16582</v>
      </c>
      <c r="REQ1" t="s">
        <v>16583</v>
      </c>
      <c r="RER1" t="s">
        <v>16584</v>
      </c>
      <c r="RES1" t="s">
        <v>16585</v>
      </c>
      <c r="RET1" t="s">
        <v>16586</v>
      </c>
      <c r="REU1" t="s">
        <v>16587</v>
      </c>
      <c r="REV1" t="s">
        <v>16588</v>
      </c>
      <c r="REW1" t="s">
        <v>16589</v>
      </c>
      <c r="REX1" t="s">
        <v>16590</v>
      </c>
      <c r="REY1" t="s">
        <v>16591</v>
      </c>
      <c r="REZ1" t="s">
        <v>16592</v>
      </c>
      <c r="RFA1" t="s">
        <v>16593</v>
      </c>
      <c r="RFB1" t="s">
        <v>16594</v>
      </c>
      <c r="RFC1" t="s">
        <v>16595</v>
      </c>
      <c r="RFD1" t="s">
        <v>16596</v>
      </c>
      <c r="RFE1" t="s">
        <v>16597</v>
      </c>
      <c r="RFF1" t="s">
        <v>16598</v>
      </c>
      <c r="RFG1" t="s">
        <v>16599</v>
      </c>
      <c r="RFH1" t="s">
        <v>16600</v>
      </c>
      <c r="RFI1" t="s">
        <v>16601</v>
      </c>
      <c r="RFJ1" t="s">
        <v>16602</v>
      </c>
      <c r="RFK1" t="s">
        <v>16603</v>
      </c>
      <c r="RFL1" t="s">
        <v>16604</v>
      </c>
      <c r="RFM1" t="s">
        <v>16605</v>
      </c>
      <c r="RFN1" t="s">
        <v>16606</v>
      </c>
      <c r="RFO1" t="s">
        <v>16607</v>
      </c>
      <c r="RFP1" t="s">
        <v>16608</v>
      </c>
      <c r="RFQ1" t="s">
        <v>16609</v>
      </c>
      <c r="RFR1" t="s">
        <v>16610</v>
      </c>
      <c r="RFS1" t="s">
        <v>16611</v>
      </c>
      <c r="RFT1" t="s">
        <v>16612</v>
      </c>
      <c r="RFU1" t="s">
        <v>16613</v>
      </c>
      <c r="RFV1" t="s">
        <v>16614</v>
      </c>
      <c r="RFW1" t="s">
        <v>16615</v>
      </c>
      <c r="RFX1" t="s">
        <v>16616</v>
      </c>
      <c r="RFY1" t="s">
        <v>16617</v>
      </c>
      <c r="RFZ1" t="s">
        <v>16618</v>
      </c>
      <c r="RGA1" t="s">
        <v>16619</v>
      </c>
      <c r="RGB1" t="s">
        <v>16620</v>
      </c>
      <c r="RGC1" t="s">
        <v>16621</v>
      </c>
      <c r="RGD1" t="s">
        <v>16622</v>
      </c>
      <c r="RGE1" t="s">
        <v>16623</v>
      </c>
      <c r="RGF1" t="s">
        <v>16624</v>
      </c>
      <c r="RGG1" t="s">
        <v>16625</v>
      </c>
      <c r="RGH1" t="s">
        <v>16626</v>
      </c>
      <c r="RGI1" t="s">
        <v>16627</v>
      </c>
      <c r="RGJ1" t="s">
        <v>16628</v>
      </c>
      <c r="RGK1" t="s">
        <v>16629</v>
      </c>
      <c r="RGL1" t="s">
        <v>16630</v>
      </c>
      <c r="RGM1" t="s">
        <v>16631</v>
      </c>
      <c r="RGN1" t="s">
        <v>16632</v>
      </c>
      <c r="RGO1" t="s">
        <v>16633</v>
      </c>
      <c r="RGP1" t="s">
        <v>16634</v>
      </c>
      <c r="RGQ1" t="s">
        <v>16635</v>
      </c>
      <c r="RGR1" t="s">
        <v>16636</v>
      </c>
      <c r="RGS1" t="s">
        <v>16637</v>
      </c>
      <c r="RGT1" t="s">
        <v>16638</v>
      </c>
      <c r="RGU1" t="s">
        <v>16639</v>
      </c>
      <c r="RGV1" t="s">
        <v>16640</v>
      </c>
      <c r="RGW1" t="s">
        <v>16641</v>
      </c>
      <c r="RGX1" t="s">
        <v>16642</v>
      </c>
      <c r="RGY1" t="s">
        <v>16643</v>
      </c>
      <c r="RGZ1" t="s">
        <v>16644</v>
      </c>
      <c r="RHA1" t="s">
        <v>16645</v>
      </c>
      <c r="RHB1" t="s">
        <v>16646</v>
      </c>
      <c r="RHC1" t="s">
        <v>16647</v>
      </c>
      <c r="RHD1" t="s">
        <v>16648</v>
      </c>
      <c r="RHE1" t="s">
        <v>16649</v>
      </c>
      <c r="RHF1" t="s">
        <v>16650</v>
      </c>
      <c r="RHG1" t="s">
        <v>16651</v>
      </c>
      <c r="RHH1" t="s">
        <v>16652</v>
      </c>
      <c r="RHI1" t="s">
        <v>16653</v>
      </c>
      <c r="RHJ1" t="s">
        <v>16654</v>
      </c>
      <c r="RHK1" t="s">
        <v>16655</v>
      </c>
      <c r="RHL1" t="s">
        <v>16656</v>
      </c>
      <c r="RHM1" t="s">
        <v>16657</v>
      </c>
      <c r="RHN1" t="s">
        <v>16658</v>
      </c>
      <c r="RHO1" t="s">
        <v>16659</v>
      </c>
      <c r="RHP1" t="s">
        <v>16660</v>
      </c>
      <c r="RHQ1" t="s">
        <v>16661</v>
      </c>
      <c r="RHR1" t="s">
        <v>16662</v>
      </c>
      <c r="RHS1" t="s">
        <v>16663</v>
      </c>
      <c r="RHT1" t="s">
        <v>16664</v>
      </c>
      <c r="RHU1" t="s">
        <v>16665</v>
      </c>
      <c r="RHV1" t="s">
        <v>16666</v>
      </c>
      <c r="RHW1" t="s">
        <v>16667</v>
      </c>
      <c r="RHX1" t="s">
        <v>16668</v>
      </c>
      <c r="RHY1" t="s">
        <v>16669</v>
      </c>
      <c r="RHZ1" t="s">
        <v>16670</v>
      </c>
      <c r="RIA1" t="s">
        <v>16671</v>
      </c>
      <c r="RIB1" t="s">
        <v>16672</v>
      </c>
      <c r="RIC1" t="s">
        <v>16673</v>
      </c>
      <c r="RID1" t="s">
        <v>16674</v>
      </c>
      <c r="RIE1" t="s">
        <v>16675</v>
      </c>
      <c r="RIF1" t="s">
        <v>16676</v>
      </c>
      <c r="RIG1" t="s">
        <v>16677</v>
      </c>
      <c r="RIH1" t="s">
        <v>16678</v>
      </c>
      <c r="RII1" t="s">
        <v>16679</v>
      </c>
      <c r="RIJ1" t="s">
        <v>16680</v>
      </c>
      <c r="RIK1" t="s">
        <v>16681</v>
      </c>
      <c r="RIL1" t="s">
        <v>16682</v>
      </c>
      <c r="RIM1" t="s">
        <v>16683</v>
      </c>
      <c r="RIN1" t="s">
        <v>16684</v>
      </c>
      <c r="RIO1" t="s">
        <v>16685</v>
      </c>
      <c r="RIP1" t="s">
        <v>16686</v>
      </c>
      <c r="RIQ1" t="s">
        <v>16687</v>
      </c>
      <c r="RIR1" t="s">
        <v>16688</v>
      </c>
      <c r="RIS1" t="s">
        <v>16689</v>
      </c>
      <c r="RIT1" t="s">
        <v>16690</v>
      </c>
      <c r="RIU1" t="s">
        <v>16691</v>
      </c>
      <c r="RIV1" t="s">
        <v>16692</v>
      </c>
      <c r="RIW1" t="s">
        <v>16693</v>
      </c>
      <c r="RIX1" t="s">
        <v>16694</v>
      </c>
      <c r="RIY1" t="s">
        <v>16695</v>
      </c>
      <c r="RIZ1" t="s">
        <v>16696</v>
      </c>
      <c r="RJA1" t="s">
        <v>16697</v>
      </c>
      <c r="RJB1" t="s">
        <v>16698</v>
      </c>
      <c r="RJC1" t="s">
        <v>16699</v>
      </c>
      <c r="RJD1" t="s">
        <v>16700</v>
      </c>
      <c r="RJE1" t="s">
        <v>16701</v>
      </c>
      <c r="RJF1" t="s">
        <v>16702</v>
      </c>
      <c r="RJG1" t="s">
        <v>16703</v>
      </c>
      <c r="RJH1" t="s">
        <v>16704</v>
      </c>
      <c r="RJI1" t="s">
        <v>16705</v>
      </c>
      <c r="RJJ1" t="s">
        <v>16706</v>
      </c>
      <c r="RJK1" t="s">
        <v>16707</v>
      </c>
      <c r="RJL1" t="s">
        <v>16708</v>
      </c>
      <c r="RJM1" t="s">
        <v>16709</v>
      </c>
      <c r="RJN1" t="s">
        <v>16710</v>
      </c>
      <c r="RJO1" t="s">
        <v>16711</v>
      </c>
      <c r="RJP1" t="s">
        <v>16712</v>
      </c>
      <c r="RJQ1" t="s">
        <v>16713</v>
      </c>
      <c r="RJR1" t="s">
        <v>16714</v>
      </c>
      <c r="RJS1" t="s">
        <v>16715</v>
      </c>
      <c r="RJT1" t="s">
        <v>16716</v>
      </c>
      <c r="RJU1" t="s">
        <v>16717</v>
      </c>
      <c r="RJV1" t="s">
        <v>16718</v>
      </c>
      <c r="RJW1" t="s">
        <v>16719</v>
      </c>
      <c r="RJX1" t="s">
        <v>16720</v>
      </c>
      <c r="RJY1" t="s">
        <v>16721</v>
      </c>
      <c r="RJZ1" t="s">
        <v>16722</v>
      </c>
      <c r="RKA1" t="s">
        <v>16723</v>
      </c>
      <c r="RKB1" t="s">
        <v>16724</v>
      </c>
      <c r="RKC1" t="s">
        <v>16725</v>
      </c>
      <c r="RKD1" t="s">
        <v>16726</v>
      </c>
      <c r="RKE1" t="s">
        <v>16727</v>
      </c>
      <c r="RKF1" t="s">
        <v>16728</v>
      </c>
      <c r="RKG1" t="s">
        <v>16729</v>
      </c>
      <c r="RKH1" t="s">
        <v>16730</v>
      </c>
      <c r="RKI1" t="s">
        <v>16731</v>
      </c>
      <c r="RKJ1" t="s">
        <v>16732</v>
      </c>
      <c r="RKK1" t="s">
        <v>16733</v>
      </c>
      <c r="RKL1" t="s">
        <v>16734</v>
      </c>
      <c r="RKM1" t="s">
        <v>16735</v>
      </c>
      <c r="RKN1" t="s">
        <v>16736</v>
      </c>
      <c r="RKO1" t="s">
        <v>16737</v>
      </c>
      <c r="RKP1" t="s">
        <v>16738</v>
      </c>
      <c r="RKQ1" t="s">
        <v>16739</v>
      </c>
      <c r="RKR1" t="s">
        <v>16740</v>
      </c>
      <c r="RKS1" t="s">
        <v>16741</v>
      </c>
      <c r="RKT1" t="s">
        <v>16742</v>
      </c>
      <c r="RKU1" t="s">
        <v>16743</v>
      </c>
      <c r="RKV1" t="s">
        <v>16744</v>
      </c>
      <c r="RKW1" t="s">
        <v>16745</v>
      </c>
      <c r="RKX1" t="s">
        <v>16746</v>
      </c>
      <c r="RKY1" t="s">
        <v>16747</v>
      </c>
      <c r="RKZ1" t="s">
        <v>16748</v>
      </c>
      <c r="RLA1" t="s">
        <v>16749</v>
      </c>
      <c r="RLB1" t="s">
        <v>16750</v>
      </c>
      <c r="RLC1" t="s">
        <v>16751</v>
      </c>
      <c r="RLD1" t="s">
        <v>16752</v>
      </c>
      <c r="RLE1" t="s">
        <v>16753</v>
      </c>
      <c r="RLF1" t="s">
        <v>16754</v>
      </c>
      <c r="RLG1" t="s">
        <v>16755</v>
      </c>
      <c r="RLH1" t="s">
        <v>16756</v>
      </c>
      <c r="RLI1" t="s">
        <v>16757</v>
      </c>
      <c r="RLJ1" t="s">
        <v>16758</v>
      </c>
      <c r="RLK1" t="s">
        <v>16759</v>
      </c>
      <c r="RLL1" t="s">
        <v>16760</v>
      </c>
      <c r="RLM1" t="s">
        <v>16761</v>
      </c>
      <c r="RLN1" t="s">
        <v>16762</v>
      </c>
      <c r="RLO1" t="s">
        <v>16763</v>
      </c>
      <c r="RLP1" t="s">
        <v>16764</v>
      </c>
      <c r="RLQ1" t="s">
        <v>16765</v>
      </c>
      <c r="RLR1" t="s">
        <v>16766</v>
      </c>
      <c r="RLS1" t="s">
        <v>16767</v>
      </c>
      <c r="RLT1" t="s">
        <v>16768</v>
      </c>
      <c r="RLU1" t="s">
        <v>16769</v>
      </c>
      <c r="RLV1" t="s">
        <v>16770</v>
      </c>
      <c r="RLW1" t="s">
        <v>16771</v>
      </c>
      <c r="RLX1" t="s">
        <v>16772</v>
      </c>
      <c r="RLY1" t="s">
        <v>16773</v>
      </c>
      <c r="RLZ1" t="s">
        <v>16774</v>
      </c>
      <c r="RMA1" t="s">
        <v>16775</v>
      </c>
      <c r="RMB1" t="s">
        <v>16776</v>
      </c>
      <c r="RMC1" t="s">
        <v>16777</v>
      </c>
      <c r="RMD1" t="s">
        <v>16778</v>
      </c>
      <c r="RME1" t="s">
        <v>16779</v>
      </c>
      <c r="RMF1" t="s">
        <v>16780</v>
      </c>
      <c r="RMG1" t="s">
        <v>16781</v>
      </c>
      <c r="RMH1" t="s">
        <v>16782</v>
      </c>
      <c r="RMI1" t="s">
        <v>16783</v>
      </c>
      <c r="RMJ1" t="s">
        <v>16784</v>
      </c>
      <c r="RMK1" t="s">
        <v>16785</v>
      </c>
      <c r="RML1" t="s">
        <v>16786</v>
      </c>
      <c r="RMM1" t="s">
        <v>16787</v>
      </c>
      <c r="RMN1" t="s">
        <v>16788</v>
      </c>
      <c r="RMO1" t="s">
        <v>16789</v>
      </c>
      <c r="RMP1" t="s">
        <v>16790</v>
      </c>
      <c r="RMQ1" t="s">
        <v>16791</v>
      </c>
      <c r="RMR1" t="s">
        <v>16792</v>
      </c>
      <c r="RMS1" t="s">
        <v>16793</v>
      </c>
      <c r="RMT1" t="s">
        <v>16794</v>
      </c>
      <c r="RMU1" t="s">
        <v>16795</v>
      </c>
      <c r="RMV1" t="s">
        <v>16796</v>
      </c>
      <c r="RMW1" t="s">
        <v>16797</v>
      </c>
      <c r="RMX1" t="s">
        <v>16798</v>
      </c>
      <c r="RMY1" t="s">
        <v>16799</v>
      </c>
      <c r="RMZ1" t="s">
        <v>16800</v>
      </c>
      <c r="RNA1" t="s">
        <v>16801</v>
      </c>
      <c r="RNB1" t="s">
        <v>16802</v>
      </c>
      <c r="RNC1" t="s">
        <v>16803</v>
      </c>
      <c r="RND1" t="s">
        <v>16804</v>
      </c>
      <c r="RNE1" t="s">
        <v>16805</v>
      </c>
      <c r="RNF1" t="s">
        <v>16806</v>
      </c>
      <c r="RNG1" t="s">
        <v>16807</v>
      </c>
      <c r="RNH1" t="s">
        <v>16808</v>
      </c>
      <c r="RNI1" t="s">
        <v>16809</v>
      </c>
      <c r="RNJ1" t="s">
        <v>16810</v>
      </c>
      <c r="RNK1" t="s">
        <v>16811</v>
      </c>
      <c r="RNL1" t="s">
        <v>16812</v>
      </c>
      <c r="RNM1" t="s">
        <v>16813</v>
      </c>
      <c r="RNN1" t="s">
        <v>16814</v>
      </c>
      <c r="RNO1" t="s">
        <v>16815</v>
      </c>
      <c r="RNP1" t="s">
        <v>16816</v>
      </c>
      <c r="RNQ1" t="s">
        <v>16817</v>
      </c>
      <c r="RNR1" t="s">
        <v>16818</v>
      </c>
      <c r="RNS1" t="s">
        <v>16819</v>
      </c>
      <c r="RNT1" t="s">
        <v>16820</v>
      </c>
      <c r="RNU1" t="s">
        <v>16821</v>
      </c>
      <c r="RNV1" t="s">
        <v>16822</v>
      </c>
      <c r="RNW1" t="s">
        <v>16823</v>
      </c>
      <c r="RNX1" t="s">
        <v>16824</v>
      </c>
      <c r="RNY1" t="s">
        <v>16825</v>
      </c>
      <c r="RNZ1" t="s">
        <v>16826</v>
      </c>
      <c r="ROA1" t="s">
        <v>16827</v>
      </c>
      <c r="ROB1" t="s">
        <v>16828</v>
      </c>
      <c r="ROC1" t="s">
        <v>16829</v>
      </c>
      <c r="ROD1" t="s">
        <v>16830</v>
      </c>
      <c r="ROE1" t="s">
        <v>16831</v>
      </c>
      <c r="ROF1" t="s">
        <v>16832</v>
      </c>
      <c r="ROG1" t="s">
        <v>16833</v>
      </c>
      <c r="ROH1" t="s">
        <v>16834</v>
      </c>
      <c r="ROI1" t="s">
        <v>16835</v>
      </c>
      <c r="ROJ1" t="s">
        <v>16836</v>
      </c>
      <c r="ROK1" t="s">
        <v>16837</v>
      </c>
      <c r="ROL1" t="s">
        <v>16838</v>
      </c>
      <c r="ROM1" t="s">
        <v>16839</v>
      </c>
      <c r="RON1" t="s">
        <v>16840</v>
      </c>
      <c r="ROO1" t="s">
        <v>16841</v>
      </c>
      <c r="ROP1" t="s">
        <v>16842</v>
      </c>
      <c r="ROQ1" t="s">
        <v>16843</v>
      </c>
      <c r="ROR1" t="s">
        <v>16844</v>
      </c>
      <c r="ROS1" t="s">
        <v>16845</v>
      </c>
      <c r="ROT1" t="s">
        <v>16846</v>
      </c>
      <c r="ROU1" t="s">
        <v>16847</v>
      </c>
      <c r="ROV1" t="s">
        <v>16848</v>
      </c>
      <c r="ROW1" t="s">
        <v>16849</v>
      </c>
      <c r="ROX1" t="s">
        <v>16850</v>
      </c>
      <c r="ROY1" t="s">
        <v>16851</v>
      </c>
      <c r="ROZ1" t="s">
        <v>16852</v>
      </c>
      <c r="RPA1" t="s">
        <v>16853</v>
      </c>
      <c r="RPB1" t="s">
        <v>16854</v>
      </c>
      <c r="RPC1" t="s">
        <v>16855</v>
      </c>
      <c r="RPD1" t="s">
        <v>16856</v>
      </c>
      <c r="RPE1" t="s">
        <v>16857</v>
      </c>
      <c r="RPF1" t="s">
        <v>16858</v>
      </c>
      <c r="RPG1" t="s">
        <v>16859</v>
      </c>
      <c r="RPH1" t="s">
        <v>16860</v>
      </c>
      <c r="RPI1" t="s">
        <v>16861</v>
      </c>
      <c r="RPJ1" t="s">
        <v>16862</v>
      </c>
      <c r="RPK1" t="s">
        <v>16863</v>
      </c>
      <c r="RPL1" t="s">
        <v>16864</v>
      </c>
      <c r="RPM1" t="s">
        <v>16865</v>
      </c>
      <c r="RPN1" t="s">
        <v>16866</v>
      </c>
      <c r="RPO1" t="s">
        <v>16867</v>
      </c>
      <c r="RPP1" t="s">
        <v>16868</v>
      </c>
      <c r="RPQ1" t="s">
        <v>16869</v>
      </c>
      <c r="RPR1" t="s">
        <v>16870</v>
      </c>
      <c r="RPS1" t="s">
        <v>16871</v>
      </c>
      <c r="RPT1" t="s">
        <v>16872</v>
      </c>
      <c r="RPU1" t="s">
        <v>16873</v>
      </c>
      <c r="RPV1" t="s">
        <v>16874</v>
      </c>
      <c r="RPW1" t="s">
        <v>16875</v>
      </c>
      <c r="RPX1" t="s">
        <v>16876</v>
      </c>
      <c r="RPY1" t="s">
        <v>16877</v>
      </c>
      <c r="RPZ1" t="s">
        <v>16878</v>
      </c>
      <c r="RQA1" t="s">
        <v>16879</v>
      </c>
      <c r="RQB1" t="s">
        <v>16880</v>
      </c>
      <c r="RQC1" t="s">
        <v>16881</v>
      </c>
      <c r="RQD1" t="s">
        <v>16882</v>
      </c>
      <c r="RQE1" t="s">
        <v>16883</v>
      </c>
      <c r="RQF1" t="s">
        <v>16884</v>
      </c>
      <c r="RQG1" t="s">
        <v>16885</v>
      </c>
      <c r="RQH1" t="s">
        <v>16886</v>
      </c>
      <c r="RQI1" t="s">
        <v>16887</v>
      </c>
      <c r="RQJ1" t="s">
        <v>16888</v>
      </c>
      <c r="RQK1" t="s">
        <v>16889</v>
      </c>
      <c r="RQL1" t="s">
        <v>16890</v>
      </c>
      <c r="RQM1" t="s">
        <v>16891</v>
      </c>
      <c r="RQN1" t="s">
        <v>16892</v>
      </c>
      <c r="RQO1" t="s">
        <v>16893</v>
      </c>
      <c r="RQP1" t="s">
        <v>16894</v>
      </c>
      <c r="RQQ1" t="s">
        <v>16895</v>
      </c>
      <c r="RQR1" t="s">
        <v>16896</v>
      </c>
      <c r="RQS1" t="s">
        <v>16897</v>
      </c>
      <c r="RQT1" t="s">
        <v>16898</v>
      </c>
      <c r="RQU1" t="s">
        <v>16899</v>
      </c>
      <c r="RQV1" t="s">
        <v>16900</v>
      </c>
      <c r="RQW1" t="s">
        <v>16901</v>
      </c>
      <c r="RQX1" t="s">
        <v>16902</v>
      </c>
      <c r="RQY1" t="s">
        <v>16903</v>
      </c>
      <c r="RQZ1" t="s">
        <v>16904</v>
      </c>
      <c r="RRA1" t="s">
        <v>16905</v>
      </c>
      <c r="RRB1" t="s">
        <v>16906</v>
      </c>
      <c r="RRC1" t="s">
        <v>16907</v>
      </c>
      <c r="RRD1" t="s">
        <v>16908</v>
      </c>
      <c r="RRE1" t="s">
        <v>16909</v>
      </c>
      <c r="RRF1" t="s">
        <v>16910</v>
      </c>
      <c r="RRG1" t="s">
        <v>16911</v>
      </c>
      <c r="RRH1" t="s">
        <v>16912</v>
      </c>
      <c r="RRI1" t="s">
        <v>16913</v>
      </c>
      <c r="RRJ1" t="s">
        <v>16914</v>
      </c>
      <c r="RRK1" t="s">
        <v>16915</v>
      </c>
      <c r="RRL1" t="s">
        <v>16916</v>
      </c>
      <c r="RRM1" t="s">
        <v>16917</v>
      </c>
      <c r="RRN1" t="s">
        <v>16918</v>
      </c>
      <c r="RRO1" t="s">
        <v>16919</v>
      </c>
      <c r="RRP1" t="s">
        <v>16920</v>
      </c>
      <c r="RRQ1" t="s">
        <v>16921</v>
      </c>
      <c r="RRR1" t="s">
        <v>16922</v>
      </c>
      <c r="RRS1" t="s">
        <v>16923</v>
      </c>
      <c r="RRT1" t="s">
        <v>16924</v>
      </c>
      <c r="RRU1" t="s">
        <v>16925</v>
      </c>
      <c r="RRV1" t="s">
        <v>16926</v>
      </c>
      <c r="RRW1" t="s">
        <v>16927</v>
      </c>
      <c r="RRX1" t="s">
        <v>16928</v>
      </c>
      <c r="RRY1" t="s">
        <v>16929</v>
      </c>
      <c r="RRZ1" t="s">
        <v>16930</v>
      </c>
      <c r="RSA1" t="s">
        <v>16931</v>
      </c>
      <c r="RSB1" t="s">
        <v>16932</v>
      </c>
      <c r="RSC1" t="s">
        <v>16933</v>
      </c>
      <c r="RSD1" t="s">
        <v>16934</v>
      </c>
      <c r="RSE1" t="s">
        <v>16935</v>
      </c>
      <c r="RSF1" t="s">
        <v>16936</v>
      </c>
      <c r="RSG1" t="s">
        <v>16937</v>
      </c>
      <c r="RSH1" t="s">
        <v>16938</v>
      </c>
      <c r="RSI1" t="s">
        <v>16939</v>
      </c>
      <c r="RSJ1" t="s">
        <v>16940</v>
      </c>
      <c r="RSK1" t="s">
        <v>16941</v>
      </c>
      <c r="RSL1" t="s">
        <v>16942</v>
      </c>
      <c r="RSM1" t="s">
        <v>16943</v>
      </c>
      <c r="RSN1" t="s">
        <v>16944</v>
      </c>
      <c r="RSO1" t="s">
        <v>16945</v>
      </c>
      <c r="RSP1" t="s">
        <v>16946</v>
      </c>
      <c r="RSQ1" t="s">
        <v>16947</v>
      </c>
      <c r="RSR1" t="s">
        <v>16948</v>
      </c>
      <c r="RSS1" t="s">
        <v>16949</v>
      </c>
      <c r="RST1" t="s">
        <v>16950</v>
      </c>
      <c r="RSU1" t="s">
        <v>16951</v>
      </c>
      <c r="RSV1" t="s">
        <v>16952</v>
      </c>
      <c r="RSW1" t="s">
        <v>16953</v>
      </c>
      <c r="RSX1" t="s">
        <v>16954</v>
      </c>
      <c r="RSY1" t="s">
        <v>16955</v>
      </c>
      <c r="RSZ1" t="s">
        <v>16956</v>
      </c>
      <c r="RTA1" t="s">
        <v>16957</v>
      </c>
      <c r="RTB1" t="s">
        <v>16958</v>
      </c>
      <c r="RTC1" t="s">
        <v>16959</v>
      </c>
      <c r="RTD1" t="s">
        <v>16960</v>
      </c>
      <c r="RTE1" t="s">
        <v>16961</v>
      </c>
      <c r="RTF1" t="s">
        <v>16962</v>
      </c>
      <c r="RTG1" t="s">
        <v>16963</v>
      </c>
      <c r="RTH1" t="s">
        <v>16964</v>
      </c>
      <c r="RTI1" t="s">
        <v>16965</v>
      </c>
      <c r="RTJ1" t="s">
        <v>16966</v>
      </c>
      <c r="RTK1" t="s">
        <v>16967</v>
      </c>
      <c r="RTL1" t="s">
        <v>16968</v>
      </c>
      <c r="RTM1" t="s">
        <v>16969</v>
      </c>
      <c r="RTN1" t="s">
        <v>16970</v>
      </c>
      <c r="RTO1" t="s">
        <v>16971</v>
      </c>
      <c r="RTP1" t="s">
        <v>16972</v>
      </c>
      <c r="RTQ1" t="s">
        <v>16973</v>
      </c>
      <c r="RTR1" t="s">
        <v>16974</v>
      </c>
      <c r="RTS1" t="s">
        <v>16975</v>
      </c>
      <c r="RTT1" t="s">
        <v>16976</v>
      </c>
      <c r="RTU1" t="s">
        <v>16977</v>
      </c>
      <c r="RTV1" t="s">
        <v>16978</v>
      </c>
      <c r="RTW1" t="s">
        <v>16979</v>
      </c>
      <c r="RTX1" t="s">
        <v>16980</v>
      </c>
      <c r="RTY1" t="s">
        <v>16981</v>
      </c>
      <c r="RTZ1" t="s">
        <v>16982</v>
      </c>
      <c r="RUA1" t="s">
        <v>16983</v>
      </c>
      <c r="RUB1" t="s">
        <v>16984</v>
      </c>
      <c r="RUC1" t="s">
        <v>16985</v>
      </c>
      <c r="RUD1" t="s">
        <v>16986</v>
      </c>
      <c r="RUE1" t="s">
        <v>16987</v>
      </c>
      <c r="RUF1" t="s">
        <v>16988</v>
      </c>
      <c r="RUG1" t="s">
        <v>16989</v>
      </c>
      <c r="RUH1" t="s">
        <v>16990</v>
      </c>
      <c r="RUI1" t="s">
        <v>16991</v>
      </c>
      <c r="RUJ1" t="s">
        <v>16992</v>
      </c>
      <c r="RUK1" t="s">
        <v>16993</v>
      </c>
      <c r="RUL1" t="s">
        <v>16994</v>
      </c>
      <c r="RUM1" t="s">
        <v>16995</v>
      </c>
      <c r="RUN1" t="s">
        <v>16996</v>
      </c>
      <c r="RUO1" t="s">
        <v>16997</v>
      </c>
      <c r="RUP1" t="s">
        <v>16998</v>
      </c>
      <c r="RUQ1" t="s">
        <v>16999</v>
      </c>
      <c r="RUR1" t="s">
        <v>17000</v>
      </c>
      <c r="RUS1" t="s">
        <v>17001</v>
      </c>
      <c r="RUT1" t="s">
        <v>17002</v>
      </c>
      <c r="RUU1" t="s">
        <v>17003</v>
      </c>
      <c r="RUV1" t="s">
        <v>17004</v>
      </c>
      <c r="RUW1" t="s">
        <v>17005</v>
      </c>
      <c r="RUX1" t="s">
        <v>17006</v>
      </c>
      <c r="RUY1" t="s">
        <v>17007</v>
      </c>
      <c r="RUZ1" t="s">
        <v>17008</v>
      </c>
      <c r="RVA1" t="s">
        <v>17009</v>
      </c>
      <c r="RVB1" t="s">
        <v>17010</v>
      </c>
      <c r="RVC1" t="s">
        <v>17011</v>
      </c>
      <c r="RVD1" t="s">
        <v>17012</v>
      </c>
      <c r="RVE1" t="s">
        <v>17013</v>
      </c>
      <c r="RVF1" t="s">
        <v>17014</v>
      </c>
      <c r="RVG1" t="s">
        <v>17015</v>
      </c>
      <c r="RVH1" t="s">
        <v>17016</v>
      </c>
      <c r="RVI1" t="s">
        <v>17017</v>
      </c>
      <c r="RVJ1" t="s">
        <v>17018</v>
      </c>
      <c r="RVK1" t="s">
        <v>17019</v>
      </c>
      <c r="RVL1" t="s">
        <v>17020</v>
      </c>
      <c r="RVM1" t="s">
        <v>17021</v>
      </c>
      <c r="RVN1" t="s">
        <v>17022</v>
      </c>
      <c r="RVO1" t="s">
        <v>17023</v>
      </c>
      <c r="RVP1" t="s">
        <v>17024</v>
      </c>
      <c r="RVQ1" t="s">
        <v>17025</v>
      </c>
      <c r="RVR1" t="s">
        <v>17026</v>
      </c>
      <c r="RVS1" t="s">
        <v>17027</v>
      </c>
      <c r="RVT1" t="s">
        <v>17028</v>
      </c>
      <c r="RVU1" t="s">
        <v>17029</v>
      </c>
      <c r="RVV1" t="s">
        <v>17030</v>
      </c>
      <c r="RVW1" t="s">
        <v>17031</v>
      </c>
      <c r="RVX1" t="s">
        <v>17032</v>
      </c>
      <c r="RVY1" t="s">
        <v>17033</v>
      </c>
      <c r="RVZ1" t="s">
        <v>17034</v>
      </c>
      <c r="RWA1" t="s">
        <v>17035</v>
      </c>
      <c r="RWB1" t="s">
        <v>17036</v>
      </c>
      <c r="RWC1" t="s">
        <v>17037</v>
      </c>
      <c r="RWD1" t="s">
        <v>17038</v>
      </c>
      <c r="RWE1" t="s">
        <v>17039</v>
      </c>
      <c r="RWF1" t="s">
        <v>17040</v>
      </c>
      <c r="RWG1" t="s">
        <v>17041</v>
      </c>
      <c r="RWH1" t="s">
        <v>17042</v>
      </c>
      <c r="RWI1" t="s">
        <v>17043</v>
      </c>
      <c r="RWJ1" t="s">
        <v>17044</v>
      </c>
      <c r="RWK1" t="s">
        <v>17045</v>
      </c>
      <c r="RWL1" t="s">
        <v>17046</v>
      </c>
      <c r="RWM1" t="s">
        <v>17047</v>
      </c>
      <c r="RWN1" t="s">
        <v>17048</v>
      </c>
      <c r="RWO1" t="s">
        <v>17049</v>
      </c>
      <c r="RWP1" t="s">
        <v>17050</v>
      </c>
      <c r="RWQ1" t="s">
        <v>17051</v>
      </c>
      <c r="RWR1" t="s">
        <v>17052</v>
      </c>
      <c r="RWS1" t="s">
        <v>17053</v>
      </c>
      <c r="RWT1" t="s">
        <v>17054</v>
      </c>
      <c r="RWU1" t="s">
        <v>17055</v>
      </c>
      <c r="RWV1" t="s">
        <v>17056</v>
      </c>
      <c r="RWW1" t="s">
        <v>17057</v>
      </c>
      <c r="RWX1" t="s">
        <v>17058</v>
      </c>
      <c r="RWY1" t="s">
        <v>17059</v>
      </c>
      <c r="RWZ1" t="s">
        <v>17060</v>
      </c>
      <c r="RXA1" t="s">
        <v>17061</v>
      </c>
      <c r="RXB1" t="s">
        <v>17062</v>
      </c>
      <c r="RXC1" t="s">
        <v>17063</v>
      </c>
      <c r="RXD1" t="s">
        <v>17064</v>
      </c>
      <c r="RXE1" t="s">
        <v>17065</v>
      </c>
      <c r="RXF1" t="s">
        <v>17066</v>
      </c>
      <c r="RXG1" t="s">
        <v>17067</v>
      </c>
      <c r="RXH1" t="s">
        <v>17068</v>
      </c>
      <c r="RXI1" t="s">
        <v>17069</v>
      </c>
      <c r="RXJ1" t="s">
        <v>17070</v>
      </c>
      <c r="RXK1" t="s">
        <v>17071</v>
      </c>
      <c r="RXL1" t="s">
        <v>17072</v>
      </c>
      <c r="RXM1" t="s">
        <v>17073</v>
      </c>
      <c r="RXN1" t="s">
        <v>17074</v>
      </c>
      <c r="RXO1" t="s">
        <v>17075</v>
      </c>
      <c r="RXP1" t="s">
        <v>17076</v>
      </c>
      <c r="RXQ1" t="s">
        <v>17077</v>
      </c>
      <c r="RXR1" t="s">
        <v>17078</v>
      </c>
      <c r="RXS1" t="s">
        <v>17079</v>
      </c>
      <c r="RXT1" t="s">
        <v>17080</v>
      </c>
      <c r="RXU1" t="s">
        <v>17081</v>
      </c>
      <c r="RXV1" t="s">
        <v>17082</v>
      </c>
      <c r="RXW1" t="s">
        <v>17083</v>
      </c>
      <c r="RXX1" t="s">
        <v>17084</v>
      </c>
      <c r="RXY1" t="s">
        <v>17085</v>
      </c>
      <c r="RXZ1" t="s">
        <v>17086</v>
      </c>
      <c r="RYA1" t="s">
        <v>17087</v>
      </c>
      <c r="RYB1" t="s">
        <v>17088</v>
      </c>
      <c r="RYC1" t="s">
        <v>17089</v>
      </c>
      <c r="RYD1" t="s">
        <v>17090</v>
      </c>
      <c r="RYE1" t="s">
        <v>17091</v>
      </c>
      <c r="RYF1" t="s">
        <v>17092</v>
      </c>
      <c r="RYG1" t="s">
        <v>17093</v>
      </c>
      <c r="RYH1" t="s">
        <v>17094</v>
      </c>
      <c r="RYI1" t="s">
        <v>17095</v>
      </c>
      <c r="RYJ1" t="s">
        <v>17096</v>
      </c>
      <c r="RYK1" t="s">
        <v>17097</v>
      </c>
      <c r="RYL1" t="s">
        <v>17098</v>
      </c>
      <c r="RYM1" t="s">
        <v>17099</v>
      </c>
      <c r="RYN1" t="s">
        <v>17100</v>
      </c>
      <c r="RYO1" t="s">
        <v>17101</v>
      </c>
      <c r="RYP1" t="s">
        <v>17102</v>
      </c>
      <c r="RYQ1" t="s">
        <v>17103</v>
      </c>
      <c r="RYR1" t="s">
        <v>17104</v>
      </c>
      <c r="RYS1" t="s">
        <v>17105</v>
      </c>
      <c r="RYT1" t="s">
        <v>17106</v>
      </c>
      <c r="RYU1" t="s">
        <v>17107</v>
      </c>
      <c r="RYV1" t="s">
        <v>17108</v>
      </c>
      <c r="RYW1" t="s">
        <v>17109</v>
      </c>
      <c r="RYX1" t="s">
        <v>17110</v>
      </c>
      <c r="RYY1" t="s">
        <v>17111</v>
      </c>
      <c r="RYZ1" t="s">
        <v>17112</v>
      </c>
      <c r="RZA1" t="s">
        <v>17113</v>
      </c>
      <c r="RZB1" t="s">
        <v>17114</v>
      </c>
      <c r="RZC1" t="s">
        <v>17115</v>
      </c>
      <c r="RZD1" t="s">
        <v>17116</v>
      </c>
      <c r="RZE1" t="s">
        <v>17117</v>
      </c>
      <c r="RZF1" t="s">
        <v>17118</v>
      </c>
      <c r="RZG1" t="s">
        <v>17119</v>
      </c>
      <c r="RZH1" t="s">
        <v>17120</v>
      </c>
      <c r="RZI1" t="s">
        <v>17121</v>
      </c>
      <c r="RZJ1" t="s">
        <v>17122</v>
      </c>
      <c r="RZK1" t="s">
        <v>17123</v>
      </c>
      <c r="RZL1" t="s">
        <v>17124</v>
      </c>
      <c r="RZM1" t="s">
        <v>17125</v>
      </c>
      <c r="RZN1" t="s">
        <v>17126</v>
      </c>
      <c r="RZO1" t="s">
        <v>17127</v>
      </c>
      <c r="RZP1" t="s">
        <v>17128</v>
      </c>
      <c r="RZQ1" t="s">
        <v>17129</v>
      </c>
      <c r="RZR1" t="s">
        <v>17130</v>
      </c>
      <c r="RZS1" t="s">
        <v>17131</v>
      </c>
      <c r="RZT1" t="s">
        <v>17132</v>
      </c>
      <c r="RZU1" t="s">
        <v>17133</v>
      </c>
      <c r="RZV1" t="s">
        <v>17134</v>
      </c>
      <c r="RZW1" t="s">
        <v>17135</v>
      </c>
      <c r="RZX1" t="s">
        <v>17136</v>
      </c>
      <c r="RZY1" t="s">
        <v>17137</v>
      </c>
      <c r="RZZ1" t="s">
        <v>17138</v>
      </c>
      <c r="SAA1" t="s">
        <v>17139</v>
      </c>
      <c r="SAB1" t="s">
        <v>17140</v>
      </c>
      <c r="SAC1" t="s">
        <v>17141</v>
      </c>
      <c r="SAD1" t="s">
        <v>17142</v>
      </c>
      <c r="SAE1" t="s">
        <v>17143</v>
      </c>
      <c r="SAF1" t="s">
        <v>17144</v>
      </c>
      <c r="SAG1" t="s">
        <v>17145</v>
      </c>
      <c r="SAH1" t="s">
        <v>17146</v>
      </c>
      <c r="SAI1" t="s">
        <v>17147</v>
      </c>
      <c r="SAJ1" t="s">
        <v>17148</v>
      </c>
      <c r="SAK1" t="s">
        <v>17149</v>
      </c>
      <c r="SAL1" t="s">
        <v>17150</v>
      </c>
      <c r="SAM1" t="s">
        <v>17151</v>
      </c>
      <c r="SAN1" t="s">
        <v>17152</v>
      </c>
      <c r="SAO1" t="s">
        <v>17153</v>
      </c>
      <c r="SAP1" t="s">
        <v>17154</v>
      </c>
      <c r="SAQ1" t="s">
        <v>17155</v>
      </c>
      <c r="SAR1" t="s">
        <v>17156</v>
      </c>
      <c r="SAS1" t="s">
        <v>17157</v>
      </c>
      <c r="SAT1" t="s">
        <v>17158</v>
      </c>
      <c r="SAU1" t="s">
        <v>17159</v>
      </c>
      <c r="SAV1" t="s">
        <v>17160</v>
      </c>
      <c r="SAW1" t="s">
        <v>17161</v>
      </c>
      <c r="SAX1" t="s">
        <v>17162</v>
      </c>
      <c r="SAY1" t="s">
        <v>17163</v>
      </c>
      <c r="SAZ1" t="s">
        <v>17164</v>
      </c>
      <c r="SBA1" t="s">
        <v>17165</v>
      </c>
      <c r="SBB1" t="s">
        <v>17166</v>
      </c>
      <c r="SBC1" t="s">
        <v>17167</v>
      </c>
      <c r="SBD1" t="s">
        <v>17168</v>
      </c>
      <c r="SBE1" t="s">
        <v>17169</v>
      </c>
      <c r="SBF1" t="s">
        <v>17170</v>
      </c>
      <c r="SBG1" t="s">
        <v>17171</v>
      </c>
      <c r="SBH1" t="s">
        <v>17172</v>
      </c>
      <c r="SBI1" t="s">
        <v>17173</v>
      </c>
      <c r="SBJ1" t="s">
        <v>17174</v>
      </c>
      <c r="SBK1" t="s">
        <v>17175</v>
      </c>
      <c r="SBL1" t="s">
        <v>17176</v>
      </c>
      <c r="SBM1" t="s">
        <v>17177</v>
      </c>
      <c r="SBN1" t="s">
        <v>17178</v>
      </c>
      <c r="SBO1" t="s">
        <v>17179</v>
      </c>
      <c r="SBP1" t="s">
        <v>17180</v>
      </c>
      <c r="SBQ1" t="s">
        <v>17181</v>
      </c>
      <c r="SBR1" t="s">
        <v>17182</v>
      </c>
      <c r="SBS1" t="s">
        <v>17183</v>
      </c>
      <c r="SBT1" t="s">
        <v>17184</v>
      </c>
      <c r="SBU1" t="s">
        <v>17185</v>
      </c>
      <c r="SBV1" t="s">
        <v>17186</v>
      </c>
      <c r="SBW1" t="s">
        <v>17187</v>
      </c>
      <c r="SBX1" t="s">
        <v>17188</v>
      </c>
      <c r="SBY1" t="s">
        <v>17189</v>
      </c>
      <c r="SBZ1" t="s">
        <v>17190</v>
      </c>
      <c r="SCA1" t="s">
        <v>17191</v>
      </c>
      <c r="SCB1" t="s">
        <v>17192</v>
      </c>
      <c r="SCC1" t="s">
        <v>17193</v>
      </c>
      <c r="SCD1" t="s">
        <v>17194</v>
      </c>
      <c r="SCE1" t="s">
        <v>17195</v>
      </c>
      <c r="SCF1" t="s">
        <v>17196</v>
      </c>
      <c r="SCG1" t="s">
        <v>17197</v>
      </c>
      <c r="SCH1" t="s">
        <v>17198</v>
      </c>
      <c r="SCI1" t="s">
        <v>17199</v>
      </c>
      <c r="SCJ1" t="s">
        <v>17200</v>
      </c>
      <c r="SCK1" t="s">
        <v>17201</v>
      </c>
      <c r="SCL1" t="s">
        <v>17202</v>
      </c>
      <c r="SCM1" t="s">
        <v>17203</v>
      </c>
      <c r="SCN1" t="s">
        <v>17204</v>
      </c>
      <c r="SCO1" t="s">
        <v>17205</v>
      </c>
      <c r="SCP1" t="s">
        <v>17206</v>
      </c>
      <c r="SCQ1" t="s">
        <v>17207</v>
      </c>
      <c r="SCR1" t="s">
        <v>17208</v>
      </c>
      <c r="SCS1" t="s">
        <v>17209</v>
      </c>
      <c r="SCT1" t="s">
        <v>17210</v>
      </c>
      <c r="SCU1" t="s">
        <v>17211</v>
      </c>
      <c r="SCV1" t="s">
        <v>17212</v>
      </c>
      <c r="SCW1" t="s">
        <v>17213</v>
      </c>
      <c r="SCX1" t="s">
        <v>17214</v>
      </c>
      <c r="SCY1" t="s">
        <v>17215</v>
      </c>
      <c r="SCZ1" t="s">
        <v>17216</v>
      </c>
      <c r="SDA1" t="s">
        <v>17217</v>
      </c>
      <c r="SDB1" t="s">
        <v>17218</v>
      </c>
      <c r="SDC1" t="s">
        <v>17219</v>
      </c>
      <c r="SDD1" t="s">
        <v>17220</v>
      </c>
      <c r="SDE1" t="s">
        <v>17221</v>
      </c>
      <c r="SDF1" t="s">
        <v>17222</v>
      </c>
      <c r="SDG1" t="s">
        <v>17223</v>
      </c>
      <c r="SDH1" t="s">
        <v>17224</v>
      </c>
      <c r="SDI1" t="s">
        <v>17225</v>
      </c>
      <c r="SDJ1" t="s">
        <v>17226</v>
      </c>
      <c r="SDK1" t="s">
        <v>17227</v>
      </c>
      <c r="SDL1" t="s">
        <v>17228</v>
      </c>
      <c r="SDM1" t="s">
        <v>17229</v>
      </c>
      <c r="SDN1" t="s">
        <v>17230</v>
      </c>
      <c r="SDO1" t="s">
        <v>17231</v>
      </c>
      <c r="SDP1" t="s">
        <v>17232</v>
      </c>
      <c r="SDQ1" t="s">
        <v>17233</v>
      </c>
      <c r="SDR1" t="s">
        <v>17234</v>
      </c>
      <c r="SDS1" t="s">
        <v>17235</v>
      </c>
      <c r="SDT1" t="s">
        <v>17236</v>
      </c>
      <c r="SDU1" t="s">
        <v>17237</v>
      </c>
      <c r="SDV1" t="s">
        <v>17238</v>
      </c>
      <c r="SDW1" t="s">
        <v>17239</v>
      </c>
      <c r="SDX1" t="s">
        <v>17240</v>
      </c>
      <c r="SDY1" t="s">
        <v>17241</v>
      </c>
      <c r="SDZ1" t="s">
        <v>17242</v>
      </c>
      <c r="SEA1" t="s">
        <v>17243</v>
      </c>
      <c r="SEB1" t="s">
        <v>17244</v>
      </c>
      <c r="SEC1" t="s">
        <v>17245</v>
      </c>
      <c r="SED1" t="s">
        <v>17246</v>
      </c>
      <c r="SEE1" t="s">
        <v>17247</v>
      </c>
      <c r="SEF1" t="s">
        <v>17248</v>
      </c>
      <c r="SEG1" t="s">
        <v>17249</v>
      </c>
      <c r="SEH1" t="s">
        <v>17250</v>
      </c>
      <c r="SEI1" t="s">
        <v>17251</v>
      </c>
      <c r="SEJ1" t="s">
        <v>17252</v>
      </c>
      <c r="SEK1" t="s">
        <v>17253</v>
      </c>
      <c r="SEL1" t="s">
        <v>17254</v>
      </c>
      <c r="SEM1" t="s">
        <v>17255</v>
      </c>
      <c r="SEN1" t="s">
        <v>17256</v>
      </c>
      <c r="SEO1" t="s">
        <v>17257</v>
      </c>
      <c r="SEP1" t="s">
        <v>17258</v>
      </c>
      <c r="SEQ1" t="s">
        <v>17259</v>
      </c>
      <c r="SER1" t="s">
        <v>17260</v>
      </c>
      <c r="SES1" t="s">
        <v>17261</v>
      </c>
      <c r="SET1" t="s">
        <v>17262</v>
      </c>
      <c r="SEU1" t="s">
        <v>17263</v>
      </c>
      <c r="SEV1" t="s">
        <v>17264</v>
      </c>
      <c r="SEW1" t="s">
        <v>17265</v>
      </c>
      <c r="SEX1" t="s">
        <v>17266</v>
      </c>
      <c r="SEY1" t="s">
        <v>17267</v>
      </c>
      <c r="SEZ1" t="s">
        <v>17268</v>
      </c>
      <c r="SFA1" t="s">
        <v>17269</v>
      </c>
      <c r="SFB1" t="s">
        <v>17270</v>
      </c>
      <c r="SFC1" t="s">
        <v>17271</v>
      </c>
      <c r="SFD1" t="s">
        <v>17272</v>
      </c>
      <c r="SFE1" t="s">
        <v>17273</v>
      </c>
      <c r="SFF1" t="s">
        <v>17274</v>
      </c>
      <c r="SFG1" t="s">
        <v>17275</v>
      </c>
      <c r="SFH1" t="s">
        <v>17276</v>
      </c>
      <c r="SFI1" t="s">
        <v>17277</v>
      </c>
      <c r="SFJ1" t="s">
        <v>17278</v>
      </c>
      <c r="SFK1" t="s">
        <v>17279</v>
      </c>
      <c r="SFL1" t="s">
        <v>17280</v>
      </c>
      <c r="SFM1" t="s">
        <v>17281</v>
      </c>
      <c r="SFN1" t="s">
        <v>17282</v>
      </c>
      <c r="SFO1" t="s">
        <v>17283</v>
      </c>
      <c r="SFP1" t="s">
        <v>17284</v>
      </c>
      <c r="SFQ1" t="s">
        <v>17285</v>
      </c>
      <c r="SFR1" t="s">
        <v>17286</v>
      </c>
      <c r="SFS1" t="s">
        <v>17287</v>
      </c>
      <c r="SFT1" t="s">
        <v>17288</v>
      </c>
      <c r="SFU1" t="s">
        <v>17289</v>
      </c>
      <c r="SFV1" t="s">
        <v>17290</v>
      </c>
      <c r="SFW1" t="s">
        <v>17291</v>
      </c>
      <c r="SFX1" t="s">
        <v>17292</v>
      </c>
      <c r="SFY1" t="s">
        <v>17293</v>
      </c>
      <c r="SFZ1" t="s">
        <v>17294</v>
      </c>
      <c r="SGA1" t="s">
        <v>17295</v>
      </c>
      <c r="SGB1" t="s">
        <v>17296</v>
      </c>
      <c r="SGC1" t="s">
        <v>17297</v>
      </c>
      <c r="SGD1" t="s">
        <v>17298</v>
      </c>
      <c r="SGE1" t="s">
        <v>17299</v>
      </c>
      <c r="SGF1" t="s">
        <v>17300</v>
      </c>
      <c r="SGG1" t="s">
        <v>17301</v>
      </c>
      <c r="SGH1" t="s">
        <v>17302</v>
      </c>
      <c r="SGI1" t="s">
        <v>17303</v>
      </c>
      <c r="SGJ1" t="s">
        <v>17304</v>
      </c>
      <c r="SGK1" t="s">
        <v>17305</v>
      </c>
      <c r="SGL1" t="s">
        <v>17306</v>
      </c>
      <c r="SGM1" t="s">
        <v>17307</v>
      </c>
      <c r="SGN1" t="s">
        <v>17308</v>
      </c>
      <c r="SGO1" t="s">
        <v>17309</v>
      </c>
      <c r="SGP1" t="s">
        <v>17310</v>
      </c>
      <c r="SGQ1" t="s">
        <v>17311</v>
      </c>
      <c r="SGR1" t="s">
        <v>17312</v>
      </c>
      <c r="SGS1" t="s">
        <v>17313</v>
      </c>
      <c r="SGT1" t="s">
        <v>17314</v>
      </c>
      <c r="SGU1" t="s">
        <v>17315</v>
      </c>
      <c r="SGV1" t="s">
        <v>17316</v>
      </c>
      <c r="SGW1" t="s">
        <v>17317</v>
      </c>
      <c r="SGX1" t="s">
        <v>17318</v>
      </c>
      <c r="SGY1" t="s">
        <v>17319</v>
      </c>
      <c r="SGZ1" t="s">
        <v>17320</v>
      </c>
      <c r="SHA1" t="s">
        <v>17321</v>
      </c>
      <c r="SHB1" t="s">
        <v>17322</v>
      </c>
      <c r="SHC1" t="s">
        <v>17323</v>
      </c>
      <c r="SHD1" t="s">
        <v>17324</v>
      </c>
      <c r="SHE1" t="s">
        <v>17325</v>
      </c>
      <c r="SHF1" t="s">
        <v>17326</v>
      </c>
      <c r="SHG1" t="s">
        <v>17327</v>
      </c>
      <c r="SHH1" t="s">
        <v>17328</v>
      </c>
      <c r="SHI1" t="s">
        <v>17329</v>
      </c>
      <c r="SHJ1" t="s">
        <v>17330</v>
      </c>
      <c r="SHK1" t="s">
        <v>17331</v>
      </c>
      <c r="SHL1" t="s">
        <v>17332</v>
      </c>
      <c r="SHM1" t="s">
        <v>17333</v>
      </c>
      <c r="SHN1" t="s">
        <v>17334</v>
      </c>
      <c r="SHO1" t="s">
        <v>17335</v>
      </c>
      <c r="SHP1" t="s">
        <v>17336</v>
      </c>
      <c r="SHQ1" t="s">
        <v>17337</v>
      </c>
      <c r="SHR1" t="s">
        <v>17338</v>
      </c>
      <c r="SHS1" t="s">
        <v>17339</v>
      </c>
      <c r="SHT1" t="s">
        <v>17340</v>
      </c>
      <c r="SHU1" t="s">
        <v>17341</v>
      </c>
      <c r="SHV1" t="s">
        <v>17342</v>
      </c>
      <c r="SHW1" t="s">
        <v>17343</v>
      </c>
      <c r="SHX1" t="s">
        <v>17344</v>
      </c>
      <c r="SHY1" t="s">
        <v>17345</v>
      </c>
      <c r="SHZ1" t="s">
        <v>17346</v>
      </c>
      <c r="SIA1" t="s">
        <v>17347</v>
      </c>
      <c r="SIB1" t="s">
        <v>17348</v>
      </c>
      <c r="SIC1" t="s">
        <v>17349</v>
      </c>
      <c r="SID1" t="s">
        <v>17350</v>
      </c>
      <c r="SIE1" t="s">
        <v>17351</v>
      </c>
      <c r="SIF1" t="s">
        <v>17352</v>
      </c>
      <c r="SIG1" t="s">
        <v>17353</v>
      </c>
      <c r="SIH1" t="s">
        <v>17354</v>
      </c>
      <c r="SII1" t="s">
        <v>17355</v>
      </c>
      <c r="SIJ1" t="s">
        <v>17356</v>
      </c>
      <c r="SIK1" t="s">
        <v>17357</v>
      </c>
      <c r="SIL1" t="s">
        <v>17358</v>
      </c>
      <c r="SIM1" t="s">
        <v>17359</v>
      </c>
      <c r="SIN1" t="s">
        <v>17360</v>
      </c>
      <c r="SIO1" t="s">
        <v>17361</v>
      </c>
      <c r="SIP1" t="s">
        <v>17362</v>
      </c>
      <c r="SIQ1" t="s">
        <v>17363</v>
      </c>
      <c r="SIR1" t="s">
        <v>17364</v>
      </c>
      <c r="SIS1" t="s">
        <v>17365</v>
      </c>
      <c r="SIT1" t="s">
        <v>17366</v>
      </c>
      <c r="SIU1" t="s">
        <v>17367</v>
      </c>
      <c r="SIV1" t="s">
        <v>17368</v>
      </c>
      <c r="SIW1" t="s">
        <v>17369</v>
      </c>
      <c r="SIX1" t="s">
        <v>17370</v>
      </c>
      <c r="SIY1" t="s">
        <v>17371</v>
      </c>
      <c r="SIZ1" t="s">
        <v>17372</v>
      </c>
      <c r="SJA1" t="s">
        <v>17373</v>
      </c>
      <c r="SJB1" t="s">
        <v>17374</v>
      </c>
      <c r="SJC1" t="s">
        <v>17375</v>
      </c>
      <c r="SJD1" t="s">
        <v>17376</v>
      </c>
      <c r="SJE1" t="s">
        <v>17377</v>
      </c>
      <c r="SJF1" t="s">
        <v>17378</v>
      </c>
      <c r="SJG1" t="s">
        <v>17379</v>
      </c>
      <c r="SJH1" t="s">
        <v>17380</v>
      </c>
      <c r="SJI1" t="s">
        <v>17381</v>
      </c>
      <c r="SJJ1" t="s">
        <v>17382</v>
      </c>
      <c r="SJK1" t="s">
        <v>17383</v>
      </c>
      <c r="SJL1" t="s">
        <v>17384</v>
      </c>
      <c r="SJM1" t="s">
        <v>17385</v>
      </c>
      <c r="SJN1" t="s">
        <v>17386</v>
      </c>
      <c r="SJO1" t="s">
        <v>17387</v>
      </c>
      <c r="SJP1" t="s">
        <v>17388</v>
      </c>
      <c r="SJQ1" t="s">
        <v>17389</v>
      </c>
      <c r="SJR1" t="s">
        <v>17390</v>
      </c>
      <c r="SJS1" t="s">
        <v>17391</v>
      </c>
      <c r="SJT1" t="s">
        <v>17392</v>
      </c>
      <c r="SJU1" t="s">
        <v>17393</v>
      </c>
      <c r="SJV1" t="s">
        <v>17394</v>
      </c>
      <c r="SJW1" t="s">
        <v>17395</v>
      </c>
      <c r="SJX1" t="s">
        <v>17396</v>
      </c>
      <c r="SJY1" t="s">
        <v>17397</v>
      </c>
      <c r="SJZ1" t="s">
        <v>17398</v>
      </c>
      <c r="SKA1" t="s">
        <v>17399</v>
      </c>
      <c r="SKB1" t="s">
        <v>17400</v>
      </c>
      <c r="SKC1" t="s">
        <v>17401</v>
      </c>
      <c r="SKD1" t="s">
        <v>17402</v>
      </c>
      <c r="SKE1" t="s">
        <v>17403</v>
      </c>
      <c r="SKF1" t="s">
        <v>17404</v>
      </c>
      <c r="SKG1" t="s">
        <v>17405</v>
      </c>
      <c r="SKH1" t="s">
        <v>17406</v>
      </c>
      <c r="SKI1" t="s">
        <v>17407</v>
      </c>
      <c r="SKJ1" t="s">
        <v>17408</v>
      </c>
      <c r="SKK1" t="s">
        <v>17409</v>
      </c>
      <c r="SKL1" t="s">
        <v>17410</v>
      </c>
      <c r="SKM1" t="s">
        <v>17411</v>
      </c>
      <c r="SKN1" t="s">
        <v>17412</v>
      </c>
      <c r="SKO1" t="s">
        <v>17413</v>
      </c>
      <c r="SKP1" t="s">
        <v>17414</v>
      </c>
      <c r="SKQ1" t="s">
        <v>17415</v>
      </c>
      <c r="SKR1" t="s">
        <v>17416</v>
      </c>
      <c r="SKS1" t="s">
        <v>17417</v>
      </c>
      <c r="SKT1" t="s">
        <v>17418</v>
      </c>
      <c r="SKU1" t="s">
        <v>17419</v>
      </c>
      <c r="SKV1" t="s">
        <v>17420</v>
      </c>
      <c r="SKW1" t="s">
        <v>17421</v>
      </c>
      <c r="SKX1" t="s">
        <v>17422</v>
      </c>
      <c r="SKY1" t="s">
        <v>17423</v>
      </c>
      <c r="SKZ1" t="s">
        <v>17424</v>
      </c>
      <c r="SLA1" t="s">
        <v>17425</v>
      </c>
      <c r="SLB1" t="s">
        <v>17426</v>
      </c>
      <c r="SLC1" t="s">
        <v>17427</v>
      </c>
      <c r="SLD1" t="s">
        <v>17428</v>
      </c>
      <c r="SLE1" t="s">
        <v>17429</v>
      </c>
      <c r="SLF1" t="s">
        <v>17430</v>
      </c>
      <c r="SLG1" t="s">
        <v>17431</v>
      </c>
      <c r="SLH1" t="s">
        <v>17432</v>
      </c>
      <c r="SLI1" t="s">
        <v>17433</v>
      </c>
      <c r="SLJ1" t="s">
        <v>17434</v>
      </c>
      <c r="SLK1" t="s">
        <v>17435</v>
      </c>
      <c r="SLL1" t="s">
        <v>17436</v>
      </c>
      <c r="SLM1" t="s">
        <v>17437</v>
      </c>
      <c r="SLN1" t="s">
        <v>17438</v>
      </c>
      <c r="SLO1" t="s">
        <v>17439</v>
      </c>
      <c r="SLP1" t="s">
        <v>17440</v>
      </c>
      <c r="SLQ1" t="s">
        <v>17441</v>
      </c>
      <c r="SLR1" t="s">
        <v>17442</v>
      </c>
      <c r="SLS1" t="s">
        <v>17443</v>
      </c>
      <c r="SLT1" t="s">
        <v>17444</v>
      </c>
      <c r="SLU1" t="s">
        <v>17445</v>
      </c>
      <c r="SLV1" t="s">
        <v>17446</v>
      </c>
      <c r="SLW1" t="s">
        <v>17447</v>
      </c>
      <c r="SLX1" t="s">
        <v>17448</v>
      </c>
      <c r="SLY1" t="s">
        <v>17449</v>
      </c>
      <c r="SLZ1" t="s">
        <v>17450</v>
      </c>
      <c r="SMA1" t="s">
        <v>17451</v>
      </c>
      <c r="SMB1" t="s">
        <v>17452</v>
      </c>
      <c r="SMC1" t="s">
        <v>17453</v>
      </c>
      <c r="SMD1" t="s">
        <v>17454</v>
      </c>
      <c r="SME1" t="s">
        <v>17455</v>
      </c>
      <c r="SMF1" t="s">
        <v>17456</v>
      </c>
      <c r="SMG1" t="s">
        <v>17457</v>
      </c>
      <c r="SMH1" t="s">
        <v>17458</v>
      </c>
      <c r="SMI1" t="s">
        <v>17459</v>
      </c>
      <c r="SMJ1" t="s">
        <v>17460</v>
      </c>
      <c r="SMK1" t="s">
        <v>17461</v>
      </c>
      <c r="SML1" t="s">
        <v>17462</v>
      </c>
      <c r="SMM1" t="s">
        <v>17463</v>
      </c>
      <c r="SMN1" t="s">
        <v>17464</v>
      </c>
      <c r="SMO1" t="s">
        <v>17465</v>
      </c>
      <c r="SMP1" t="s">
        <v>17466</v>
      </c>
      <c r="SMQ1" t="s">
        <v>17467</v>
      </c>
      <c r="SMR1" t="s">
        <v>17468</v>
      </c>
      <c r="SMS1" t="s">
        <v>17469</v>
      </c>
      <c r="SMT1" t="s">
        <v>17470</v>
      </c>
      <c r="SMU1" t="s">
        <v>17471</v>
      </c>
      <c r="SMV1" t="s">
        <v>17472</v>
      </c>
      <c r="SMW1" t="s">
        <v>17473</v>
      </c>
      <c r="SMX1" t="s">
        <v>17474</v>
      </c>
      <c r="SMY1" t="s">
        <v>17475</v>
      </c>
      <c r="SMZ1" t="s">
        <v>17476</v>
      </c>
      <c r="SNA1" t="s">
        <v>17477</v>
      </c>
      <c r="SNB1" t="s">
        <v>17478</v>
      </c>
      <c r="SNC1" t="s">
        <v>17479</v>
      </c>
      <c r="SND1" t="s">
        <v>17480</v>
      </c>
      <c r="SNE1" t="s">
        <v>17481</v>
      </c>
      <c r="SNF1" t="s">
        <v>17482</v>
      </c>
      <c r="SNG1" t="s">
        <v>17483</v>
      </c>
      <c r="SNH1" t="s">
        <v>17484</v>
      </c>
      <c r="SNI1" t="s">
        <v>17485</v>
      </c>
      <c r="SNJ1" t="s">
        <v>17486</v>
      </c>
      <c r="SNK1" t="s">
        <v>17487</v>
      </c>
      <c r="SNL1" t="s">
        <v>17488</v>
      </c>
      <c r="SNM1" t="s">
        <v>17489</v>
      </c>
      <c r="SNN1" t="s">
        <v>17490</v>
      </c>
      <c r="SNO1" t="s">
        <v>17491</v>
      </c>
      <c r="SNP1" t="s">
        <v>17492</v>
      </c>
      <c r="SNQ1" t="s">
        <v>17493</v>
      </c>
      <c r="SNR1" t="s">
        <v>17494</v>
      </c>
      <c r="SNS1" t="s">
        <v>17495</v>
      </c>
      <c r="SNT1" t="s">
        <v>17496</v>
      </c>
      <c r="SNU1" t="s">
        <v>17497</v>
      </c>
      <c r="SNV1" t="s">
        <v>17498</v>
      </c>
      <c r="SNW1" t="s">
        <v>17499</v>
      </c>
      <c r="SNX1" t="s">
        <v>17500</v>
      </c>
      <c r="SNY1" t="s">
        <v>17501</v>
      </c>
      <c r="SNZ1" t="s">
        <v>17502</v>
      </c>
      <c r="SOA1" t="s">
        <v>17503</v>
      </c>
      <c r="SOB1" t="s">
        <v>17504</v>
      </c>
      <c r="SOC1" t="s">
        <v>17505</v>
      </c>
      <c r="SOD1" t="s">
        <v>17506</v>
      </c>
      <c r="SOE1" t="s">
        <v>17507</v>
      </c>
      <c r="SOF1" t="s">
        <v>17508</v>
      </c>
      <c r="SOG1" t="s">
        <v>17509</v>
      </c>
      <c r="SOH1" t="s">
        <v>17510</v>
      </c>
      <c r="SOI1" t="s">
        <v>17511</v>
      </c>
      <c r="SOJ1" t="s">
        <v>17512</v>
      </c>
      <c r="SOK1" t="s">
        <v>17513</v>
      </c>
      <c r="SOL1" t="s">
        <v>17514</v>
      </c>
      <c r="SOM1" t="s">
        <v>17515</v>
      </c>
      <c r="SON1" t="s">
        <v>17516</v>
      </c>
      <c r="SOO1" t="s">
        <v>17517</v>
      </c>
      <c r="SOP1" t="s">
        <v>17518</v>
      </c>
      <c r="SOQ1" t="s">
        <v>17519</v>
      </c>
      <c r="SOR1" t="s">
        <v>17520</v>
      </c>
      <c r="SOS1" t="s">
        <v>17521</v>
      </c>
      <c r="SOT1" t="s">
        <v>17522</v>
      </c>
      <c r="SOU1" t="s">
        <v>17523</v>
      </c>
      <c r="SOV1" t="s">
        <v>17524</v>
      </c>
      <c r="SOW1" t="s">
        <v>17525</v>
      </c>
      <c r="SOX1" t="s">
        <v>17526</v>
      </c>
      <c r="SOY1" t="s">
        <v>17527</v>
      </c>
      <c r="SOZ1" t="s">
        <v>17528</v>
      </c>
      <c r="SPA1" t="s">
        <v>17529</v>
      </c>
      <c r="SPB1" t="s">
        <v>17530</v>
      </c>
      <c r="SPC1" t="s">
        <v>17531</v>
      </c>
      <c r="SPD1" t="s">
        <v>17532</v>
      </c>
      <c r="SPE1" t="s">
        <v>17533</v>
      </c>
      <c r="SPF1" t="s">
        <v>17534</v>
      </c>
      <c r="SPG1" t="s">
        <v>17535</v>
      </c>
      <c r="SPH1" t="s">
        <v>17536</v>
      </c>
      <c r="SPI1" t="s">
        <v>17537</v>
      </c>
      <c r="SPJ1" t="s">
        <v>17538</v>
      </c>
      <c r="SPK1" t="s">
        <v>17539</v>
      </c>
      <c r="SPL1" t="s">
        <v>17540</v>
      </c>
      <c r="SPM1" t="s">
        <v>17541</v>
      </c>
      <c r="SPN1" t="s">
        <v>17542</v>
      </c>
      <c r="SPO1" t="s">
        <v>17543</v>
      </c>
      <c r="SPP1" t="s">
        <v>17544</v>
      </c>
      <c r="SPQ1" t="s">
        <v>17545</v>
      </c>
      <c r="SPR1" t="s">
        <v>17546</v>
      </c>
      <c r="SPS1" t="s">
        <v>17547</v>
      </c>
      <c r="SPT1" t="s">
        <v>17548</v>
      </c>
      <c r="SPU1" t="s">
        <v>17549</v>
      </c>
      <c r="SPV1" t="s">
        <v>17550</v>
      </c>
      <c r="SPW1" t="s">
        <v>17551</v>
      </c>
      <c r="SPX1" t="s">
        <v>17552</v>
      </c>
      <c r="SPY1" t="s">
        <v>17553</v>
      </c>
      <c r="SPZ1" t="s">
        <v>17554</v>
      </c>
      <c r="SQA1" t="s">
        <v>17555</v>
      </c>
      <c r="SQB1" t="s">
        <v>17556</v>
      </c>
      <c r="SQC1" t="s">
        <v>17557</v>
      </c>
      <c r="SQD1" t="s">
        <v>17558</v>
      </c>
      <c r="SQE1" t="s">
        <v>17559</v>
      </c>
      <c r="SQF1" t="s">
        <v>17560</v>
      </c>
      <c r="SQG1" t="s">
        <v>17561</v>
      </c>
      <c r="SQH1" t="s">
        <v>17562</v>
      </c>
      <c r="SQI1" t="s">
        <v>17563</v>
      </c>
      <c r="SQJ1" t="s">
        <v>17564</v>
      </c>
      <c r="SQK1" t="s">
        <v>17565</v>
      </c>
      <c r="SQL1" t="s">
        <v>17566</v>
      </c>
      <c r="SQM1" t="s">
        <v>17567</v>
      </c>
      <c r="SQN1" t="s">
        <v>17568</v>
      </c>
      <c r="SQO1" t="s">
        <v>17569</v>
      </c>
      <c r="SQP1" t="s">
        <v>17570</v>
      </c>
      <c r="SQQ1" t="s">
        <v>17571</v>
      </c>
      <c r="SQR1" t="s">
        <v>17572</v>
      </c>
      <c r="SQS1" t="s">
        <v>17573</v>
      </c>
      <c r="SQT1" t="s">
        <v>17574</v>
      </c>
      <c r="SQU1" t="s">
        <v>17575</v>
      </c>
      <c r="SQV1" t="s">
        <v>17576</v>
      </c>
      <c r="SQW1" t="s">
        <v>17577</v>
      </c>
      <c r="SQX1" t="s">
        <v>17578</v>
      </c>
      <c r="SQY1" t="s">
        <v>17579</v>
      </c>
      <c r="SQZ1" t="s">
        <v>17580</v>
      </c>
      <c r="SRA1" t="s">
        <v>17581</v>
      </c>
      <c r="SRB1" t="s">
        <v>17582</v>
      </c>
      <c r="SRC1" t="s">
        <v>17583</v>
      </c>
      <c r="SRD1" t="s">
        <v>17584</v>
      </c>
      <c r="SRE1" t="s">
        <v>17585</v>
      </c>
      <c r="SRF1" t="s">
        <v>17586</v>
      </c>
      <c r="SRG1" t="s">
        <v>17587</v>
      </c>
      <c r="SRH1" t="s">
        <v>17588</v>
      </c>
      <c r="SRI1" t="s">
        <v>17589</v>
      </c>
      <c r="SRJ1" t="s">
        <v>17590</v>
      </c>
      <c r="SRK1" t="s">
        <v>17591</v>
      </c>
      <c r="SRL1" t="s">
        <v>17592</v>
      </c>
      <c r="SRM1" t="s">
        <v>17593</v>
      </c>
      <c r="SRN1" t="s">
        <v>17594</v>
      </c>
      <c r="SRO1" t="s">
        <v>17595</v>
      </c>
      <c r="SRP1" t="s">
        <v>17596</v>
      </c>
      <c r="SRQ1" t="s">
        <v>17597</v>
      </c>
      <c r="SRR1" t="s">
        <v>17598</v>
      </c>
      <c r="SRS1" t="s">
        <v>17599</v>
      </c>
      <c r="SRT1" t="s">
        <v>17600</v>
      </c>
      <c r="SRU1" t="s">
        <v>17601</v>
      </c>
      <c r="SRV1" t="s">
        <v>17602</v>
      </c>
      <c r="SRW1" t="s">
        <v>17603</v>
      </c>
      <c r="SRX1" t="s">
        <v>17604</v>
      </c>
      <c r="SRY1" t="s">
        <v>17605</v>
      </c>
      <c r="SRZ1" t="s">
        <v>17606</v>
      </c>
      <c r="SSA1" t="s">
        <v>17607</v>
      </c>
      <c r="SSB1" t="s">
        <v>17608</v>
      </c>
      <c r="SSC1" t="s">
        <v>17609</v>
      </c>
      <c r="SSD1" t="s">
        <v>17610</v>
      </c>
      <c r="SSE1" t="s">
        <v>17611</v>
      </c>
      <c r="SSF1" t="s">
        <v>17612</v>
      </c>
      <c r="SSG1" t="s">
        <v>17613</v>
      </c>
      <c r="SSH1" t="s">
        <v>17614</v>
      </c>
      <c r="SSI1" t="s">
        <v>17615</v>
      </c>
      <c r="SSJ1" t="s">
        <v>17616</v>
      </c>
      <c r="SSK1" t="s">
        <v>17617</v>
      </c>
      <c r="SSL1" t="s">
        <v>17618</v>
      </c>
      <c r="SSM1" t="s">
        <v>17619</v>
      </c>
      <c r="SSN1" t="s">
        <v>17620</v>
      </c>
      <c r="SSO1" t="s">
        <v>17621</v>
      </c>
      <c r="SSP1" t="s">
        <v>17622</v>
      </c>
      <c r="SSQ1" t="s">
        <v>17623</v>
      </c>
      <c r="SSR1" t="s">
        <v>17624</v>
      </c>
      <c r="SSS1" t="s">
        <v>17625</v>
      </c>
      <c r="SST1" t="s">
        <v>17626</v>
      </c>
      <c r="SSU1" t="s">
        <v>17627</v>
      </c>
      <c r="SSV1" t="s">
        <v>17628</v>
      </c>
      <c r="SSW1" t="s">
        <v>17629</v>
      </c>
      <c r="SSX1" t="s">
        <v>17630</v>
      </c>
      <c r="SSY1" t="s">
        <v>17631</v>
      </c>
      <c r="SSZ1" t="s">
        <v>17632</v>
      </c>
      <c r="STA1" t="s">
        <v>17633</v>
      </c>
      <c r="STB1" t="s">
        <v>17634</v>
      </c>
      <c r="STC1" t="s">
        <v>17635</v>
      </c>
      <c r="STD1" t="s">
        <v>17636</v>
      </c>
      <c r="STE1" t="s">
        <v>17637</v>
      </c>
      <c r="STF1" t="s">
        <v>17638</v>
      </c>
      <c r="STG1" t="s">
        <v>17639</v>
      </c>
      <c r="STH1" t="s">
        <v>17640</v>
      </c>
      <c r="STI1" t="s">
        <v>17641</v>
      </c>
      <c r="STJ1" t="s">
        <v>17642</v>
      </c>
      <c r="STK1" t="s">
        <v>17643</v>
      </c>
      <c r="STL1" t="s">
        <v>17644</v>
      </c>
      <c r="STM1" t="s">
        <v>17645</v>
      </c>
      <c r="STN1" t="s">
        <v>17646</v>
      </c>
      <c r="STO1" t="s">
        <v>17647</v>
      </c>
      <c r="STP1" t="s">
        <v>17648</v>
      </c>
      <c r="STQ1" t="s">
        <v>17649</v>
      </c>
      <c r="STR1" t="s">
        <v>17650</v>
      </c>
      <c r="STS1" t="s">
        <v>17651</v>
      </c>
      <c r="STT1" t="s">
        <v>17652</v>
      </c>
      <c r="STU1" t="s">
        <v>17653</v>
      </c>
      <c r="STV1" t="s">
        <v>17654</v>
      </c>
      <c r="STW1" t="s">
        <v>17655</v>
      </c>
      <c r="STX1" t="s">
        <v>17656</v>
      </c>
      <c r="STY1" t="s">
        <v>17657</v>
      </c>
      <c r="STZ1" t="s">
        <v>17658</v>
      </c>
      <c r="SUA1" t="s">
        <v>17659</v>
      </c>
      <c r="SUB1" t="s">
        <v>17660</v>
      </c>
      <c r="SUC1" t="s">
        <v>17661</v>
      </c>
      <c r="SUD1" t="s">
        <v>17662</v>
      </c>
      <c r="SUE1" t="s">
        <v>17663</v>
      </c>
      <c r="SUF1" t="s">
        <v>17664</v>
      </c>
      <c r="SUG1" t="s">
        <v>17665</v>
      </c>
      <c r="SUH1" t="s">
        <v>17666</v>
      </c>
      <c r="SUI1" t="s">
        <v>17667</v>
      </c>
      <c r="SUJ1" t="s">
        <v>17668</v>
      </c>
      <c r="SUK1" t="s">
        <v>17669</v>
      </c>
      <c r="SUL1" t="s">
        <v>17670</v>
      </c>
      <c r="SUM1" t="s">
        <v>17671</v>
      </c>
      <c r="SUN1" t="s">
        <v>17672</v>
      </c>
      <c r="SUO1" t="s">
        <v>17673</v>
      </c>
      <c r="SUP1" t="s">
        <v>17674</v>
      </c>
      <c r="SUQ1" t="s">
        <v>17675</v>
      </c>
      <c r="SUR1" t="s">
        <v>17676</v>
      </c>
      <c r="SUS1" t="s">
        <v>17677</v>
      </c>
      <c r="SUT1" t="s">
        <v>17678</v>
      </c>
      <c r="SUU1" t="s">
        <v>17679</v>
      </c>
      <c r="SUV1" t="s">
        <v>17680</v>
      </c>
      <c r="SUW1" t="s">
        <v>17681</v>
      </c>
      <c r="SUX1" t="s">
        <v>17682</v>
      </c>
      <c r="SUY1" t="s">
        <v>17683</v>
      </c>
      <c r="SUZ1" t="s">
        <v>17684</v>
      </c>
      <c r="SVA1" t="s">
        <v>17685</v>
      </c>
      <c r="SVB1" t="s">
        <v>17686</v>
      </c>
      <c r="SVC1" t="s">
        <v>17687</v>
      </c>
      <c r="SVD1" t="s">
        <v>17688</v>
      </c>
      <c r="SVE1" t="s">
        <v>17689</v>
      </c>
      <c r="SVF1" t="s">
        <v>17690</v>
      </c>
      <c r="SVG1" t="s">
        <v>17691</v>
      </c>
      <c r="SVH1" t="s">
        <v>17692</v>
      </c>
      <c r="SVI1" t="s">
        <v>17693</v>
      </c>
      <c r="SVJ1" t="s">
        <v>17694</v>
      </c>
      <c r="SVK1" t="s">
        <v>17695</v>
      </c>
      <c r="SVL1" t="s">
        <v>17696</v>
      </c>
      <c r="SVM1" t="s">
        <v>17697</v>
      </c>
      <c r="SVN1" t="s">
        <v>17698</v>
      </c>
      <c r="SVO1" t="s">
        <v>17699</v>
      </c>
      <c r="SVP1" t="s">
        <v>17700</v>
      </c>
      <c r="SVQ1" t="s">
        <v>17701</v>
      </c>
      <c r="SVR1" t="s">
        <v>17702</v>
      </c>
      <c r="SVS1" t="s">
        <v>17703</v>
      </c>
      <c r="SVT1" t="s">
        <v>17704</v>
      </c>
      <c r="SVU1" t="s">
        <v>17705</v>
      </c>
      <c r="SVV1" t="s">
        <v>17706</v>
      </c>
      <c r="SVW1" t="s">
        <v>17707</v>
      </c>
      <c r="SVX1" t="s">
        <v>17708</v>
      </c>
      <c r="SVY1" t="s">
        <v>17709</v>
      </c>
      <c r="SVZ1" t="s">
        <v>17710</v>
      </c>
      <c r="SWA1" t="s">
        <v>17711</v>
      </c>
      <c r="SWB1" t="s">
        <v>17712</v>
      </c>
      <c r="SWC1" t="s">
        <v>17713</v>
      </c>
      <c r="SWD1" t="s">
        <v>17714</v>
      </c>
      <c r="SWE1" t="s">
        <v>17715</v>
      </c>
      <c r="SWF1" t="s">
        <v>17716</v>
      </c>
      <c r="SWG1" t="s">
        <v>17717</v>
      </c>
      <c r="SWH1" t="s">
        <v>17718</v>
      </c>
      <c r="SWI1" t="s">
        <v>17719</v>
      </c>
      <c r="SWJ1" t="s">
        <v>17720</v>
      </c>
      <c r="SWK1" t="s">
        <v>17721</v>
      </c>
      <c r="SWL1" t="s">
        <v>17722</v>
      </c>
      <c r="SWM1" t="s">
        <v>17723</v>
      </c>
      <c r="SWN1" t="s">
        <v>17724</v>
      </c>
      <c r="SWO1" t="s">
        <v>17725</v>
      </c>
      <c r="SWP1" t="s">
        <v>17726</v>
      </c>
      <c r="SWQ1" t="s">
        <v>17727</v>
      </c>
      <c r="SWR1" t="s">
        <v>17728</v>
      </c>
      <c r="SWS1" t="s">
        <v>17729</v>
      </c>
      <c r="SWT1" t="s">
        <v>17730</v>
      </c>
      <c r="SWU1" t="s">
        <v>17731</v>
      </c>
      <c r="SWV1" t="s">
        <v>17732</v>
      </c>
      <c r="SWW1" t="s">
        <v>17733</v>
      </c>
      <c r="SWX1" t="s">
        <v>17734</v>
      </c>
      <c r="SWY1" t="s">
        <v>17735</v>
      </c>
      <c r="SWZ1" t="s">
        <v>17736</v>
      </c>
      <c r="SXA1" t="s">
        <v>17737</v>
      </c>
      <c r="SXB1" t="s">
        <v>17738</v>
      </c>
      <c r="SXC1" t="s">
        <v>17739</v>
      </c>
      <c r="SXD1" t="s">
        <v>17740</v>
      </c>
      <c r="SXE1" t="s">
        <v>17741</v>
      </c>
      <c r="SXF1" t="s">
        <v>17742</v>
      </c>
      <c r="SXG1" t="s">
        <v>17743</v>
      </c>
      <c r="SXH1" t="s">
        <v>17744</v>
      </c>
      <c r="SXI1" t="s">
        <v>17745</v>
      </c>
      <c r="SXJ1" t="s">
        <v>17746</v>
      </c>
      <c r="SXK1" t="s">
        <v>17747</v>
      </c>
      <c r="SXL1" t="s">
        <v>17748</v>
      </c>
      <c r="SXM1" t="s">
        <v>17749</v>
      </c>
      <c r="SXN1" t="s">
        <v>17750</v>
      </c>
      <c r="SXO1" t="s">
        <v>17751</v>
      </c>
      <c r="SXP1" t="s">
        <v>17752</v>
      </c>
      <c r="SXQ1" t="s">
        <v>17753</v>
      </c>
      <c r="SXR1" t="s">
        <v>17754</v>
      </c>
      <c r="SXS1" t="s">
        <v>17755</v>
      </c>
      <c r="SXT1" t="s">
        <v>17756</v>
      </c>
      <c r="SXU1" t="s">
        <v>17757</v>
      </c>
      <c r="SXV1" t="s">
        <v>17758</v>
      </c>
      <c r="SXW1" t="s">
        <v>17759</v>
      </c>
      <c r="SXX1" t="s">
        <v>17760</v>
      </c>
      <c r="SXY1" t="s">
        <v>17761</v>
      </c>
      <c r="SXZ1" t="s">
        <v>17762</v>
      </c>
      <c r="SYA1" t="s">
        <v>17763</v>
      </c>
      <c r="SYB1" t="s">
        <v>17764</v>
      </c>
      <c r="SYC1" t="s">
        <v>17765</v>
      </c>
      <c r="SYD1" t="s">
        <v>17766</v>
      </c>
      <c r="SYE1" t="s">
        <v>17767</v>
      </c>
      <c r="SYF1" t="s">
        <v>17768</v>
      </c>
      <c r="SYG1" t="s">
        <v>17769</v>
      </c>
      <c r="SYH1" t="s">
        <v>17770</v>
      </c>
      <c r="SYI1" t="s">
        <v>17771</v>
      </c>
      <c r="SYJ1" t="s">
        <v>17772</v>
      </c>
      <c r="SYK1" t="s">
        <v>17773</v>
      </c>
      <c r="SYL1" t="s">
        <v>17774</v>
      </c>
      <c r="SYM1" t="s">
        <v>17775</v>
      </c>
      <c r="SYN1" t="s">
        <v>17776</v>
      </c>
      <c r="SYO1" t="s">
        <v>17777</v>
      </c>
      <c r="SYP1" t="s">
        <v>17778</v>
      </c>
      <c r="SYQ1" t="s">
        <v>17779</v>
      </c>
      <c r="SYR1" t="s">
        <v>17780</v>
      </c>
      <c r="SYS1" t="s">
        <v>17781</v>
      </c>
      <c r="SYT1" t="s">
        <v>17782</v>
      </c>
      <c r="SYU1" t="s">
        <v>17783</v>
      </c>
      <c r="SYV1" t="s">
        <v>17784</v>
      </c>
      <c r="SYW1" t="s">
        <v>17785</v>
      </c>
      <c r="SYX1" t="s">
        <v>17786</v>
      </c>
      <c r="SYY1" t="s">
        <v>17787</v>
      </c>
      <c r="SYZ1" t="s">
        <v>17788</v>
      </c>
      <c r="SZA1" t="s">
        <v>17789</v>
      </c>
      <c r="SZB1" t="s">
        <v>17790</v>
      </c>
      <c r="SZC1" t="s">
        <v>17791</v>
      </c>
      <c r="SZD1" t="s">
        <v>17792</v>
      </c>
      <c r="SZE1" t="s">
        <v>17793</v>
      </c>
      <c r="SZF1" t="s">
        <v>17794</v>
      </c>
      <c r="SZG1" t="s">
        <v>17795</v>
      </c>
      <c r="SZH1" t="s">
        <v>17796</v>
      </c>
      <c r="SZI1" t="s">
        <v>17797</v>
      </c>
      <c r="SZJ1" t="s">
        <v>17798</v>
      </c>
      <c r="SZK1" t="s">
        <v>17799</v>
      </c>
      <c r="SZL1" t="s">
        <v>17800</v>
      </c>
      <c r="SZM1" t="s">
        <v>17801</v>
      </c>
      <c r="SZN1" t="s">
        <v>17802</v>
      </c>
      <c r="SZO1" t="s">
        <v>17803</v>
      </c>
      <c r="SZP1" t="s">
        <v>17804</v>
      </c>
      <c r="SZQ1" t="s">
        <v>17805</v>
      </c>
      <c r="SZR1" t="s">
        <v>17806</v>
      </c>
      <c r="SZS1" t="s">
        <v>17807</v>
      </c>
      <c r="SZT1" t="s">
        <v>17808</v>
      </c>
      <c r="SZU1" t="s">
        <v>17809</v>
      </c>
      <c r="SZV1" t="s">
        <v>17810</v>
      </c>
      <c r="SZW1" t="s">
        <v>17811</v>
      </c>
      <c r="SZX1" t="s">
        <v>17812</v>
      </c>
      <c r="SZY1" t="s">
        <v>17813</v>
      </c>
      <c r="SZZ1" t="s">
        <v>17814</v>
      </c>
      <c r="TAA1" t="s">
        <v>17815</v>
      </c>
      <c r="TAB1" t="s">
        <v>17816</v>
      </c>
      <c r="TAC1" t="s">
        <v>17817</v>
      </c>
      <c r="TAD1" t="s">
        <v>17818</v>
      </c>
      <c r="TAE1" t="s">
        <v>17819</v>
      </c>
      <c r="TAF1" t="s">
        <v>17820</v>
      </c>
      <c r="TAG1" t="s">
        <v>17821</v>
      </c>
      <c r="TAH1" t="s">
        <v>17822</v>
      </c>
      <c r="TAI1" t="s">
        <v>17823</v>
      </c>
      <c r="TAJ1" t="s">
        <v>17824</v>
      </c>
      <c r="TAK1" t="s">
        <v>17825</v>
      </c>
      <c r="TAL1" t="s">
        <v>17826</v>
      </c>
      <c r="TAM1" t="s">
        <v>17827</v>
      </c>
      <c r="TAN1" t="s">
        <v>17828</v>
      </c>
      <c r="TAO1" t="s">
        <v>17829</v>
      </c>
      <c r="TAP1" t="s">
        <v>17830</v>
      </c>
      <c r="TAQ1" t="s">
        <v>17831</v>
      </c>
      <c r="TAR1" t="s">
        <v>17832</v>
      </c>
      <c r="TAS1" t="s">
        <v>17833</v>
      </c>
      <c r="TAT1" t="s">
        <v>17834</v>
      </c>
      <c r="TAU1" t="s">
        <v>17835</v>
      </c>
      <c r="TAV1" t="s">
        <v>17836</v>
      </c>
      <c r="TAW1" t="s">
        <v>17837</v>
      </c>
      <c r="TAX1" t="s">
        <v>17838</v>
      </c>
      <c r="TAY1" t="s">
        <v>17839</v>
      </c>
      <c r="TAZ1" t="s">
        <v>17840</v>
      </c>
      <c r="TBA1" t="s">
        <v>17841</v>
      </c>
      <c r="TBB1" t="s">
        <v>17842</v>
      </c>
      <c r="TBC1" t="s">
        <v>17843</v>
      </c>
      <c r="TBD1" t="s">
        <v>17844</v>
      </c>
      <c r="TBE1" t="s">
        <v>17845</v>
      </c>
      <c r="TBF1" t="s">
        <v>17846</v>
      </c>
      <c r="TBG1" t="s">
        <v>17847</v>
      </c>
      <c r="TBH1" t="s">
        <v>17848</v>
      </c>
      <c r="TBI1" t="s">
        <v>17849</v>
      </c>
      <c r="TBJ1" t="s">
        <v>17850</v>
      </c>
      <c r="TBK1" t="s">
        <v>17851</v>
      </c>
      <c r="TBL1" t="s">
        <v>17852</v>
      </c>
      <c r="TBM1" t="s">
        <v>17853</v>
      </c>
      <c r="TBN1" t="s">
        <v>17854</v>
      </c>
      <c r="TBO1" t="s">
        <v>17855</v>
      </c>
      <c r="TBP1" t="s">
        <v>17856</v>
      </c>
      <c r="TBQ1" t="s">
        <v>17857</v>
      </c>
      <c r="TBR1" t="s">
        <v>17858</v>
      </c>
      <c r="TBS1" t="s">
        <v>17859</v>
      </c>
      <c r="TBT1" t="s">
        <v>17860</v>
      </c>
      <c r="TBU1" t="s">
        <v>17861</v>
      </c>
      <c r="TBV1" t="s">
        <v>17862</v>
      </c>
      <c r="TBW1" t="s">
        <v>17863</v>
      </c>
      <c r="TBX1" t="s">
        <v>17864</v>
      </c>
      <c r="TBY1" t="s">
        <v>17865</v>
      </c>
      <c r="TBZ1" t="s">
        <v>17866</v>
      </c>
      <c r="TCA1" t="s">
        <v>17867</v>
      </c>
      <c r="TCB1" t="s">
        <v>17868</v>
      </c>
      <c r="TCC1" t="s">
        <v>17869</v>
      </c>
      <c r="TCD1" t="s">
        <v>17870</v>
      </c>
      <c r="TCE1" t="s">
        <v>17871</v>
      </c>
      <c r="TCF1" t="s">
        <v>17872</v>
      </c>
      <c r="TCG1" t="s">
        <v>17873</v>
      </c>
      <c r="TCH1" t="s">
        <v>17874</v>
      </c>
      <c r="TCI1" t="s">
        <v>17875</v>
      </c>
      <c r="TCJ1" t="s">
        <v>17876</v>
      </c>
      <c r="TCK1" t="s">
        <v>17877</v>
      </c>
      <c r="TCL1" t="s">
        <v>17878</v>
      </c>
      <c r="TCM1" t="s">
        <v>17879</v>
      </c>
      <c r="TCN1" t="s">
        <v>17880</v>
      </c>
      <c r="TCO1" t="s">
        <v>17881</v>
      </c>
      <c r="TCP1" t="s">
        <v>17882</v>
      </c>
      <c r="TCQ1" t="s">
        <v>17883</v>
      </c>
      <c r="TCR1" t="s">
        <v>17884</v>
      </c>
      <c r="TCS1" t="s">
        <v>17885</v>
      </c>
      <c r="TCT1" t="s">
        <v>17886</v>
      </c>
      <c r="TCU1" t="s">
        <v>17887</v>
      </c>
      <c r="TCV1" t="s">
        <v>17888</v>
      </c>
      <c r="TCW1" t="s">
        <v>17889</v>
      </c>
      <c r="TCX1" t="s">
        <v>17890</v>
      </c>
      <c r="TCY1" t="s">
        <v>17891</v>
      </c>
      <c r="TCZ1" t="s">
        <v>17892</v>
      </c>
      <c r="TDA1" t="s">
        <v>17893</v>
      </c>
      <c r="TDB1" t="s">
        <v>17894</v>
      </c>
      <c r="TDC1" t="s">
        <v>17895</v>
      </c>
      <c r="TDD1" t="s">
        <v>17896</v>
      </c>
      <c r="TDE1" t="s">
        <v>17897</v>
      </c>
      <c r="TDF1" t="s">
        <v>17898</v>
      </c>
      <c r="TDG1" t="s">
        <v>17899</v>
      </c>
      <c r="TDH1" t="s">
        <v>17900</v>
      </c>
      <c r="TDI1" t="s">
        <v>17901</v>
      </c>
      <c r="TDJ1" t="s">
        <v>17902</v>
      </c>
      <c r="TDK1" t="s">
        <v>17903</v>
      </c>
      <c r="TDL1" t="s">
        <v>17904</v>
      </c>
      <c r="TDM1" t="s">
        <v>17905</v>
      </c>
      <c r="TDN1" t="s">
        <v>17906</v>
      </c>
      <c r="TDO1" t="s">
        <v>17907</v>
      </c>
      <c r="TDP1" t="s">
        <v>17908</v>
      </c>
      <c r="TDQ1" t="s">
        <v>17909</v>
      </c>
      <c r="TDR1" t="s">
        <v>17910</v>
      </c>
      <c r="TDS1" t="s">
        <v>17911</v>
      </c>
      <c r="TDT1" t="s">
        <v>17912</v>
      </c>
      <c r="TDU1" t="s">
        <v>17913</v>
      </c>
      <c r="TDV1" t="s">
        <v>17914</v>
      </c>
      <c r="TDW1" t="s">
        <v>17915</v>
      </c>
      <c r="TDX1" t="s">
        <v>17916</v>
      </c>
      <c r="TDY1" t="s">
        <v>17917</v>
      </c>
      <c r="TDZ1" t="s">
        <v>17918</v>
      </c>
      <c r="TEA1" t="s">
        <v>17919</v>
      </c>
      <c r="TEB1" t="s">
        <v>17920</v>
      </c>
      <c r="TEC1" t="s">
        <v>17921</v>
      </c>
      <c r="TED1" t="s">
        <v>17922</v>
      </c>
      <c r="TEE1" t="s">
        <v>17923</v>
      </c>
      <c r="TEF1" t="s">
        <v>17924</v>
      </c>
      <c r="TEG1" t="s">
        <v>17925</v>
      </c>
      <c r="TEH1" t="s">
        <v>17926</v>
      </c>
      <c r="TEI1" t="s">
        <v>17927</v>
      </c>
      <c r="TEJ1" t="s">
        <v>17928</v>
      </c>
      <c r="TEK1" t="s">
        <v>17929</v>
      </c>
      <c r="TEL1" t="s">
        <v>17930</v>
      </c>
      <c r="TEM1" t="s">
        <v>17931</v>
      </c>
      <c r="TEN1" t="s">
        <v>17932</v>
      </c>
      <c r="TEO1" t="s">
        <v>17933</v>
      </c>
      <c r="TEP1" t="s">
        <v>17934</v>
      </c>
      <c r="TEQ1" t="s">
        <v>17935</v>
      </c>
      <c r="TER1" t="s">
        <v>17936</v>
      </c>
      <c r="TES1" t="s">
        <v>17937</v>
      </c>
      <c r="TET1" t="s">
        <v>17938</v>
      </c>
      <c r="TEU1" t="s">
        <v>17939</v>
      </c>
      <c r="TEV1" t="s">
        <v>17940</v>
      </c>
      <c r="TEW1" t="s">
        <v>17941</v>
      </c>
      <c r="TEX1" t="s">
        <v>17942</v>
      </c>
      <c r="TEY1" t="s">
        <v>17943</v>
      </c>
      <c r="TEZ1" t="s">
        <v>17944</v>
      </c>
      <c r="TFA1" t="s">
        <v>17945</v>
      </c>
      <c r="TFB1" t="s">
        <v>17946</v>
      </c>
      <c r="TFC1" t="s">
        <v>17947</v>
      </c>
      <c r="TFD1" t="s">
        <v>17948</v>
      </c>
      <c r="TFE1" t="s">
        <v>17949</v>
      </c>
      <c r="TFF1" t="s">
        <v>17950</v>
      </c>
      <c r="TFG1" t="s">
        <v>17951</v>
      </c>
      <c r="TFH1" t="s">
        <v>17952</v>
      </c>
      <c r="TFI1" t="s">
        <v>17953</v>
      </c>
      <c r="TFJ1" t="s">
        <v>17954</v>
      </c>
      <c r="TFK1" t="s">
        <v>17955</v>
      </c>
      <c r="TFL1" t="s">
        <v>17956</v>
      </c>
      <c r="TFM1" t="s">
        <v>17957</v>
      </c>
      <c r="TFN1" t="s">
        <v>17958</v>
      </c>
      <c r="TFO1" t="s">
        <v>17959</v>
      </c>
      <c r="TFP1" t="s">
        <v>17960</v>
      </c>
      <c r="TFQ1" t="s">
        <v>17961</v>
      </c>
      <c r="TFR1" t="s">
        <v>17962</v>
      </c>
      <c r="TFS1" t="s">
        <v>17963</v>
      </c>
      <c r="TFT1" t="s">
        <v>17964</v>
      </c>
      <c r="TFU1" t="s">
        <v>17965</v>
      </c>
      <c r="TFV1" t="s">
        <v>17966</v>
      </c>
      <c r="TFW1" t="s">
        <v>17967</v>
      </c>
      <c r="TFX1" t="s">
        <v>17968</v>
      </c>
      <c r="TFY1" t="s">
        <v>17969</v>
      </c>
      <c r="TFZ1" t="s">
        <v>17970</v>
      </c>
      <c r="TGA1" t="s">
        <v>17971</v>
      </c>
      <c r="TGB1" t="s">
        <v>17972</v>
      </c>
      <c r="TGC1" t="s">
        <v>17973</v>
      </c>
      <c r="TGD1" t="s">
        <v>17974</v>
      </c>
      <c r="TGE1" t="s">
        <v>17975</v>
      </c>
      <c r="TGF1" t="s">
        <v>17976</v>
      </c>
      <c r="TGG1" t="s">
        <v>17977</v>
      </c>
      <c r="TGH1" t="s">
        <v>17978</v>
      </c>
      <c r="TGI1" t="s">
        <v>17979</v>
      </c>
      <c r="TGJ1" t="s">
        <v>17980</v>
      </c>
      <c r="TGK1" t="s">
        <v>17981</v>
      </c>
      <c r="TGL1" t="s">
        <v>17982</v>
      </c>
      <c r="TGM1" t="s">
        <v>17983</v>
      </c>
      <c r="TGN1" t="s">
        <v>17984</v>
      </c>
      <c r="TGO1" t="s">
        <v>17985</v>
      </c>
      <c r="TGP1" t="s">
        <v>17986</v>
      </c>
      <c r="TGQ1" t="s">
        <v>17987</v>
      </c>
      <c r="TGR1" t="s">
        <v>17988</v>
      </c>
      <c r="TGS1" t="s">
        <v>17989</v>
      </c>
      <c r="TGT1" t="s">
        <v>17990</v>
      </c>
      <c r="TGU1" t="s">
        <v>17991</v>
      </c>
      <c r="TGV1" t="s">
        <v>17992</v>
      </c>
      <c r="TGW1" t="s">
        <v>17993</v>
      </c>
      <c r="TGX1" t="s">
        <v>17994</v>
      </c>
      <c r="TGY1" t="s">
        <v>17995</v>
      </c>
      <c r="TGZ1" t="s">
        <v>17996</v>
      </c>
      <c r="THA1" t="s">
        <v>17997</v>
      </c>
      <c r="THB1" t="s">
        <v>17998</v>
      </c>
      <c r="THC1" t="s">
        <v>17999</v>
      </c>
      <c r="THD1" t="s">
        <v>18000</v>
      </c>
      <c r="THE1" t="s">
        <v>18001</v>
      </c>
      <c r="THF1" t="s">
        <v>18002</v>
      </c>
      <c r="THG1" t="s">
        <v>18003</v>
      </c>
      <c r="THH1" t="s">
        <v>18004</v>
      </c>
      <c r="THI1" t="s">
        <v>18005</v>
      </c>
      <c r="THJ1" t="s">
        <v>18006</v>
      </c>
      <c r="THK1" t="s">
        <v>18007</v>
      </c>
      <c r="THL1" t="s">
        <v>18008</v>
      </c>
      <c r="THM1" t="s">
        <v>18009</v>
      </c>
      <c r="THN1" t="s">
        <v>18010</v>
      </c>
      <c r="THO1" t="s">
        <v>18011</v>
      </c>
      <c r="THP1" t="s">
        <v>18012</v>
      </c>
      <c r="THQ1" t="s">
        <v>18013</v>
      </c>
      <c r="THR1" t="s">
        <v>18014</v>
      </c>
      <c r="THS1" t="s">
        <v>18015</v>
      </c>
      <c r="THT1" t="s">
        <v>18016</v>
      </c>
      <c r="THU1" t="s">
        <v>18017</v>
      </c>
      <c r="THV1" t="s">
        <v>18018</v>
      </c>
      <c r="THW1" t="s">
        <v>18019</v>
      </c>
      <c r="THX1" t="s">
        <v>18020</v>
      </c>
      <c r="THY1" t="s">
        <v>18021</v>
      </c>
      <c r="THZ1" t="s">
        <v>18022</v>
      </c>
      <c r="TIA1" t="s">
        <v>18023</v>
      </c>
      <c r="TIB1" t="s">
        <v>18024</v>
      </c>
      <c r="TIC1" t="s">
        <v>18025</v>
      </c>
      <c r="TID1" t="s">
        <v>18026</v>
      </c>
      <c r="TIE1" t="s">
        <v>18027</v>
      </c>
      <c r="TIF1" t="s">
        <v>18028</v>
      </c>
      <c r="TIG1" t="s">
        <v>18029</v>
      </c>
      <c r="TIH1" t="s">
        <v>18030</v>
      </c>
      <c r="TII1" t="s">
        <v>18031</v>
      </c>
      <c r="TIJ1" t="s">
        <v>18032</v>
      </c>
      <c r="TIK1" t="s">
        <v>18033</v>
      </c>
      <c r="TIL1" t="s">
        <v>18034</v>
      </c>
      <c r="TIM1" t="s">
        <v>18035</v>
      </c>
      <c r="TIN1" t="s">
        <v>18036</v>
      </c>
      <c r="TIO1" t="s">
        <v>18037</v>
      </c>
      <c r="TIP1" t="s">
        <v>18038</v>
      </c>
      <c r="TIQ1" t="s">
        <v>18039</v>
      </c>
      <c r="TIR1" t="s">
        <v>18040</v>
      </c>
      <c r="TIS1" t="s">
        <v>18041</v>
      </c>
      <c r="TIT1" t="s">
        <v>18042</v>
      </c>
      <c r="TIU1" t="s">
        <v>18043</v>
      </c>
      <c r="TIV1" t="s">
        <v>18044</v>
      </c>
      <c r="TIW1" t="s">
        <v>18045</v>
      </c>
      <c r="TIX1" t="s">
        <v>18046</v>
      </c>
      <c r="TIY1" t="s">
        <v>18047</v>
      </c>
      <c r="TIZ1" t="s">
        <v>18048</v>
      </c>
      <c r="TJA1" t="s">
        <v>18049</v>
      </c>
      <c r="TJB1" t="s">
        <v>18050</v>
      </c>
      <c r="TJC1" t="s">
        <v>18051</v>
      </c>
      <c r="TJD1" t="s">
        <v>18052</v>
      </c>
      <c r="TJE1" t="s">
        <v>18053</v>
      </c>
      <c r="TJF1" t="s">
        <v>18054</v>
      </c>
      <c r="TJG1" t="s">
        <v>18055</v>
      </c>
      <c r="TJH1" t="s">
        <v>18056</v>
      </c>
      <c r="TJI1" t="s">
        <v>18057</v>
      </c>
      <c r="TJJ1" t="s">
        <v>18058</v>
      </c>
      <c r="TJK1" t="s">
        <v>18059</v>
      </c>
      <c r="TJL1" t="s">
        <v>18060</v>
      </c>
      <c r="TJM1" t="s">
        <v>18061</v>
      </c>
      <c r="TJN1" t="s">
        <v>18062</v>
      </c>
      <c r="TJO1" t="s">
        <v>18063</v>
      </c>
      <c r="TJP1" t="s">
        <v>18064</v>
      </c>
      <c r="TJQ1" t="s">
        <v>18065</v>
      </c>
      <c r="TJR1" t="s">
        <v>18066</v>
      </c>
      <c r="TJS1" t="s">
        <v>18067</v>
      </c>
      <c r="TJT1" t="s">
        <v>18068</v>
      </c>
      <c r="TJU1" t="s">
        <v>18069</v>
      </c>
      <c r="TJV1" t="s">
        <v>18070</v>
      </c>
      <c r="TJW1" t="s">
        <v>18071</v>
      </c>
      <c r="TJX1" t="s">
        <v>18072</v>
      </c>
      <c r="TJY1" t="s">
        <v>18073</v>
      </c>
      <c r="TJZ1" t="s">
        <v>18074</v>
      </c>
      <c r="TKA1" t="s">
        <v>18075</v>
      </c>
      <c r="TKB1" t="s">
        <v>18076</v>
      </c>
      <c r="TKC1" t="s">
        <v>18077</v>
      </c>
      <c r="TKD1" t="s">
        <v>18078</v>
      </c>
      <c r="TKE1" t="s">
        <v>18079</v>
      </c>
      <c r="TKF1" t="s">
        <v>18080</v>
      </c>
      <c r="TKG1" t="s">
        <v>18081</v>
      </c>
      <c r="TKH1" t="s">
        <v>18082</v>
      </c>
      <c r="TKI1" t="s">
        <v>18083</v>
      </c>
      <c r="TKJ1" t="s">
        <v>18084</v>
      </c>
      <c r="TKK1" t="s">
        <v>18085</v>
      </c>
      <c r="TKL1" t="s">
        <v>18086</v>
      </c>
      <c r="TKM1" t="s">
        <v>18087</v>
      </c>
      <c r="TKN1" t="s">
        <v>18088</v>
      </c>
      <c r="TKO1" t="s">
        <v>18089</v>
      </c>
      <c r="TKP1" t="s">
        <v>18090</v>
      </c>
      <c r="TKQ1" t="s">
        <v>18091</v>
      </c>
      <c r="TKR1" t="s">
        <v>18092</v>
      </c>
      <c r="TKS1" t="s">
        <v>18093</v>
      </c>
      <c r="TKT1" t="s">
        <v>18094</v>
      </c>
      <c r="TKU1" t="s">
        <v>18095</v>
      </c>
      <c r="TKV1" t="s">
        <v>18096</v>
      </c>
      <c r="TKW1" t="s">
        <v>18097</v>
      </c>
      <c r="TKX1" t="s">
        <v>18098</v>
      </c>
      <c r="TKY1" t="s">
        <v>18099</v>
      </c>
      <c r="TKZ1" t="s">
        <v>18100</v>
      </c>
      <c r="TLA1" t="s">
        <v>18101</v>
      </c>
      <c r="TLB1" t="s">
        <v>18102</v>
      </c>
      <c r="TLC1" t="s">
        <v>18103</v>
      </c>
      <c r="TLD1" t="s">
        <v>18104</v>
      </c>
      <c r="TLE1" t="s">
        <v>18105</v>
      </c>
      <c r="TLF1" t="s">
        <v>18106</v>
      </c>
      <c r="TLG1" t="s">
        <v>18107</v>
      </c>
      <c r="TLH1" t="s">
        <v>18108</v>
      </c>
      <c r="TLI1" t="s">
        <v>18109</v>
      </c>
      <c r="TLJ1" t="s">
        <v>18110</v>
      </c>
      <c r="TLK1" t="s">
        <v>18111</v>
      </c>
      <c r="TLL1" t="s">
        <v>18112</v>
      </c>
      <c r="TLM1" t="s">
        <v>18113</v>
      </c>
      <c r="TLN1" t="s">
        <v>18114</v>
      </c>
      <c r="TLO1" t="s">
        <v>18115</v>
      </c>
      <c r="TLP1" t="s">
        <v>18116</v>
      </c>
      <c r="TLQ1" t="s">
        <v>18117</v>
      </c>
      <c r="TLR1" t="s">
        <v>18118</v>
      </c>
      <c r="TLS1" t="s">
        <v>18119</v>
      </c>
      <c r="TLT1" t="s">
        <v>18120</v>
      </c>
      <c r="TLU1" t="s">
        <v>18121</v>
      </c>
      <c r="TLV1" t="s">
        <v>18122</v>
      </c>
      <c r="TLW1" t="s">
        <v>18123</v>
      </c>
      <c r="TLX1" t="s">
        <v>18124</v>
      </c>
      <c r="TLY1" t="s">
        <v>18125</v>
      </c>
      <c r="TLZ1" t="s">
        <v>18126</v>
      </c>
      <c r="TMA1" t="s">
        <v>18127</v>
      </c>
      <c r="TMB1" t="s">
        <v>18128</v>
      </c>
      <c r="TMC1" t="s">
        <v>18129</v>
      </c>
      <c r="TMD1" t="s">
        <v>18130</v>
      </c>
      <c r="TME1" t="s">
        <v>18131</v>
      </c>
      <c r="TMF1" t="s">
        <v>18132</v>
      </c>
      <c r="TMG1" t="s">
        <v>18133</v>
      </c>
      <c r="TMH1" t="s">
        <v>18134</v>
      </c>
      <c r="TMI1" t="s">
        <v>18135</v>
      </c>
      <c r="TMJ1" t="s">
        <v>18136</v>
      </c>
      <c r="TMK1" t="s">
        <v>18137</v>
      </c>
      <c r="TML1" t="s">
        <v>18138</v>
      </c>
      <c r="TMM1" t="s">
        <v>18139</v>
      </c>
      <c r="TMN1" t="s">
        <v>18140</v>
      </c>
      <c r="TMO1" t="s">
        <v>18141</v>
      </c>
      <c r="TMP1" t="s">
        <v>18142</v>
      </c>
      <c r="TMQ1" t="s">
        <v>18143</v>
      </c>
      <c r="TMR1" t="s">
        <v>18144</v>
      </c>
      <c r="TMS1" t="s">
        <v>18145</v>
      </c>
      <c r="TMT1" t="s">
        <v>18146</v>
      </c>
      <c r="TMU1" t="s">
        <v>18147</v>
      </c>
      <c r="TMV1" t="s">
        <v>18148</v>
      </c>
      <c r="TMW1" t="s">
        <v>18149</v>
      </c>
      <c r="TMX1" t="s">
        <v>18150</v>
      </c>
      <c r="TMY1" t="s">
        <v>18151</v>
      </c>
      <c r="TMZ1" t="s">
        <v>18152</v>
      </c>
      <c r="TNA1" t="s">
        <v>18153</v>
      </c>
      <c r="TNB1" t="s">
        <v>18154</v>
      </c>
      <c r="TNC1" t="s">
        <v>18155</v>
      </c>
      <c r="TND1" t="s">
        <v>18156</v>
      </c>
      <c r="TNE1" t="s">
        <v>18157</v>
      </c>
      <c r="TNF1" t="s">
        <v>18158</v>
      </c>
      <c r="TNG1" t="s">
        <v>18159</v>
      </c>
      <c r="TNH1" t="s">
        <v>18160</v>
      </c>
      <c r="TNI1" t="s">
        <v>18161</v>
      </c>
      <c r="TNJ1" t="s">
        <v>18162</v>
      </c>
      <c r="TNK1" t="s">
        <v>18163</v>
      </c>
      <c r="TNL1" t="s">
        <v>18164</v>
      </c>
      <c r="TNM1" t="s">
        <v>18165</v>
      </c>
      <c r="TNN1" t="s">
        <v>18166</v>
      </c>
      <c r="TNO1" t="s">
        <v>18167</v>
      </c>
      <c r="TNP1" t="s">
        <v>18168</v>
      </c>
      <c r="TNQ1" t="s">
        <v>18169</v>
      </c>
      <c r="TNR1" t="s">
        <v>18170</v>
      </c>
      <c r="TNS1" t="s">
        <v>18171</v>
      </c>
      <c r="TNT1" t="s">
        <v>18172</v>
      </c>
      <c r="TNU1" t="s">
        <v>18173</v>
      </c>
      <c r="TNV1" t="s">
        <v>18174</v>
      </c>
      <c r="TNW1" t="s">
        <v>18175</v>
      </c>
      <c r="TNX1" t="s">
        <v>18176</v>
      </c>
      <c r="TNY1" t="s">
        <v>18177</v>
      </c>
      <c r="TNZ1" t="s">
        <v>18178</v>
      </c>
      <c r="TOA1" t="s">
        <v>18179</v>
      </c>
      <c r="TOB1" t="s">
        <v>18180</v>
      </c>
      <c r="TOC1" t="s">
        <v>18181</v>
      </c>
      <c r="TOD1" t="s">
        <v>18182</v>
      </c>
      <c r="TOE1" t="s">
        <v>18183</v>
      </c>
      <c r="TOF1" t="s">
        <v>18184</v>
      </c>
      <c r="TOG1" t="s">
        <v>18185</v>
      </c>
      <c r="TOH1" t="s">
        <v>18186</v>
      </c>
      <c r="TOI1" t="s">
        <v>18187</v>
      </c>
      <c r="TOJ1" t="s">
        <v>18188</v>
      </c>
      <c r="TOK1" t="s">
        <v>18189</v>
      </c>
      <c r="TOL1" t="s">
        <v>18190</v>
      </c>
      <c r="TOM1" t="s">
        <v>18191</v>
      </c>
      <c r="TON1" t="s">
        <v>18192</v>
      </c>
      <c r="TOO1" t="s">
        <v>18193</v>
      </c>
      <c r="TOP1" t="s">
        <v>18194</v>
      </c>
      <c r="TOQ1" t="s">
        <v>18195</v>
      </c>
      <c r="TOR1" t="s">
        <v>18196</v>
      </c>
      <c r="TOS1" t="s">
        <v>18197</v>
      </c>
      <c r="TOT1" t="s">
        <v>18198</v>
      </c>
      <c r="TOU1" t="s">
        <v>18199</v>
      </c>
      <c r="TOV1" t="s">
        <v>18200</v>
      </c>
      <c r="TOW1" t="s">
        <v>18201</v>
      </c>
      <c r="TOX1" t="s">
        <v>18202</v>
      </c>
      <c r="TOY1" t="s">
        <v>18203</v>
      </c>
      <c r="TOZ1" t="s">
        <v>18204</v>
      </c>
      <c r="TPA1" t="s">
        <v>18205</v>
      </c>
      <c r="TPB1" t="s">
        <v>18206</v>
      </c>
      <c r="TPC1" t="s">
        <v>18207</v>
      </c>
      <c r="TPD1" t="s">
        <v>18208</v>
      </c>
      <c r="TPE1" t="s">
        <v>18209</v>
      </c>
      <c r="TPF1" t="s">
        <v>18210</v>
      </c>
      <c r="TPG1" t="s">
        <v>18211</v>
      </c>
      <c r="TPH1" t="s">
        <v>18212</v>
      </c>
      <c r="TPI1" t="s">
        <v>18213</v>
      </c>
      <c r="TPJ1" t="s">
        <v>18214</v>
      </c>
      <c r="TPK1" t="s">
        <v>18215</v>
      </c>
      <c r="TPL1" t="s">
        <v>18216</v>
      </c>
      <c r="TPM1" t="s">
        <v>18217</v>
      </c>
      <c r="TPN1" t="s">
        <v>18218</v>
      </c>
      <c r="TPO1" t="s">
        <v>18219</v>
      </c>
      <c r="TPP1" t="s">
        <v>18220</v>
      </c>
      <c r="TPQ1" t="s">
        <v>18221</v>
      </c>
      <c r="TPR1" t="s">
        <v>18222</v>
      </c>
      <c r="TPS1" t="s">
        <v>18223</v>
      </c>
      <c r="TPT1" t="s">
        <v>18224</v>
      </c>
      <c r="TPU1" t="s">
        <v>18225</v>
      </c>
      <c r="TPV1" t="s">
        <v>18226</v>
      </c>
      <c r="TPW1" t="s">
        <v>18227</v>
      </c>
      <c r="TPX1" t="s">
        <v>18228</v>
      </c>
      <c r="TPY1" t="s">
        <v>18229</v>
      </c>
      <c r="TPZ1" t="s">
        <v>18230</v>
      </c>
      <c r="TQA1" t="s">
        <v>18231</v>
      </c>
      <c r="TQB1" t="s">
        <v>18232</v>
      </c>
      <c r="TQC1" t="s">
        <v>18233</v>
      </c>
      <c r="TQD1" t="s">
        <v>18234</v>
      </c>
      <c r="TQE1" t="s">
        <v>18235</v>
      </c>
      <c r="TQF1" t="s">
        <v>18236</v>
      </c>
      <c r="TQG1" t="s">
        <v>18237</v>
      </c>
      <c r="TQH1" t="s">
        <v>18238</v>
      </c>
      <c r="TQI1" t="s">
        <v>18239</v>
      </c>
      <c r="TQJ1" t="s">
        <v>18240</v>
      </c>
      <c r="TQK1" t="s">
        <v>18241</v>
      </c>
      <c r="TQL1" t="s">
        <v>18242</v>
      </c>
      <c r="TQM1" t="s">
        <v>18243</v>
      </c>
      <c r="TQN1" t="s">
        <v>18244</v>
      </c>
      <c r="TQO1" t="s">
        <v>18245</v>
      </c>
      <c r="TQP1" t="s">
        <v>18246</v>
      </c>
      <c r="TQQ1" t="s">
        <v>18247</v>
      </c>
      <c r="TQR1" t="s">
        <v>18248</v>
      </c>
      <c r="TQS1" t="s">
        <v>18249</v>
      </c>
      <c r="TQT1" t="s">
        <v>18250</v>
      </c>
      <c r="TQU1" t="s">
        <v>18251</v>
      </c>
      <c r="TQV1" t="s">
        <v>18252</v>
      </c>
      <c r="TQW1" t="s">
        <v>18253</v>
      </c>
      <c r="TQX1" t="s">
        <v>18254</v>
      </c>
      <c r="TQY1" t="s">
        <v>18255</v>
      </c>
      <c r="TQZ1" t="s">
        <v>18256</v>
      </c>
      <c r="TRA1" t="s">
        <v>18257</v>
      </c>
      <c r="TRB1" t="s">
        <v>18258</v>
      </c>
      <c r="TRC1" t="s">
        <v>18259</v>
      </c>
      <c r="TRD1" t="s">
        <v>18260</v>
      </c>
      <c r="TRE1" t="s">
        <v>18261</v>
      </c>
      <c r="TRF1" t="s">
        <v>18262</v>
      </c>
      <c r="TRG1" t="s">
        <v>18263</v>
      </c>
      <c r="TRH1" t="s">
        <v>18264</v>
      </c>
      <c r="TRI1" t="s">
        <v>18265</v>
      </c>
      <c r="TRJ1" t="s">
        <v>18266</v>
      </c>
      <c r="TRK1" t="s">
        <v>18267</v>
      </c>
      <c r="TRL1" t="s">
        <v>18268</v>
      </c>
      <c r="TRM1" t="s">
        <v>18269</v>
      </c>
      <c r="TRN1" t="s">
        <v>18270</v>
      </c>
      <c r="TRO1" t="s">
        <v>18271</v>
      </c>
      <c r="TRP1" t="s">
        <v>18272</v>
      </c>
      <c r="TRQ1" t="s">
        <v>18273</v>
      </c>
      <c r="TRR1" t="s">
        <v>18274</v>
      </c>
      <c r="TRS1" t="s">
        <v>18275</v>
      </c>
      <c r="TRT1" t="s">
        <v>18276</v>
      </c>
      <c r="TRU1" t="s">
        <v>18277</v>
      </c>
      <c r="TRV1" t="s">
        <v>18278</v>
      </c>
      <c r="TRW1" t="s">
        <v>18279</v>
      </c>
      <c r="TRX1" t="s">
        <v>18280</v>
      </c>
      <c r="TRY1" t="s">
        <v>18281</v>
      </c>
      <c r="TRZ1" t="s">
        <v>18282</v>
      </c>
      <c r="TSA1" t="s">
        <v>18283</v>
      </c>
      <c r="TSB1" t="s">
        <v>18284</v>
      </c>
      <c r="TSC1" t="s">
        <v>18285</v>
      </c>
      <c r="TSD1" t="s">
        <v>18286</v>
      </c>
      <c r="TSE1" t="s">
        <v>18287</v>
      </c>
      <c r="TSF1" t="s">
        <v>18288</v>
      </c>
      <c r="TSG1" t="s">
        <v>18289</v>
      </c>
      <c r="TSH1" t="s">
        <v>18290</v>
      </c>
      <c r="TSI1" t="s">
        <v>18291</v>
      </c>
      <c r="TSJ1" t="s">
        <v>18292</v>
      </c>
      <c r="TSK1" t="s">
        <v>18293</v>
      </c>
      <c r="TSL1" t="s">
        <v>18294</v>
      </c>
      <c r="TSM1" t="s">
        <v>18295</v>
      </c>
      <c r="TSN1" t="s">
        <v>18296</v>
      </c>
      <c r="TSO1" t="s">
        <v>18297</v>
      </c>
      <c r="TSP1" t="s">
        <v>18298</v>
      </c>
      <c r="TSQ1" t="s">
        <v>18299</v>
      </c>
      <c r="TSR1" t="s">
        <v>18300</v>
      </c>
      <c r="TSS1" t="s">
        <v>18301</v>
      </c>
      <c r="TST1" t="s">
        <v>18302</v>
      </c>
      <c r="TSU1" t="s">
        <v>18303</v>
      </c>
      <c r="TSV1" t="s">
        <v>18304</v>
      </c>
      <c r="TSW1" t="s">
        <v>18305</v>
      </c>
      <c r="TSX1" t="s">
        <v>18306</v>
      </c>
      <c r="TSY1" t="s">
        <v>18307</v>
      </c>
      <c r="TSZ1" t="s">
        <v>18308</v>
      </c>
      <c r="TTA1" t="s">
        <v>18309</v>
      </c>
      <c r="TTB1" t="s">
        <v>18310</v>
      </c>
      <c r="TTC1" t="s">
        <v>18311</v>
      </c>
      <c r="TTD1" t="s">
        <v>18312</v>
      </c>
      <c r="TTE1" t="s">
        <v>18313</v>
      </c>
      <c r="TTF1" t="s">
        <v>18314</v>
      </c>
      <c r="TTG1" t="s">
        <v>18315</v>
      </c>
      <c r="TTH1" t="s">
        <v>18316</v>
      </c>
      <c r="TTI1" t="s">
        <v>18317</v>
      </c>
      <c r="TTJ1" t="s">
        <v>18318</v>
      </c>
      <c r="TTK1" t="s">
        <v>18319</v>
      </c>
      <c r="TTL1" t="s">
        <v>18320</v>
      </c>
      <c r="TTM1" t="s">
        <v>18321</v>
      </c>
      <c r="TTN1" t="s">
        <v>18322</v>
      </c>
      <c r="TTO1" t="s">
        <v>18323</v>
      </c>
      <c r="TTP1" t="s">
        <v>18324</v>
      </c>
      <c r="TTQ1" t="s">
        <v>18325</v>
      </c>
      <c r="TTR1" t="s">
        <v>18326</v>
      </c>
      <c r="TTS1" t="s">
        <v>18327</v>
      </c>
      <c r="TTT1" t="s">
        <v>18328</v>
      </c>
      <c r="TTU1" t="s">
        <v>18329</v>
      </c>
      <c r="TTV1" t="s">
        <v>18330</v>
      </c>
      <c r="TTW1" t="s">
        <v>18331</v>
      </c>
      <c r="TTX1" t="s">
        <v>18332</v>
      </c>
      <c r="TTY1" t="s">
        <v>18333</v>
      </c>
      <c r="TTZ1" t="s">
        <v>18334</v>
      </c>
      <c r="TUA1" t="s">
        <v>18335</v>
      </c>
      <c r="TUB1" t="s">
        <v>18336</v>
      </c>
      <c r="TUC1" t="s">
        <v>18337</v>
      </c>
      <c r="TUD1" t="s">
        <v>18338</v>
      </c>
      <c r="TUE1" t="s">
        <v>18339</v>
      </c>
      <c r="TUF1" t="s">
        <v>18340</v>
      </c>
      <c r="TUG1" t="s">
        <v>18341</v>
      </c>
      <c r="TUH1" t="s">
        <v>18342</v>
      </c>
      <c r="TUI1" t="s">
        <v>18343</v>
      </c>
      <c r="TUJ1" t="s">
        <v>18344</v>
      </c>
      <c r="TUK1" t="s">
        <v>18345</v>
      </c>
      <c r="TUL1" t="s">
        <v>18346</v>
      </c>
      <c r="TUM1" t="s">
        <v>18347</v>
      </c>
      <c r="TUN1" t="s">
        <v>18348</v>
      </c>
      <c r="TUO1" t="s">
        <v>18349</v>
      </c>
      <c r="TUP1" t="s">
        <v>18350</v>
      </c>
      <c r="TUQ1" t="s">
        <v>18351</v>
      </c>
      <c r="TUR1" t="s">
        <v>18352</v>
      </c>
      <c r="TUS1" t="s">
        <v>18353</v>
      </c>
      <c r="TUT1" t="s">
        <v>18354</v>
      </c>
      <c r="TUU1" t="s">
        <v>18355</v>
      </c>
      <c r="TUV1" t="s">
        <v>18356</v>
      </c>
      <c r="TUW1" t="s">
        <v>18357</v>
      </c>
      <c r="TUX1" t="s">
        <v>18358</v>
      </c>
      <c r="TUY1" t="s">
        <v>18359</v>
      </c>
      <c r="TUZ1" t="s">
        <v>18360</v>
      </c>
      <c r="TVA1" t="s">
        <v>18361</v>
      </c>
      <c r="TVB1" t="s">
        <v>18362</v>
      </c>
      <c r="TVC1" t="s">
        <v>18363</v>
      </c>
      <c r="TVD1" t="s">
        <v>18364</v>
      </c>
      <c r="TVE1" t="s">
        <v>18365</v>
      </c>
      <c r="TVF1" t="s">
        <v>18366</v>
      </c>
      <c r="TVG1" t="s">
        <v>18367</v>
      </c>
      <c r="TVH1" t="s">
        <v>18368</v>
      </c>
      <c r="TVI1" t="s">
        <v>18369</v>
      </c>
      <c r="TVJ1" t="s">
        <v>18370</v>
      </c>
      <c r="TVK1" t="s">
        <v>18371</v>
      </c>
      <c r="TVL1" t="s">
        <v>18372</v>
      </c>
      <c r="TVM1" t="s">
        <v>18373</v>
      </c>
      <c r="TVN1" t="s">
        <v>18374</v>
      </c>
      <c r="TVO1" t="s">
        <v>18375</v>
      </c>
      <c r="TVP1" t="s">
        <v>18376</v>
      </c>
      <c r="TVQ1" t="s">
        <v>18377</v>
      </c>
      <c r="TVR1" t="s">
        <v>18378</v>
      </c>
      <c r="TVS1" t="s">
        <v>18379</v>
      </c>
      <c r="TVT1" t="s">
        <v>18380</v>
      </c>
      <c r="TVU1" t="s">
        <v>18381</v>
      </c>
      <c r="TVV1" t="s">
        <v>18382</v>
      </c>
      <c r="TVW1" t="s">
        <v>18383</v>
      </c>
      <c r="TVX1" t="s">
        <v>18384</v>
      </c>
      <c r="TVY1" t="s">
        <v>18385</v>
      </c>
      <c r="TVZ1" t="s">
        <v>18386</v>
      </c>
      <c r="TWA1" t="s">
        <v>18387</v>
      </c>
      <c r="TWB1" t="s">
        <v>18388</v>
      </c>
      <c r="TWC1" t="s">
        <v>18389</v>
      </c>
      <c r="TWD1" t="s">
        <v>18390</v>
      </c>
      <c r="TWE1" t="s">
        <v>18391</v>
      </c>
      <c r="TWF1" t="s">
        <v>18392</v>
      </c>
      <c r="TWG1" t="s">
        <v>18393</v>
      </c>
      <c r="TWH1" t="s">
        <v>18394</v>
      </c>
      <c r="TWI1" t="s">
        <v>18395</v>
      </c>
      <c r="TWJ1" t="s">
        <v>18396</v>
      </c>
      <c r="TWK1" t="s">
        <v>18397</v>
      </c>
      <c r="TWL1" t="s">
        <v>18398</v>
      </c>
      <c r="TWM1" t="s">
        <v>18399</v>
      </c>
      <c r="TWN1" t="s">
        <v>18400</v>
      </c>
      <c r="TWO1" t="s">
        <v>18401</v>
      </c>
      <c r="TWP1" t="s">
        <v>18402</v>
      </c>
      <c r="TWQ1" t="s">
        <v>18403</v>
      </c>
      <c r="TWR1" t="s">
        <v>18404</v>
      </c>
      <c r="TWS1" t="s">
        <v>18405</v>
      </c>
      <c r="TWT1" t="s">
        <v>18406</v>
      </c>
      <c r="TWU1" t="s">
        <v>18407</v>
      </c>
      <c r="TWV1" t="s">
        <v>18408</v>
      </c>
      <c r="TWW1" t="s">
        <v>18409</v>
      </c>
      <c r="TWX1" t="s">
        <v>18410</v>
      </c>
      <c r="TWY1" t="s">
        <v>18411</v>
      </c>
      <c r="TWZ1" t="s">
        <v>18412</v>
      </c>
      <c r="TXA1" t="s">
        <v>18413</v>
      </c>
      <c r="TXB1" t="s">
        <v>18414</v>
      </c>
      <c r="TXC1" t="s">
        <v>18415</v>
      </c>
      <c r="TXD1" t="s">
        <v>18416</v>
      </c>
      <c r="TXE1" t="s">
        <v>18417</v>
      </c>
      <c r="TXF1" t="s">
        <v>18418</v>
      </c>
      <c r="TXG1" t="s">
        <v>18419</v>
      </c>
      <c r="TXH1" t="s">
        <v>18420</v>
      </c>
      <c r="TXI1" t="s">
        <v>18421</v>
      </c>
      <c r="TXJ1" t="s">
        <v>18422</v>
      </c>
      <c r="TXK1" t="s">
        <v>18423</v>
      </c>
      <c r="TXL1" t="s">
        <v>18424</v>
      </c>
      <c r="TXM1" t="s">
        <v>18425</v>
      </c>
      <c r="TXN1" t="s">
        <v>18426</v>
      </c>
      <c r="TXO1" t="s">
        <v>18427</v>
      </c>
      <c r="TXP1" t="s">
        <v>18428</v>
      </c>
      <c r="TXQ1" t="s">
        <v>18429</v>
      </c>
      <c r="TXR1" t="s">
        <v>18430</v>
      </c>
      <c r="TXS1" t="s">
        <v>18431</v>
      </c>
      <c r="TXT1" t="s">
        <v>18432</v>
      </c>
      <c r="TXU1" t="s">
        <v>18433</v>
      </c>
      <c r="TXV1" t="s">
        <v>18434</v>
      </c>
      <c r="TXW1" t="s">
        <v>18435</v>
      </c>
      <c r="TXX1" t="s">
        <v>18436</v>
      </c>
      <c r="TXY1" t="s">
        <v>18437</v>
      </c>
      <c r="TXZ1" t="s">
        <v>18438</v>
      </c>
      <c r="TYA1" t="s">
        <v>18439</v>
      </c>
      <c r="TYB1" t="s">
        <v>18440</v>
      </c>
      <c r="TYC1" t="s">
        <v>18441</v>
      </c>
      <c r="TYD1" t="s">
        <v>18442</v>
      </c>
      <c r="TYE1" t="s">
        <v>18443</v>
      </c>
      <c r="TYF1" t="s">
        <v>18444</v>
      </c>
      <c r="TYG1" t="s">
        <v>18445</v>
      </c>
      <c r="TYH1" t="s">
        <v>18446</v>
      </c>
      <c r="TYI1" t="s">
        <v>18447</v>
      </c>
      <c r="TYJ1" t="s">
        <v>18448</v>
      </c>
      <c r="TYK1" t="s">
        <v>18449</v>
      </c>
      <c r="TYL1" t="s">
        <v>18450</v>
      </c>
      <c r="TYM1" t="s">
        <v>18451</v>
      </c>
      <c r="TYN1" t="s">
        <v>18452</v>
      </c>
      <c r="TYO1" t="s">
        <v>18453</v>
      </c>
      <c r="TYP1" t="s">
        <v>18454</v>
      </c>
      <c r="TYQ1" t="s">
        <v>18455</v>
      </c>
      <c r="TYR1" t="s">
        <v>18456</v>
      </c>
      <c r="TYS1" t="s">
        <v>18457</v>
      </c>
      <c r="TYT1" t="s">
        <v>18458</v>
      </c>
      <c r="TYU1" t="s">
        <v>18459</v>
      </c>
      <c r="TYV1" t="s">
        <v>18460</v>
      </c>
      <c r="TYW1" t="s">
        <v>18461</v>
      </c>
      <c r="TYX1" t="s">
        <v>18462</v>
      </c>
      <c r="TYY1" t="s">
        <v>18463</v>
      </c>
      <c r="TYZ1" t="s">
        <v>18464</v>
      </c>
      <c r="TZA1" t="s">
        <v>18465</v>
      </c>
      <c r="TZB1" t="s">
        <v>18466</v>
      </c>
      <c r="TZC1" t="s">
        <v>18467</v>
      </c>
      <c r="TZD1" t="s">
        <v>18468</v>
      </c>
      <c r="TZE1" t="s">
        <v>18469</v>
      </c>
      <c r="TZF1" t="s">
        <v>18470</v>
      </c>
      <c r="TZG1" t="s">
        <v>18471</v>
      </c>
      <c r="TZH1" t="s">
        <v>18472</v>
      </c>
      <c r="TZI1" t="s">
        <v>18473</v>
      </c>
      <c r="TZJ1" t="s">
        <v>18474</v>
      </c>
      <c r="TZK1" t="s">
        <v>18475</v>
      </c>
      <c r="TZL1" t="s">
        <v>18476</v>
      </c>
      <c r="TZM1" t="s">
        <v>18477</v>
      </c>
      <c r="TZN1" t="s">
        <v>18478</v>
      </c>
      <c r="TZO1" t="s">
        <v>18479</v>
      </c>
      <c r="TZP1" t="s">
        <v>18480</v>
      </c>
      <c r="TZQ1" t="s">
        <v>18481</v>
      </c>
      <c r="TZR1" t="s">
        <v>18482</v>
      </c>
      <c r="TZS1" t="s">
        <v>18483</v>
      </c>
      <c r="TZT1" t="s">
        <v>18484</v>
      </c>
      <c r="TZU1" t="s">
        <v>18485</v>
      </c>
      <c r="TZV1" t="s">
        <v>18486</v>
      </c>
      <c r="TZW1" t="s">
        <v>18487</v>
      </c>
      <c r="TZX1" t="s">
        <v>18488</v>
      </c>
      <c r="TZY1" t="s">
        <v>18489</v>
      </c>
      <c r="TZZ1" t="s">
        <v>18490</v>
      </c>
      <c r="UAA1" t="s">
        <v>18491</v>
      </c>
      <c r="UAB1" t="s">
        <v>18492</v>
      </c>
      <c r="UAC1" t="s">
        <v>18493</v>
      </c>
      <c r="UAD1" t="s">
        <v>18494</v>
      </c>
      <c r="UAE1" t="s">
        <v>18495</v>
      </c>
      <c r="UAF1" t="s">
        <v>18496</v>
      </c>
      <c r="UAG1" t="s">
        <v>18497</v>
      </c>
      <c r="UAH1" t="s">
        <v>18498</v>
      </c>
      <c r="UAI1" t="s">
        <v>18499</v>
      </c>
      <c r="UAJ1" t="s">
        <v>18500</v>
      </c>
      <c r="UAK1" t="s">
        <v>18501</v>
      </c>
      <c r="UAL1" t="s">
        <v>18502</v>
      </c>
      <c r="UAM1" t="s">
        <v>18503</v>
      </c>
      <c r="UAN1" t="s">
        <v>18504</v>
      </c>
      <c r="UAO1" t="s">
        <v>18505</v>
      </c>
      <c r="UAP1" t="s">
        <v>18506</v>
      </c>
      <c r="UAQ1" t="s">
        <v>18507</v>
      </c>
      <c r="UAR1" t="s">
        <v>18508</v>
      </c>
      <c r="UAS1" t="s">
        <v>18509</v>
      </c>
      <c r="UAT1" t="s">
        <v>18510</v>
      </c>
      <c r="UAU1" t="s">
        <v>18511</v>
      </c>
      <c r="UAV1" t="s">
        <v>18512</v>
      </c>
      <c r="UAW1" t="s">
        <v>18513</v>
      </c>
      <c r="UAX1" t="s">
        <v>18514</v>
      </c>
      <c r="UAY1" t="s">
        <v>18515</v>
      </c>
      <c r="UAZ1" t="s">
        <v>18516</v>
      </c>
      <c r="UBA1" t="s">
        <v>18517</v>
      </c>
      <c r="UBB1" t="s">
        <v>18518</v>
      </c>
      <c r="UBC1" t="s">
        <v>18519</v>
      </c>
      <c r="UBD1" t="s">
        <v>18520</v>
      </c>
      <c r="UBE1" t="s">
        <v>18521</v>
      </c>
      <c r="UBF1" t="s">
        <v>18522</v>
      </c>
      <c r="UBG1" t="s">
        <v>18523</v>
      </c>
      <c r="UBH1" t="s">
        <v>18524</v>
      </c>
      <c r="UBI1" t="s">
        <v>18525</v>
      </c>
      <c r="UBJ1" t="s">
        <v>18526</v>
      </c>
      <c r="UBK1" t="s">
        <v>18527</v>
      </c>
      <c r="UBL1" t="s">
        <v>18528</v>
      </c>
      <c r="UBM1" t="s">
        <v>18529</v>
      </c>
      <c r="UBN1" t="s">
        <v>18530</v>
      </c>
      <c r="UBO1" t="s">
        <v>18531</v>
      </c>
      <c r="UBP1" t="s">
        <v>18532</v>
      </c>
      <c r="UBQ1" t="s">
        <v>18533</v>
      </c>
      <c r="UBR1" t="s">
        <v>18534</v>
      </c>
      <c r="UBS1" t="s">
        <v>18535</v>
      </c>
      <c r="UBT1" t="s">
        <v>18536</v>
      </c>
      <c r="UBU1" t="s">
        <v>18537</v>
      </c>
      <c r="UBV1" t="s">
        <v>18538</v>
      </c>
      <c r="UBW1" t="s">
        <v>18539</v>
      </c>
      <c r="UBX1" t="s">
        <v>18540</v>
      </c>
      <c r="UBY1" t="s">
        <v>18541</v>
      </c>
      <c r="UBZ1" t="s">
        <v>18542</v>
      </c>
      <c r="UCA1" t="s">
        <v>18543</v>
      </c>
      <c r="UCB1" t="s">
        <v>18544</v>
      </c>
      <c r="UCC1" t="s">
        <v>18545</v>
      </c>
      <c r="UCD1" t="s">
        <v>18546</v>
      </c>
      <c r="UCE1" t="s">
        <v>18547</v>
      </c>
      <c r="UCF1" t="s">
        <v>18548</v>
      </c>
      <c r="UCG1" t="s">
        <v>18549</v>
      </c>
      <c r="UCH1" t="s">
        <v>18550</v>
      </c>
      <c r="UCI1" t="s">
        <v>18551</v>
      </c>
      <c r="UCJ1" t="s">
        <v>18552</v>
      </c>
      <c r="UCK1" t="s">
        <v>18553</v>
      </c>
      <c r="UCL1" t="s">
        <v>18554</v>
      </c>
      <c r="UCM1" t="s">
        <v>18555</v>
      </c>
      <c r="UCN1" t="s">
        <v>18556</v>
      </c>
      <c r="UCO1" t="s">
        <v>18557</v>
      </c>
      <c r="UCP1" t="s">
        <v>18558</v>
      </c>
      <c r="UCQ1" t="s">
        <v>18559</v>
      </c>
      <c r="UCR1" t="s">
        <v>18560</v>
      </c>
      <c r="UCS1" t="s">
        <v>18561</v>
      </c>
      <c r="UCT1" t="s">
        <v>18562</v>
      </c>
      <c r="UCU1" t="s">
        <v>18563</v>
      </c>
      <c r="UCV1" t="s">
        <v>18564</v>
      </c>
      <c r="UCW1" t="s">
        <v>18565</v>
      </c>
      <c r="UCX1" t="s">
        <v>18566</v>
      </c>
      <c r="UCY1" t="s">
        <v>18567</v>
      </c>
      <c r="UCZ1" t="s">
        <v>18568</v>
      </c>
      <c r="UDA1" t="s">
        <v>18569</v>
      </c>
      <c r="UDB1" t="s">
        <v>18570</v>
      </c>
      <c r="UDC1" t="s">
        <v>18571</v>
      </c>
      <c r="UDD1" t="s">
        <v>18572</v>
      </c>
      <c r="UDE1" t="s">
        <v>18573</v>
      </c>
      <c r="UDF1" t="s">
        <v>18574</v>
      </c>
      <c r="UDG1" t="s">
        <v>18575</v>
      </c>
      <c r="UDH1" t="s">
        <v>18576</v>
      </c>
      <c r="UDI1" t="s">
        <v>18577</v>
      </c>
      <c r="UDJ1" t="s">
        <v>18578</v>
      </c>
      <c r="UDK1" t="s">
        <v>18579</v>
      </c>
      <c r="UDL1" t="s">
        <v>18580</v>
      </c>
      <c r="UDM1" t="s">
        <v>18581</v>
      </c>
      <c r="UDN1" t="s">
        <v>18582</v>
      </c>
      <c r="UDO1" t="s">
        <v>18583</v>
      </c>
      <c r="UDP1" t="s">
        <v>18584</v>
      </c>
      <c r="UDQ1" t="s">
        <v>18585</v>
      </c>
      <c r="UDR1" t="s">
        <v>18586</v>
      </c>
      <c r="UDS1" t="s">
        <v>18587</v>
      </c>
      <c r="UDT1" t="s">
        <v>18588</v>
      </c>
      <c r="UDU1" t="s">
        <v>18589</v>
      </c>
      <c r="UDV1" t="s">
        <v>18590</v>
      </c>
      <c r="UDW1" t="s">
        <v>18591</v>
      </c>
      <c r="UDX1" t="s">
        <v>18592</v>
      </c>
      <c r="UDY1" t="s">
        <v>18593</v>
      </c>
      <c r="UDZ1" t="s">
        <v>18594</v>
      </c>
      <c r="UEA1" t="s">
        <v>18595</v>
      </c>
      <c r="UEB1" t="s">
        <v>18596</v>
      </c>
      <c r="UEC1" t="s">
        <v>18597</v>
      </c>
      <c r="UED1" t="s">
        <v>18598</v>
      </c>
      <c r="UEE1" t="s">
        <v>18599</v>
      </c>
      <c r="UEF1" t="s">
        <v>18600</v>
      </c>
      <c r="UEG1" t="s">
        <v>18601</v>
      </c>
      <c r="UEH1" t="s">
        <v>18602</v>
      </c>
      <c r="UEI1" t="s">
        <v>18603</v>
      </c>
      <c r="UEJ1" t="s">
        <v>18604</v>
      </c>
      <c r="UEK1" t="s">
        <v>18605</v>
      </c>
      <c r="UEL1" t="s">
        <v>18606</v>
      </c>
      <c r="UEM1" t="s">
        <v>18607</v>
      </c>
      <c r="UEN1" t="s">
        <v>18608</v>
      </c>
      <c r="UEO1" t="s">
        <v>18609</v>
      </c>
      <c r="UEP1" t="s">
        <v>18610</v>
      </c>
      <c r="UEQ1" t="s">
        <v>18611</v>
      </c>
      <c r="UER1" t="s">
        <v>18612</v>
      </c>
      <c r="UES1" t="s">
        <v>18613</v>
      </c>
      <c r="UET1" t="s">
        <v>18614</v>
      </c>
      <c r="UEU1" t="s">
        <v>18615</v>
      </c>
      <c r="UEV1" t="s">
        <v>18616</v>
      </c>
      <c r="UEW1" t="s">
        <v>18617</v>
      </c>
      <c r="UEX1" t="s">
        <v>18618</v>
      </c>
      <c r="UEY1" t="s">
        <v>18619</v>
      </c>
      <c r="UEZ1" t="s">
        <v>18620</v>
      </c>
      <c r="UFA1" t="s">
        <v>18621</v>
      </c>
      <c r="UFB1" t="s">
        <v>18622</v>
      </c>
      <c r="UFC1" t="s">
        <v>18623</v>
      </c>
      <c r="UFD1" t="s">
        <v>18624</v>
      </c>
      <c r="UFE1" t="s">
        <v>18625</v>
      </c>
      <c r="UFF1" t="s">
        <v>18626</v>
      </c>
      <c r="UFG1" t="s">
        <v>18627</v>
      </c>
      <c r="UFH1" t="s">
        <v>18628</v>
      </c>
      <c r="UFI1" t="s">
        <v>18629</v>
      </c>
      <c r="UFJ1" t="s">
        <v>18630</v>
      </c>
      <c r="UFK1" t="s">
        <v>18631</v>
      </c>
      <c r="UFL1" t="s">
        <v>18632</v>
      </c>
      <c r="UFM1" t="s">
        <v>18633</v>
      </c>
      <c r="UFN1" t="s">
        <v>18634</v>
      </c>
      <c r="UFO1" t="s">
        <v>18635</v>
      </c>
      <c r="UFP1" t="s">
        <v>18636</v>
      </c>
      <c r="UFQ1" t="s">
        <v>18637</v>
      </c>
      <c r="UFR1" t="s">
        <v>18638</v>
      </c>
      <c r="UFS1" t="s">
        <v>18639</v>
      </c>
      <c r="UFT1" t="s">
        <v>18640</v>
      </c>
      <c r="UFU1" t="s">
        <v>18641</v>
      </c>
      <c r="UFV1" t="s">
        <v>18642</v>
      </c>
      <c r="UFW1" t="s">
        <v>18643</v>
      </c>
      <c r="UFX1" t="s">
        <v>18644</v>
      </c>
      <c r="UFY1" t="s">
        <v>18645</v>
      </c>
      <c r="UFZ1" t="s">
        <v>18646</v>
      </c>
      <c r="UGA1" t="s">
        <v>18647</v>
      </c>
      <c r="UGB1" t="s">
        <v>18648</v>
      </c>
      <c r="UGC1" t="s">
        <v>18649</v>
      </c>
      <c r="UGD1" t="s">
        <v>18650</v>
      </c>
      <c r="UGE1" t="s">
        <v>18651</v>
      </c>
      <c r="UGF1" t="s">
        <v>18652</v>
      </c>
      <c r="UGG1" t="s">
        <v>18653</v>
      </c>
      <c r="UGH1" t="s">
        <v>18654</v>
      </c>
      <c r="UGI1" t="s">
        <v>18655</v>
      </c>
      <c r="UGJ1" t="s">
        <v>18656</v>
      </c>
      <c r="UGK1" t="s">
        <v>18657</v>
      </c>
      <c r="UGL1" t="s">
        <v>18658</v>
      </c>
      <c r="UGM1" t="s">
        <v>18659</v>
      </c>
      <c r="UGN1" t="s">
        <v>18660</v>
      </c>
      <c r="UGO1" t="s">
        <v>18661</v>
      </c>
      <c r="UGP1" t="s">
        <v>18662</v>
      </c>
      <c r="UGQ1" t="s">
        <v>18663</v>
      </c>
      <c r="UGR1" t="s">
        <v>18664</v>
      </c>
      <c r="UGS1" t="s">
        <v>18665</v>
      </c>
      <c r="UGT1" t="s">
        <v>18666</v>
      </c>
      <c r="UGU1" t="s">
        <v>18667</v>
      </c>
      <c r="UGV1" t="s">
        <v>18668</v>
      </c>
      <c r="UGW1" t="s">
        <v>18669</v>
      </c>
      <c r="UGX1" t="s">
        <v>18670</v>
      </c>
      <c r="UGY1" t="s">
        <v>18671</v>
      </c>
      <c r="UGZ1" t="s">
        <v>18672</v>
      </c>
      <c r="UHA1" t="s">
        <v>18673</v>
      </c>
      <c r="UHB1" t="s">
        <v>18674</v>
      </c>
      <c r="UHC1" t="s">
        <v>18675</v>
      </c>
      <c r="UHD1" t="s">
        <v>18676</v>
      </c>
      <c r="UHE1" t="s">
        <v>18677</v>
      </c>
      <c r="UHF1" t="s">
        <v>18678</v>
      </c>
      <c r="UHG1" t="s">
        <v>18679</v>
      </c>
      <c r="UHH1" t="s">
        <v>18680</v>
      </c>
      <c r="UHI1" t="s">
        <v>18681</v>
      </c>
      <c r="UHJ1" t="s">
        <v>18682</v>
      </c>
      <c r="UHK1" t="s">
        <v>18683</v>
      </c>
      <c r="UHL1" t="s">
        <v>18684</v>
      </c>
      <c r="UHM1" t="s">
        <v>18685</v>
      </c>
      <c r="UHN1" t="s">
        <v>18686</v>
      </c>
      <c r="UHO1" t="s">
        <v>18687</v>
      </c>
      <c r="UHP1" t="s">
        <v>18688</v>
      </c>
      <c r="UHQ1" t="s">
        <v>18689</v>
      </c>
      <c r="UHR1" t="s">
        <v>18690</v>
      </c>
      <c r="UHS1" t="s">
        <v>18691</v>
      </c>
      <c r="UHT1" t="s">
        <v>18692</v>
      </c>
      <c r="UHU1" t="s">
        <v>18693</v>
      </c>
      <c r="UHV1" t="s">
        <v>18694</v>
      </c>
      <c r="UHW1" t="s">
        <v>18695</v>
      </c>
      <c r="UHX1" t="s">
        <v>18696</v>
      </c>
      <c r="UHY1" t="s">
        <v>18697</v>
      </c>
      <c r="UHZ1" t="s">
        <v>18698</v>
      </c>
      <c r="UIA1" t="s">
        <v>18699</v>
      </c>
      <c r="UIB1" t="s">
        <v>18700</v>
      </c>
      <c r="UIC1" t="s">
        <v>18701</v>
      </c>
      <c r="UID1" t="s">
        <v>18702</v>
      </c>
      <c r="UIE1" t="s">
        <v>18703</v>
      </c>
      <c r="UIF1" t="s">
        <v>18704</v>
      </c>
      <c r="UIG1" t="s">
        <v>18705</v>
      </c>
      <c r="UIH1" t="s">
        <v>18706</v>
      </c>
      <c r="UII1" t="s">
        <v>18707</v>
      </c>
      <c r="UIJ1" t="s">
        <v>18708</v>
      </c>
      <c r="UIK1" t="s">
        <v>18709</v>
      </c>
      <c r="UIL1" t="s">
        <v>18710</v>
      </c>
      <c r="UIM1" t="s">
        <v>18711</v>
      </c>
      <c r="UIN1" t="s">
        <v>18712</v>
      </c>
      <c r="UIO1" t="s">
        <v>18713</v>
      </c>
      <c r="UIP1" t="s">
        <v>18714</v>
      </c>
      <c r="UIQ1" t="s">
        <v>18715</v>
      </c>
      <c r="UIR1" t="s">
        <v>18716</v>
      </c>
      <c r="UIS1" t="s">
        <v>18717</v>
      </c>
      <c r="UIT1" t="s">
        <v>18718</v>
      </c>
      <c r="UIU1" t="s">
        <v>18719</v>
      </c>
      <c r="UIV1" t="s">
        <v>18720</v>
      </c>
      <c r="UIW1" t="s">
        <v>18721</v>
      </c>
      <c r="UIX1" t="s">
        <v>18722</v>
      </c>
      <c r="UIY1" t="s">
        <v>18723</v>
      </c>
      <c r="UIZ1" t="s">
        <v>18724</v>
      </c>
      <c r="UJA1" t="s">
        <v>18725</v>
      </c>
      <c r="UJB1" t="s">
        <v>18726</v>
      </c>
      <c r="UJC1" t="s">
        <v>18727</v>
      </c>
      <c r="UJD1" t="s">
        <v>18728</v>
      </c>
      <c r="UJE1" t="s">
        <v>18729</v>
      </c>
      <c r="UJF1" t="s">
        <v>18730</v>
      </c>
      <c r="UJG1" t="s">
        <v>18731</v>
      </c>
      <c r="UJH1" t="s">
        <v>18732</v>
      </c>
      <c r="UJI1" t="s">
        <v>18733</v>
      </c>
      <c r="UJJ1" t="s">
        <v>18734</v>
      </c>
      <c r="UJK1" t="s">
        <v>18735</v>
      </c>
      <c r="UJL1" t="s">
        <v>18736</v>
      </c>
      <c r="UJM1" t="s">
        <v>18737</v>
      </c>
      <c r="UJN1" t="s">
        <v>18738</v>
      </c>
      <c r="UJO1" t="s">
        <v>18739</v>
      </c>
      <c r="UJP1" t="s">
        <v>18740</v>
      </c>
      <c r="UJQ1" t="s">
        <v>18741</v>
      </c>
      <c r="UJR1" t="s">
        <v>18742</v>
      </c>
      <c r="UJS1" t="s">
        <v>18743</v>
      </c>
      <c r="UJT1" t="s">
        <v>18744</v>
      </c>
      <c r="UJU1" t="s">
        <v>18745</v>
      </c>
      <c r="UJV1" t="s">
        <v>18746</v>
      </c>
      <c r="UJW1" t="s">
        <v>18747</v>
      </c>
      <c r="UJX1" t="s">
        <v>18748</v>
      </c>
      <c r="UJY1" t="s">
        <v>18749</v>
      </c>
      <c r="UJZ1" t="s">
        <v>18750</v>
      </c>
      <c r="UKA1" t="s">
        <v>18751</v>
      </c>
      <c r="UKB1" t="s">
        <v>18752</v>
      </c>
      <c r="UKC1" t="s">
        <v>18753</v>
      </c>
      <c r="UKD1" t="s">
        <v>18754</v>
      </c>
      <c r="UKE1" t="s">
        <v>18755</v>
      </c>
      <c r="UKF1" t="s">
        <v>18756</v>
      </c>
      <c r="UKG1" t="s">
        <v>18757</v>
      </c>
      <c r="UKH1" t="s">
        <v>18758</v>
      </c>
      <c r="UKI1" t="s">
        <v>18759</v>
      </c>
      <c r="UKJ1" t="s">
        <v>18760</v>
      </c>
      <c r="UKK1" t="s">
        <v>18761</v>
      </c>
      <c r="UKL1" t="s">
        <v>18762</v>
      </c>
      <c r="UKM1" t="s">
        <v>18763</v>
      </c>
      <c r="UKN1" t="s">
        <v>18764</v>
      </c>
      <c r="UKO1" t="s">
        <v>18765</v>
      </c>
      <c r="UKP1" t="s">
        <v>18766</v>
      </c>
      <c r="UKQ1" t="s">
        <v>18767</v>
      </c>
      <c r="UKR1" t="s">
        <v>18768</v>
      </c>
      <c r="UKS1" t="s">
        <v>18769</v>
      </c>
      <c r="UKT1" t="s">
        <v>18770</v>
      </c>
      <c r="UKU1" t="s">
        <v>18771</v>
      </c>
      <c r="UKV1" t="s">
        <v>18772</v>
      </c>
      <c r="UKW1" t="s">
        <v>18773</v>
      </c>
      <c r="UKX1" t="s">
        <v>18774</v>
      </c>
      <c r="UKY1" t="s">
        <v>18775</v>
      </c>
      <c r="UKZ1" t="s">
        <v>18776</v>
      </c>
      <c r="ULA1" t="s">
        <v>18777</v>
      </c>
      <c r="ULB1" t="s">
        <v>18778</v>
      </c>
      <c r="ULC1" t="s">
        <v>18779</v>
      </c>
      <c r="ULD1" t="s">
        <v>18780</v>
      </c>
      <c r="ULE1" t="s">
        <v>18781</v>
      </c>
      <c r="ULF1" t="s">
        <v>18782</v>
      </c>
      <c r="ULG1" t="s">
        <v>18783</v>
      </c>
      <c r="ULH1" t="s">
        <v>18784</v>
      </c>
      <c r="ULI1" t="s">
        <v>18785</v>
      </c>
      <c r="ULJ1" t="s">
        <v>18786</v>
      </c>
      <c r="ULK1" t="s">
        <v>18787</v>
      </c>
      <c r="ULL1" t="s">
        <v>18788</v>
      </c>
      <c r="ULM1" t="s">
        <v>18789</v>
      </c>
      <c r="ULN1" t="s">
        <v>18790</v>
      </c>
      <c r="ULO1" t="s">
        <v>18791</v>
      </c>
      <c r="ULP1" t="s">
        <v>18792</v>
      </c>
      <c r="ULQ1" t="s">
        <v>18793</v>
      </c>
      <c r="ULR1" t="s">
        <v>18794</v>
      </c>
      <c r="ULS1" t="s">
        <v>18795</v>
      </c>
      <c r="ULT1" t="s">
        <v>18796</v>
      </c>
      <c r="ULU1" t="s">
        <v>18797</v>
      </c>
      <c r="ULV1" t="s">
        <v>18798</v>
      </c>
      <c r="ULW1" t="s">
        <v>18799</v>
      </c>
      <c r="ULX1" t="s">
        <v>18800</v>
      </c>
      <c r="ULY1" t="s">
        <v>18801</v>
      </c>
      <c r="ULZ1" t="s">
        <v>18802</v>
      </c>
      <c r="UMA1" t="s">
        <v>18803</v>
      </c>
      <c r="UMB1" t="s">
        <v>18804</v>
      </c>
      <c r="UMC1" t="s">
        <v>18805</v>
      </c>
      <c r="UMD1" t="s">
        <v>18806</v>
      </c>
      <c r="UME1" t="s">
        <v>18807</v>
      </c>
      <c r="UMF1" t="s">
        <v>18808</v>
      </c>
      <c r="UMG1" t="s">
        <v>18809</v>
      </c>
      <c r="UMH1" t="s">
        <v>18810</v>
      </c>
      <c r="UMI1" t="s">
        <v>18811</v>
      </c>
      <c r="UMJ1" t="s">
        <v>18812</v>
      </c>
      <c r="UMK1" t="s">
        <v>18813</v>
      </c>
      <c r="UML1" t="s">
        <v>18814</v>
      </c>
      <c r="UMM1" t="s">
        <v>18815</v>
      </c>
      <c r="UMN1" t="s">
        <v>18816</v>
      </c>
      <c r="UMO1" t="s">
        <v>18817</v>
      </c>
      <c r="UMP1" t="s">
        <v>18818</v>
      </c>
      <c r="UMQ1" t="s">
        <v>18819</v>
      </c>
      <c r="UMR1" t="s">
        <v>18820</v>
      </c>
      <c r="UMS1" t="s">
        <v>18821</v>
      </c>
      <c r="UMT1" t="s">
        <v>18822</v>
      </c>
      <c r="UMU1" t="s">
        <v>18823</v>
      </c>
      <c r="UMV1" t="s">
        <v>18824</v>
      </c>
      <c r="UMW1" t="s">
        <v>18825</v>
      </c>
      <c r="UMX1" t="s">
        <v>18826</v>
      </c>
      <c r="UMY1" t="s">
        <v>18827</v>
      </c>
      <c r="UMZ1" t="s">
        <v>18828</v>
      </c>
      <c r="UNA1" t="s">
        <v>18829</v>
      </c>
      <c r="UNB1" t="s">
        <v>18830</v>
      </c>
      <c r="UNC1" t="s">
        <v>18831</v>
      </c>
      <c r="UND1" t="s">
        <v>18832</v>
      </c>
      <c r="UNE1" t="s">
        <v>18833</v>
      </c>
      <c r="UNF1" t="s">
        <v>18834</v>
      </c>
      <c r="UNG1" t="s">
        <v>18835</v>
      </c>
      <c r="UNH1" t="s">
        <v>18836</v>
      </c>
      <c r="UNI1" t="s">
        <v>18837</v>
      </c>
      <c r="UNJ1" t="s">
        <v>18838</v>
      </c>
      <c r="UNK1" t="s">
        <v>18839</v>
      </c>
      <c r="UNL1" t="s">
        <v>18840</v>
      </c>
      <c r="UNM1" t="s">
        <v>18841</v>
      </c>
      <c r="UNN1" t="s">
        <v>18842</v>
      </c>
      <c r="UNO1" t="s">
        <v>18843</v>
      </c>
      <c r="UNP1" t="s">
        <v>18844</v>
      </c>
      <c r="UNQ1" t="s">
        <v>18845</v>
      </c>
      <c r="UNR1" t="s">
        <v>18846</v>
      </c>
      <c r="UNS1" t="s">
        <v>18847</v>
      </c>
      <c r="UNT1" t="s">
        <v>18848</v>
      </c>
      <c r="UNU1" t="s">
        <v>18849</v>
      </c>
      <c r="UNV1" t="s">
        <v>18850</v>
      </c>
      <c r="UNW1" t="s">
        <v>18851</v>
      </c>
      <c r="UNX1" t="s">
        <v>18852</v>
      </c>
      <c r="UNY1" t="s">
        <v>18853</v>
      </c>
      <c r="UNZ1" t="s">
        <v>18854</v>
      </c>
      <c r="UOA1" t="s">
        <v>18855</v>
      </c>
      <c r="UOB1" t="s">
        <v>18856</v>
      </c>
      <c r="UOC1" t="s">
        <v>18857</v>
      </c>
      <c r="UOD1" t="s">
        <v>18858</v>
      </c>
      <c r="UOE1" t="s">
        <v>18859</v>
      </c>
      <c r="UOF1" t="s">
        <v>18860</v>
      </c>
      <c r="UOG1" t="s">
        <v>18861</v>
      </c>
      <c r="UOH1" t="s">
        <v>18862</v>
      </c>
      <c r="UOI1" t="s">
        <v>18863</v>
      </c>
      <c r="UOJ1" t="s">
        <v>18864</v>
      </c>
      <c r="UOK1" t="s">
        <v>18865</v>
      </c>
      <c r="UOL1" t="s">
        <v>18866</v>
      </c>
      <c r="UOM1" t="s">
        <v>18867</v>
      </c>
      <c r="UON1" t="s">
        <v>18868</v>
      </c>
      <c r="UOO1" t="s">
        <v>18869</v>
      </c>
      <c r="UOP1" t="s">
        <v>18870</v>
      </c>
      <c r="UOQ1" t="s">
        <v>18871</v>
      </c>
      <c r="UOR1" t="s">
        <v>18872</v>
      </c>
      <c r="UOS1" t="s">
        <v>18873</v>
      </c>
      <c r="UOT1" t="s">
        <v>18874</v>
      </c>
      <c r="UOU1" t="s">
        <v>18875</v>
      </c>
      <c r="UOV1" t="s">
        <v>18876</v>
      </c>
      <c r="UOW1" t="s">
        <v>18877</v>
      </c>
      <c r="UOX1" t="s">
        <v>18878</v>
      </c>
      <c r="UOY1" t="s">
        <v>18879</v>
      </c>
      <c r="UOZ1" t="s">
        <v>18880</v>
      </c>
      <c r="UPA1" t="s">
        <v>18881</v>
      </c>
      <c r="UPB1" t="s">
        <v>18882</v>
      </c>
      <c r="UPC1" t="s">
        <v>18883</v>
      </c>
      <c r="UPD1" t="s">
        <v>18884</v>
      </c>
      <c r="UPE1" t="s">
        <v>18885</v>
      </c>
      <c r="UPF1" t="s">
        <v>18886</v>
      </c>
      <c r="UPG1" t="s">
        <v>18887</v>
      </c>
      <c r="UPH1" t="s">
        <v>18888</v>
      </c>
      <c r="UPI1" t="s">
        <v>18889</v>
      </c>
      <c r="UPJ1" t="s">
        <v>18890</v>
      </c>
      <c r="UPK1" t="s">
        <v>18891</v>
      </c>
      <c r="UPL1" t="s">
        <v>18892</v>
      </c>
      <c r="UPM1" t="s">
        <v>18893</v>
      </c>
      <c r="UPN1" t="s">
        <v>18894</v>
      </c>
      <c r="UPO1" t="s">
        <v>18895</v>
      </c>
      <c r="UPP1" t="s">
        <v>18896</v>
      </c>
      <c r="UPQ1" t="s">
        <v>18897</v>
      </c>
      <c r="UPR1" t="s">
        <v>18898</v>
      </c>
      <c r="UPS1" t="s">
        <v>18899</v>
      </c>
      <c r="UPT1" t="s">
        <v>18900</v>
      </c>
      <c r="UPU1" t="s">
        <v>18901</v>
      </c>
      <c r="UPV1" t="s">
        <v>18902</v>
      </c>
      <c r="UPW1" t="s">
        <v>18903</v>
      </c>
      <c r="UPX1" t="s">
        <v>18904</v>
      </c>
      <c r="UPY1" t="s">
        <v>18905</v>
      </c>
      <c r="UPZ1" t="s">
        <v>18906</v>
      </c>
      <c r="UQA1" t="s">
        <v>18907</v>
      </c>
      <c r="UQB1" t="s">
        <v>18908</v>
      </c>
      <c r="UQC1" t="s">
        <v>18909</v>
      </c>
      <c r="UQD1" t="s">
        <v>18910</v>
      </c>
      <c r="UQE1" t="s">
        <v>18911</v>
      </c>
      <c r="UQF1" t="s">
        <v>18912</v>
      </c>
      <c r="UQG1" t="s">
        <v>18913</v>
      </c>
      <c r="UQH1" t="s">
        <v>18914</v>
      </c>
      <c r="UQI1" t="s">
        <v>18915</v>
      </c>
      <c r="UQJ1" t="s">
        <v>18916</v>
      </c>
      <c r="UQK1" t="s">
        <v>18917</v>
      </c>
      <c r="UQL1" t="s">
        <v>18918</v>
      </c>
      <c r="UQM1" t="s">
        <v>18919</v>
      </c>
      <c r="UQN1" t="s">
        <v>18920</v>
      </c>
      <c r="UQO1" t="s">
        <v>18921</v>
      </c>
      <c r="UQP1" t="s">
        <v>18922</v>
      </c>
      <c r="UQQ1" t="s">
        <v>18923</v>
      </c>
      <c r="UQR1" t="s">
        <v>18924</v>
      </c>
      <c r="UQS1" t="s">
        <v>18925</v>
      </c>
      <c r="UQT1" t="s">
        <v>18926</v>
      </c>
      <c r="UQU1" t="s">
        <v>18927</v>
      </c>
      <c r="UQV1" t="s">
        <v>18928</v>
      </c>
      <c r="UQW1" t="s">
        <v>18929</v>
      </c>
      <c r="UQX1" t="s">
        <v>18930</v>
      </c>
      <c r="UQY1" t="s">
        <v>18931</v>
      </c>
      <c r="UQZ1" t="s">
        <v>18932</v>
      </c>
      <c r="URA1" t="s">
        <v>18933</v>
      </c>
      <c r="URB1" t="s">
        <v>18934</v>
      </c>
      <c r="URC1" t="s">
        <v>18935</v>
      </c>
      <c r="URD1" t="s">
        <v>18936</v>
      </c>
      <c r="URE1" t="s">
        <v>18937</v>
      </c>
      <c r="URF1" t="s">
        <v>18938</v>
      </c>
      <c r="URG1" t="s">
        <v>18939</v>
      </c>
      <c r="URH1" t="s">
        <v>18940</v>
      </c>
      <c r="URI1" t="s">
        <v>18941</v>
      </c>
      <c r="URJ1" t="s">
        <v>18942</v>
      </c>
      <c r="URK1" t="s">
        <v>18943</v>
      </c>
      <c r="URL1" t="s">
        <v>18944</v>
      </c>
      <c r="URM1" t="s">
        <v>18945</v>
      </c>
      <c r="URN1" t="s">
        <v>18946</v>
      </c>
      <c r="URO1" t="s">
        <v>18947</v>
      </c>
      <c r="URP1" t="s">
        <v>18948</v>
      </c>
      <c r="URQ1" t="s">
        <v>18949</v>
      </c>
      <c r="URR1" t="s">
        <v>18950</v>
      </c>
      <c r="URS1" t="s">
        <v>18951</v>
      </c>
      <c r="URT1" t="s">
        <v>18952</v>
      </c>
      <c r="URU1" t="s">
        <v>18953</v>
      </c>
      <c r="URV1" t="s">
        <v>18954</v>
      </c>
      <c r="URW1" t="s">
        <v>18955</v>
      </c>
      <c r="URX1" t="s">
        <v>18956</v>
      </c>
      <c r="URY1" t="s">
        <v>18957</v>
      </c>
      <c r="URZ1" t="s">
        <v>18958</v>
      </c>
      <c r="USA1" t="s">
        <v>18959</v>
      </c>
      <c r="USB1" t="s">
        <v>18960</v>
      </c>
      <c r="USC1" t="s">
        <v>18961</v>
      </c>
      <c r="USD1" t="s">
        <v>18962</v>
      </c>
      <c r="USE1" t="s">
        <v>18963</v>
      </c>
      <c r="USF1" t="s">
        <v>18964</v>
      </c>
      <c r="USG1" t="s">
        <v>18965</v>
      </c>
      <c r="USH1" t="s">
        <v>18966</v>
      </c>
      <c r="USI1" t="s">
        <v>18967</v>
      </c>
      <c r="USJ1" t="s">
        <v>18968</v>
      </c>
      <c r="USK1" t="s">
        <v>18969</v>
      </c>
      <c r="USL1" t="s">
        <v>18970</v>
      </c>
      <c r="USM1" t="s">
        <v>18971</v>
      </c>
      <c r="USN1" t="s">
        <v>18972</v>
      </c>
      <c r="USO1" t="s">
        <v>18973</v>
      </c>
      <c r="USP1" t="s">
        <v>18974</v>
      </c>
      <c r="USQ1" t="s">
        <v>18975</v>
      </c>
      <c r="USR1" t="s">
        <v>18976</v>
      </c>
      <c r="USS1" t="s">
        <v>18977</v>
      </c>
      <c r="UST1" t="s">
        <v>18978</v>
      </c>
      <c r="USU1" t="s">
        <v>18979</v>
      </c>
      <c r="USV1" t="s">
        <v>18980</v>
      </c>
      <c r="USW1" t="s">
        <v>18981</v>
      </c>
      <c r="USX1" t="s">
        <v>18982</v>
      </c>
      <c r="USY1" t="s">
        <v>18983</v>
      </c>
      <c r="USZ1" t="s">
        <v>18984</v>
      </c>
      <c r="UTA1" t="s">
        <v>18985</v>
      </c>
      <c r="UTB1" t="s">
        <v>18986</v>
      </c>
      <c r="UTC1" t="s">
        <v>18987</v>
      </c>
      <c r="UTD1" t="s">
        <v>18988</v>
      </c>
      <c r="UTE1" t="s">
        <v>18989</v>
      </c>
      <c r="UTF1" t="s">
        <v>18990</v>
      </c>
      <c r="UTG1" t="s">
        <v>18991</v>
      </c>
      <c r="UTH1" t="s">
        <v>18992</v>
      </c>
      <c r="UTI1" t="s">
        <v>18993</v>
      </c>
      <c r="UTJ1" t="s">
        <v>18994</v>
      </c>
      <c r="UTK1" t="s">
        <v>18995</v>
      </c>
      <c r="UTL1" t="s">
        <v>18996</v>
      </c>
      <c r="UTM1" t="s">
        <v>18997</v>
      </c>
      <c r="UTN1" t="s">
        <v>18998</v>
      </c>
      <c r="UTO1" t="s">
        <v>18999</v>
      </c>
      <c r="UTP1" t="s">
        <v>19000</v>
      </c>
      <c r="UTQ1" t="s">
        <v>19001</v>
      </c>
      <c r="UTR1" t="s">
        <v>19002</v>
      </c>
      <c r="UTS1" t="s">
        <v>19003</v>
      </c>
      <c r="UTT1" t="s">
        <v>19004</v>
      </c>
      <c r="UTU1" t="s">
        <v>19005</v>
      </c>
      <c r="UTV1" t="s">
        <v>19006</v>
      </c>
      <c r="UTW1" t="s">
        <v>19007</v>
      </c>
      <c r="UTX1" t="s">
        <v>19008</v>
      </c>
      <c r="UTY1" t="s">
        <v>19009</v>
      </c>
      <c r="UTZ1" t="s">
        <v>19010</v>
      </c>
      <c r="UUA1" t="s">
        <v>19011</v>
      </c>
      <c r="UUB1" t="s">
        <v>19012</v>
      </c>
      <c r="UUC1" t="s">
        <v>19013</v>
      </c>
      <c r="UUD1" t="s">
        <v>19014</v>
      </c>
      <c r="UUE1" t="s">
        <v>19015</v>
      </c>
      <c r="UUF1" t="s">
        <v>19016</v>
      </c>
      <c r="UUG1" t="s">
        <v>19017</v>
      </c>
      <c r="UUH1" t="s">
        <v>19018</v>
      </c>
      <c r="UUI1" t="s">
        <v>19019</v>
      </c>
      <c r="UUJ1" t="s">
        <v>19020</v>
      </c>
      <c r="UUK1" t="s">
        <v>19021</v>
      </c>
      <c r="UUL1" t="s">
        <v>19022</v>
      </c>
      <c r="UUM1" t="s">
        <v>19023</v>
      </c>
      <c r="UUN1" t="s">
        <v>19024</v>
      </c>
      <c r="UUO1" t="s">
        <v>19025</v>
      </c>
      <c r="UUP1" t="s">
        <v>19026</v>
      </c>
      <c r="UUQ1" t="s">
        <v>19027</v>
      </c>
      <c r="UUR1" t="s">
        <v>19028</v>
      </c>
      <c r="UUS1" t="s">
        <v>19029</v>
      </c>
      <c r="UUT1" t="s">
        <v>19030</v>
      </c>
      <c r="UUU1" t="s">
        <v>19031</v>
      </c>
      <c r="UUV1" t="s">
        <v>19032</v>
      </c>
      <c r="UUW1" t="s">
        <v>19033</v>
      </c>
      <c r="UUX1" t="s">
        <v>19034</v>
      </c>
      <c r="UUY1" t="s">
        <v>19035</v>
      </c>
      <c r="UUZ1" t="s">
        <v>19036</v>
      </c>
      <c r="UVA1" t="s">
        <v>19037</v>
      </c>
      <c r="UVB1" t="s">
        <v>19038</v>
      </c>
      <c r="UVC1" t="s">
        <v>19039</v>
      </c>
      <c r="UVD1" t="s">
        <v>19040</v>
      </c>
      <c r="UVE1" t="s">
        <v>19041</v>
      </c>
      <c r="UVF1" t="s">
        <v>19042</v>
      </c>
      <c r="UVG1" t="s">
        <v>19043</v>
      </c>
      <c r="UVH1" t="s">
        <v>19044</v>
      </c>
      <c r="UVI1" t="s">
        <v>19045</v>
      </c>
      <c r="UVJ1" t="s">
        <v>19046</v>
      </c>
      <c r="UVK1" t="s">
        <v>19047</v>
      </c>
      <c r="UVL1" t="s">
        <v>19048</v>
      </c>
      <c r="UVM1" t="s">
        <v>19049</v>
      </c>
      <c r="UVN1" t="s">
        <v>19050</v>
      </c>
      <c r="UVO1" t="s">
        <v>19051</v>
      </c>
      <c r="UVP1" t="s">
        <v>19052</v>
      </c>
      <c r="UVQ1" t="s">
        <v>19053</v>
      </c>
      <c r="UVR1" t="s">
        <v>19054</v>
      </c>
      <c r="UVS1" t="s">
        <v>19055</v>
      </c>
      <c r="UVT1" t="s">
        <v>19056</v>
      </c>
      <c r="UVU1" t="s">
        <v>19057</v>
      </c>
      <c r="UVV1" t="s">
        <v>19058</v>
      </c>
      <c r="UVW1" t="s">
        <v>19059</v>
      </c>
      <c r="UVX1" t="s">
        <v>19060</v>
      </c>
      <c r="UVY1" t="s">
        <v>19061</v>
      </c>
      <c r="UVZ1" t="s">
        <v>19062</v>
      </c>
      <c r="UWA1" t="s">
        <v>19063</v>
      </c>
      <c r="UWB1" t="s">
        <v>19064</v>
      </c>
      <c r="UWC1" t="s">
        <v>19065</v>
      </c>
      <c r="UWD1" t="s">
        <v>19066</v>
      </c>
      <c r="UWE1" t="s">
        <v>19067</v>
      </c>
      <c r="UWF1" t="s">
        <v>19068</v>
      </c>
      <c r="UWG1" t="s">
        <v>19069</v>
      </c>
      <c r="UWH1" t="s">
        <v>19070</v>
      </c>
      <c r="UWI1" t="s">
        <v>19071</v>
      </c>
      <c r="UWJ1" t="s">
        <v>19072</v>
      </c>
      <c r="UWK1" t="s">
        <v>19073</v>
      </c>
      <c r="UWL1" t="s">
        <v>19074</v>
      </c>
      <c r="UWM1" t="s">
        <v>19075</v>
      </c>
      <c r="UWN1" t="s">
        <v>19076</v>
      </c>
      <c r="UWO1" t="s">
        <v>19077</v>
      </c>
      <c r="UWP1" t="s">
        <v>19078</v>
      </c>
      <c r="UWQ1" t="s">
        <v>19079</v>
      </c>
      <c r="UWR1" t="s">
        <v>19080</v>
      </c>
      <c r="UWS1" t="s">
        <v>19081</v>
      </c>
      <c r="UWT1" t="s">
        <v>19082</v>
      </c>
      <c r="UWU1" t="s">
        <v>19083</v>
      </c>
      <c r="UWV1" t="s">
        <v>19084</v>
      </c>
      <c r="UWW1" t="s">
        <v>19085</v>
      </c>
      <c r="UWX1" t="s">
        <v>19086</v>
      </c>
      <c r="UWY1" t="s">
        <v>19087</v>
      </c>
      <c r="UWZ1" t="s">
        <v>19088</v>
      </c>
      <c r="UXA1" t="s">
        <v>19089</v>
      </c>
      <c r="UXB1" t="s">
        <v>19090</v>
      </c>
      <c r="UXC1" t="s">
        <v>19091</v>
      </c>
      <c r="UXD1" t="s">
        <v>19092</v>
      </c>
      <c r="UXE1" t="s">
        <v>19093</v>
      </c>
      <c r="UXF1" t="s">
        <v>19094</v>
      </c>
      <c r="UXG1" t="s">
        <v>19095</v>
      </c>
      <c r="UXH1" t="s">
        <v>19096</v>
      </c>
      <c r="UXI1" t="s">
        <v>19097</v>
      </c>
      <c r="UXJ1" t="s">
        <v>19098</v>
      </c>
      <c r="UXK1" t="s">
        <v>19099</v>
      </c>
      <c r="UXL1" t="s">
        <v>19100</v>
      </c>
      <c r="UXM1" t="s">
        <v>19101</v>
      </c>
      <c r="UXN1" t="s">
        <v>19102</v>
      </c>
      <c r="UXO1" t="s">
        <v>19103</v>
      </c>
      <c r="UXP1" t="s">
        <v>19104</v>
      </c>
      <c r="UXQ1" t="s">
        <v>19105</v>
      </c>
      <c r="UXR1" t="s">
        <v>19106</v>
      </c>
      <c r="UXS1" t="s">
        <v>19107</v>
      </c>
      <c r="UXT1" t="s">
        <v>19108</v>
      </c>
      <c r="UXU1" t="s">
        <v>19109</v>
      </c>
      <c r="UXV1" t="s">
        <v>19110</v>
      </c>
      <c r="UXW1" t="s">
        <v>19111</v>
      </c>
      <c r="UXX1" t="s">
        <v>19112</v>
      </c>
      <c r="UXY1" t="s">
        <v>19113</v>
      </c>
      <c r="UXZ1" t="s">
        <v>19114</v>
      </c>
      <c r="UYA1" t="s">
        <v>19115</v>
      </c>
      <c r="UYB1" t="s">
        <v>19116</v>
      </c>
      <c r="UYC1" t="s">
        <v>19117</v>
      </c>
      <c r="UYD1" t="s">
        <v>19118</v>
      </c>
      <c r="UYE1" t="s">
        <v>19119</v>
      </c>
      <c r="UYF1" t="s">
        <v>19120</v>
      </c>
      <c r="UYG1" t="s">
        <v>19121</v>
      </c>
      <c r="UYH1" t="s">
        <v>19122</v>
      </c>
      <c r="UYI1" t="s">
        <v>19123</v>
      </c>
      <c r="UYJ1" t="s">
        <v>19124</v>
      </c>
      <c r="UYK1" t="s">
        <v>19125</v>
      </c>
      <c r="UYL1" t="s">
        <v>19126</v>
      </c>
      <c r="UYM1" t="s">
        <v>19127</v>
      </c>
      <c r="UYN1" t="s">
        <v>19128</v>
      </c>
      <c r="UYO1" t="s">
        <v>19129</v>
      </c>
      <c r="UYP1" t="s">
        <v>19130</v>
      </c>
      <c r="UYQ1" t="s">
        <v>19131</v>
      </c>
      <c r="UYR1" t="s">
        <v>19132</v>
      </c>
      <c r="UYS1" t="s">
        <v>19133</v>
      </c>
      <c r="UYT1" t="s">
        <v>19134</v>
      </c>
      <c r="UYU1" t="s">
        <v>19135</v>
      </c>
      <c r="UYV1" t="s">
        <v>19136</v>
      </c>
      <c r="UYW1" t="s">
        <v>19137</v>
      </c>
      <c r="UYX1" t="s">
        <v>19138</v>
      </c>
      <c r="UYY1" t="s">
        <v>19139</v>
      </c>
      <c r="UYZ1" t="s">
        <v>19140</v>
      </c>
      <c r="UZA1" t="s">
        <v>19141</v>
      </c>
      <c r="UZB1" t="s">
        <v>19142</v>
      </c>
      <c r="UZC1" t="s">
        <v>19143</v>
      </c>
      <c r="UZD1" t="s">
        <v>19144</v>
      </c>
      <c r="UZE1" t="s">
        <v>19145</v>
      </c>
      <c r="UZF1" t="s">
        <v>19146</v>
      </c>
      <c r="UZG1" t="s">
        <v>19147</v>
      </c>
      <c r="UZH1" t="s">
        <v>19148</v>
      </c>
      <c r="UZI1" t="s">
        <v>19149</v>
      </c>
      <c r="UZJ1" t="s">
        <v>19150</v>
      </c>
      <c r="UZK1" t="s">
        <v>19151</v>
      </c>
      <c r="UZL1" t="s">
        <v>19152</v>
      </c>
      <c r="UZM1" t="s">
        <v>19153</v>
      </c>
      <c r="UZN1" t="s">
        <v>19154</v>
      </c>
      <c r="UZO1" t="s">
        <v>19155</v>
      </c>
      <c r="UZP1" t="s">
        <v>19156</v>
      </c>
      <c r="UZQ1" t="s">
        <v>19157</v>
      </c>
      <c r="UZR1" t="s">
        <v>19158</v>
      </c>
      <c r="UZS1" t="s">
        <v>19159</v>
      </c>
      <c r="UZT1" t="s">
        <v>19160</v>
      </c>
      <c r="UZU1" t="s">
        <v>19161</v>
      </c>
      <c r="UZV1" t="s">
        <v>19162</v>
      </c>
      <c r="UZW1" t="s">
        <v>19163</v>
      </c>
      <c r="UZX1" t="s">
        <v>19164</v>
      </c>
      <c r="UZY1" t="s">
        <v>19165</v>
      </c>
      <c r="UZZ1" t="s">
        <v>19166</v>
      </c>
      <c r="VAA1" t="s">
        <v>19167</v>
      </c>
      <c r="VAB1" t="s">
        <v>19168</v>
      </c>
      <c r="VAC1" t="s">
        <v>19169</v>
      </c>
      <c r="VAD1" t="s">
        <v>19170</v>
      </c>
      <c r="VAE1" t="s">
        <v>19171</v>
      </c>
      <c r="VAF1" t="s">
        <v>19172</v>
      </c>
      <c r="VAG1" t="s">
        <v>19173</v>
      </c>
      <c r="VAH1" t="s">
        <v>19174</v>
      </c>
      <c r="VAI1" t="s">
        <v>19175</v>
      </c>
      <c r="VAJ1" t="s">
        <v>19176</v>
      </c>
      <c r="VAK1" t="s">
        <v>19177</v>
      </c>
      <c r="VAL1" t="s">
        <v>19178</v>
      </c>
      <c r="VAM1" t="s">
        <v>19179</v>
      </c>
      <c r="VAN1" t="s">
        <v>19180</v>
      </c>
      <c r="VAO1" t="s">
        <v>19181</v>
      </c>
      <c r="VAP1" t="s">
        <v>19182</v>
      </c>
      <c r="VAQ1" t="s">
        <v>19183</v>
      </c>
      <c r="VAR1" t="s">
        <v>19184</v>
      </c>
      <c r="VAS1" t="s">
        <v>19185</v>
      </c>
      <c r="VAT1" t="s">
        <v>19186</v>
      </c>
      <c r="VAU1" t="s">
        <v>19187</v>
      </c>
      <c r="VAV1" t="s">
        <v>19188</v>
      </c>
      <c r="VAW1" t="s">
        <v>19189</v>
      </c>
      <c r="VAX1" t="s">
        <v>19190</v>
      </c>
      <c r="VAY1" t="s">
        <v>19191</v>
      </c>
      <c r="VAZ1" t="s">
        <v>19192</v>
      </c>
      <c r="VBA1" t="s">
        <v>19193</v>
      </c>
      <c r="VBB1" t="s">
        <v>19194</v>
      </c>
      <c r="VBC1" t="s">
        <v>19195</v>
      </c>
      <c r="VBD1" t="s">
        <v>19196</v>
      </c>
      <c r="VBE1" t="s">
        <v>19197</v>
      </c>
      <c r="VBF1" t="s">
        <v>19198</v>
      </c>
      <c r="VBG1" t="s">
        <v>19199</v>
      </c>
      <c r="VBH1" t="s">
        <v>19200</v>
      </c>
      <c r="VBI1" t="s">
        <v>19201</v>
      </c>
      <c r="VBJ1" t="s">
        <v>19202</v>
      </c>
      <c r="VBK1" t="s">
        <v>19203</v>
      </c>
      <c r="VBL1" t="s">
        <v>19204</v>
      </c>
      <c r="VBM1" t="s">
        <v>19205</v>
      </c>
      <c r="VBN1" t="s">
        <v>19206</v>
      </c>
      <c r="VBO1" t="s">
        <v>19207</v>
      </c>
      <c r="VBP1" t="s">
        <v>19208</v>
      </c>
      <c r="VBQ1" t="s">
        <v>19209</v>
      </c>
      <c r="VBR1" t="s">
        <v>19210</v>
      </c>
      <c r="VBS1" t="s">
        <v>19211</v>
      </c>
      <c r="VBT1" t="s">
        <v>19212</v>
      </c>
      <c r="VBU1" t="s">
        <v>19213</v>
      </c>
      <c r="VBV1" t="s">
        <v>19214</v>
      </c>
      <c r="VBW1" t="s">
        <v>19215</v>
      </c>
      <c r="VBX1" t="s">
        <v>19216</v>
      </c>
      <c r="VBY1" t="s">
        <v>19217</v>
      </c>
      <c r="VBZ1" t="s">
        <v>19218</v>
      </c>
      <c r="VCA1" t="s">
        <v>19219</v>
      </c>
      <c r="VCB1" t="s">
        <v>19220</v>
      </c>
      <c r="VCC1" t="s">
        <v>19221</v>
      </c>
      <c r="VCD1" t="s">
        <v>19222</v>
      </c>
      <c r="VCE1" t="s">
        <v>19223</v>
      </c>
      <c r="VCF1" t="s">
        <v>19224</v>
      </c>
      <c r="VCG1" t="s">
        <v>19225</v>
      </c>
      <c r="VCH1" t="s">
        <v>19226</v>
      </c>
      <c r="VCI1" t="s">
        <v>19227</v>
      </c>
      <c r="VCJ1" t="s">
        <v>19228</v>
      </c>
      <c r="VCK1" t="s">
        <v>19229</v>
      </c>
      <c r="VCL1" t="s">
        <v>19230</v>
      </c>
      <c r="VCM1" t="s">
        <v>19231</v>
      </c>
      <c r="VCN1" t="s">
        <v>19232</v>
      </c>
      <c r="VCO1" t="s">
        <v>19233</v>
      </c>
      <c r="VCP1" t="s">
        <v>19234</v>
      </c>
      <c r="VCQ1" t="s">
        <v>19235</v>
      </c>
      <c r="VCR1" t="s">
        <v>19236</v>
      </c>
      <c r="VCS1" t="s">
        <v>19237</v>
      </c>
      <c r="VCT1" t="s">
        <v>19238</v>
      </c>
      <c r="VCU1" t="s">
        <v>19239</v>
      </c>
      <c r="VCV1" t="s">
        <v>19240</v>
      </c>
      <c r="VCW1" t="s">
        <v>19241</v>
      </c>
      <c r="VCX1" t="s">
        <v>19242</v>
      </c>
      <c r="VCY1" t="s">
        <v>19243</v>
      </c>
      <c r="VCZ1" t="s">
        <v>19244</v>
      </c>
      <c r="VDA1" t="s">
        <v>19245</v>
      </c>
      <c r="VDB1" t="s">
        <v>19246</v>
      </c>
      <c r="VDC1" t="s">
        <v>19247</v>
      </c>
      <c r="VDD1" t="s">
        <v>19248</v>
      </c>
      <c r="VDE1" t="s">
        <v>19249</v>
      </c>
      <c r="VDF1" t="s">
        <v>19250</v>
      </c>
      <c r="VDG1" t="s">
        <v>19251</v>
      </c>
      <c r="VDH1" t="s">
        <v>19252</v>
      </c>
      <c r="VDI1" t="s">
        <v>19253</v>
      </c>
      <c r="VDJ1" t="s">
        <v>19254</v>
      </c>
      <c r="VDK1" t="s">
        <v>19255</v>
      </c>
      <c r="VDL1" t="s">
        <v>19256</v>
      </c>
      <c r="VDM1" t="s">
        <v>19257</v>
      </c>
      <c r="VDN1" t="s">
        <v>19258</v>
      </c>
      <c r="VDO1" t="s">
        <v>19259</v>
      </c>
      <c r="VDP1" t="s">
        <v>19260</v>
      </c>
      <c r="VDQ1" t="s">
        <v>19261</v>
      </c>
      <c r="VDR1" t="s">
        <v>19262</v>
      </c>
      <c r="VDS1" t="s">
        <v>19263</v>
      </c>
      <c r="VDT1" t="s">
        <v>19264</v>
      </c>
      <c r="VDU1" t="s">
        <v>19265</v>
      </c>
      <c r="VDV1" t="s">
        <v>19266</v>
      </c>
      <c r="VDW1" t="s">
        <v>19267</v>
      </c>
      <c r="VDX1" t="s">
        <v>19268</v>
      </c>
      <c r="VDY1" t="s">
        <v>19269</v>
      </c>
      <c r="VDZ1" t="s">
        <v>19270</v>
      </c>
      <c r="VEA1" t="s">
        <v>19271</v>
      </c>
      <c r="VEB1" t="s">
        <v>19272</v>
      </c>
      <c r="VEC1" t="s">
        <v>19273</v>
      </c>
      <c r="VED1" t="s">
        <v>19274</v>
      </c>
      <c r="VEE1" t="s">
        <v>19275</v>
      </c>
      <c r="VEF1" t="s">
        <v>19276</v>
      </c>
      <c r="VEG1" t="s">
        <v>19277</v>
      </c>
      <c r="VEH1" t="s">
        <v>19278</v>
      </c>
      <c r="VEI1" t="s">
        <v>19279</v>
      </c>
      <c r="VEJ1" t="s">
        <v>19280</v>
      </c>
      <c r="VEK1" t="s">
        <v>19281</v>
      </c>
      <c r="VEL1" t="s">
        <v>19282</v>
      </c>
      <c r="VEM1" t="s">
        <v>19283</v>
      </c>
      <c r="VEN1" t="s">
        <v>19284</v>
      </c>
      <c r="VEO1" t="s">
        <v>19285</v>
      </c>
      <c r="VEP1" t="s">
        <v>19286</v>
      </c>
      <c r="VEQ1" t="s">
        <v>19287</v>
      </c>
      <c r="VER1" t="s">
        <v>19288</v>
      </c>
      <c r="VES1" t="s">
        <v>19289</v>
      </c>
      <c r="VET1" t="s">
        <v>19290</v>
      </c>
      <c r="VEU1" t="s">
        <v>19291</v>
      </c>
      <c r="VEV1" t="s">
        <v>19292</v>
      </c>
      <c r="VEW1" t="s">
        <v>19293</v>
      </c>
      <c r="VEX1" t="s">
        <v>19294</v>
      </c>
      <c r="VEY1" t="s">
        <v>19295</v>
      </c>
      <c r="VEZ1" t="s">
        <v>19296</v>
      </c>
      <c r="VFA1" t="s">
        <v>19297</v>
      </c>
      <c r="VFB1" t="s">
        <v>19298</v>
      </c>
      <c r="VFC1" t="s">
        <v>19299</v>
      </c>
      <c r="VFD1" t="s">
        <v>19300</v>
      </c>
      <c r="VFE1" t="s">
        <v>19301</v>
      </c>
      <c r="VFF1" t="s">
        <v>19302</v>
      </c>
      <c r="VFG1" t="s">
        <v>19303</v>
      </c>
      <c r="VFH1" t="s">
        <v>19304</v>
      </c>
      <c r="VFI1" t="s">
        <v>19305</v>
      </c>
      <c r="VFJ1" t="s">
        <v>19306</v>
      </c>
      <c r="VFK1" t="s">
        <v>19307</v>
      </c>
      <c r="VFL1" t="s">
        <v>19308</v>
      </c>
      <c r="VFM1" t="s">
        <v>19309</v>
      </c>
      <c r="VFN1" t="s">
        <v>19310</v>
      </c>
      <c r="VFO1" t="s">
        <v>19311</v>
      </c>
      <c r="VFP1" t="s">
        <v>19312</v>
      </c>
      <c r="VFQ1" t="s">
        <v>19313</v>
      </c>
      <c r="VFR1" t="s">
        <v>19314</v>
      </c>
      <c r="VFS1" t="s">
        <v>19315</v>
      </c>
      <c r="VFT1" t="s">
        <v>19316</v>
      </c>
      <c r="VFU1" t="s">
        <v>19317</v>
      </c>
      <c r="VFV1" t="s">
        <v>19318</v>
      </c>
      <c r="VFW1" t="s">
        <v>19319</v>
      </c>
      <c r="VFX1" t="s">
        <v>19320</v>
      </c>
      <c r="VFY1" t="s">
        <v>19321</v>
      </c>
      <c r="VFZ1" t="s">
        <v>19322</v>
      </c>
      <c r="VGA1" t="s">
        <v>19323</v>
      </c>
      <c r="VGB1" t="s">
        <v>19324</v>
      </c>
      <c r="VGC1" t="s">
        <v>19325</v>
      </c>
      <c r="VGD1" t="s">
        <v>19326</v>
      </c>
      <c r="VGE1" t="s">
        <v>19327</v>
      </c>
      <c r="VGF1" t="s">
        <v>19328</v>
      </c>
      <c r="VGG1" t="s">
        <v>19329</v>
      </c>
      <c r="VGH1" t="s">
        <v>19330</v>
      </c>
      <c r="VGI1" t="s">
        <v>19331</v>
      </c>
      <c r="VGJ1" t="s">
        <v>19332</v>
      </c>
      <c r="VGK1" t="s">
        <v>19333</v>
      </c>
      <c r="VGL1" t="s">
        <v>19334</v>
      </c>
      <c r="VGM1" t="s">
        <v>19335</v>
      </c>
      <c r="VGN1" t="s">
        <v>19336</v>
      </c>
      <c r="VGO1" t="s">
        <v>19337</v>
      </c>
      <c r="VGP1" t="s">
        <v>19338</v>
      </c>
      <c r="VGQ1" t="s">
        <v>19339</v>
      </c>
      <c r="VGR1" t="s">
        <v>19340</v>
      </c>
      <c r="VGS1" t="s">
        <v>19341</v>
      </c>
      <c r="VGT1" t="s">
        <v>19342</v>
      </c>
      <c r="VGU1" t="s">
        <v>19343</v>
      </c>
      <c r="VGV1" t="s">
        <v>19344</v>
      </c>
      <c r="VGW1" t="s">
        <v>19345</v>
      </c>
      <c r="VGX1" t="s">
        <v>19346</v>
      </c>
      <c r="VGY1" t="s">
        <v>19347</v>
      </c>
      <c r="VGZ1" t="s">
        <v>19348</v>
      </c>
      <c r="VHA1" t="s">
        <v>19349</v>
      </c>
      <c r="VHB1" t="s">
        <v>19350</v>
      </c>
      <c r="VHC1" t="s">
        <v>19351</v>
      </c>
      <c r="VHD1" t="s">
        <v>19352</v>
      </c>
      <c r="VHE1" t="s">
        <v>19353</v>
      </c>
      <c r="VHF1" t="s">
        <v>19354</v>
      </c>
      <c r="VHG1" t="s">
        <v>19355</v>
      </c>
      <c r="VHH1" t="s">
        <v>19356</v>
      </c>
      <c r="VHI1" t="s">
        <v>19357</v>
      </c>
      <c r="VHJ1" t="s">
        <v>19358</v>
      </c>
      <c r="VHK1" t="s">
        <v>19359</v>
      </c>
      <c r="VHL1" t="s">
        <v>19360</v>
      </c>
      <c r="VHM1" t="s">
        <v>19361</v>
      </c>
      <c r="VHN1" t="s">
        <v>19362</v>
      </c>
      <c r="VHO1" t="s">
        <v>19363</v>
      </c>
      <c r="VHP1" t="s">
        <v>19364</v>
      </c>
      <c r="VHQ1" t="s">
        <v>19365</v>
      </c>
      <c r="VHR1" t="s">
        <v>19366</v>
      </c>
      <c r="VHS1" t="s">
        <v>19367</v>
      </c>
      <c r="VHT1" t="s">
        <v>19368</v>
      </c>
      <c r="VHU1" t="s">
        <v>19369</v>
      </c>
      <c r="VHV1" t="s">
        <v>19370</v>
      </c>
      <c r="VHW1" t="s">
        <v>19371</v>
      </c>
      <c r="VHX1" t="s">
        <v>19372</v>
      </c>
      <c r="VHY1" t="s">
        <v>19373</v>
      </c>
      <c r="VHZ1" t="s">
        <v>19374</v>
      </c>
      <c r="VIA1" t="s">
        <v>19375</v>
      </c>
      <c r="VIB1" t="s">
        <v>19376</v>
      </c>
      <c r="VIC1" t="s">
        <v>19377</v>
      </c>
      <c r="VID1" t="s">
        <v>19378</v>
      </c>
      <c r="VIE1" t="s">
        <v>19379</v>
      </c>
      <c r="VIF1" t="s">
        <v>19380</v>
      </c>
      <c r="VIG1" t="s">
        <v>19381</v>
      </c>
      <c r="VIH1" t="s">
        <v>19382</v>
      </c>
      <c r="VII1" t="s">
        <v>19383</v>
      </c>
      <c r="VIJ1" t="s">
        <v>19384</v>
      </c>
      <c r="VIK1" t="s">
        <v>19385</v>
      </c>
      <c r="VIL1" t="s">
        <v>19386</v>
      </c>
      <c r="VIM1" t="s">
        <v>19387</v>
      </c>
      <c r="VIN1" t="s">
        <v>19388</v>
      </c>
      <c r="VIO1" t="s">
        <v>19389</v>
      </c>
      <c r="VIP1" t="s">
        <v>19390</v>
      </c>
      <c r="VIQ1" t="s">
        <v>19391</v>
      </c>
      <c r="VIR1" t="s">
        <v>19392</v>
      </c>
      <c r="VIS1" t="s">
        <v>19393</v>
      </c>
      <c r="VIT1" t="s">
        <v>19394</v>
      </c>
      <c r="VIU1" t="s">
        <v>19395</v>
      </c>
      <c r="VIV1" t="s">
        <v>19396</v>
      </c>
      <c r="VIW1" t="s">
        <v>19397</v>
      </c>
      <c r="VIX1" t="s">
        <v>19398</v>
      </c>
      <c r="VIY1" t="s">
        <v>19399</v>
      </c>
      <c r="VIZ1" t="s">
        <v>19400</v>
      </c>
      <c r="VJA1" t="s">
        <v>19401</v>
      </c>
      <c r="VJB1" t="s">
        <v>19402</v>
      </c>
      <c r="VJC1" t="s">
        <v>19403</v>
      </c>
      <c r="VJD1" t="s">
        <v>19404</v>
      </c>
      <c r="VJE1" t="s">
        <v>19405</v>
      </c>
      <c r="VJF1" t="s">
        <v>19406</v>
      </c>
      <c r="VJG1" t="s">
        <v>19407</v>
      </c>
      <c r="VJH1" t="s">
        <v>19408</v>
      </c>
      <c r="VJI1" t="s">
        <v>19409</v>
      </c>
      <c r="VJJ1" t="s">
        <v>19410</v>
      </c>
      <c r="VJK1" t="s">
        <v>19411</v>
      </c>
      <c r="VJL1" t="s">
        <v>19412</v>
      </c>
      <c r="VJM1" t="s">
        <v>19413</v>
      </c>
      <c r="VJN1" t="s">
        <v>19414</v>
      </c>
      <c r="VJO1" t="s">
        <v>19415</v>
      </c>
      <c r="VJP1" t="s">
        <v>19416</v>
      </c>
      <c r="VJQ1" t="s">
        <v>19417</v>
      </c>
      <c r="VJR1" t="s">
        <v>19418</v>
      </c>
      <c r="VJS1" t="s">
        <v>19419</v>
      </c>
      <c r="VJT1" t="s">
        <v>19420</v>
      </c>
      <c r="VJU1" t="s">
        <v>19421</v>
      </c>
      <c r="VJV1" t="s">
        <v>19422</v>
      </c>
      <c r="VJW1" t="s">
        <v>19423</v>
      </c>
      <c r="VJX1" t="s">
        <v>19424</v>
      </c>
      <c r="VJY1" t="s">
        <v>19425</v>
      </c>
      <c r="VJZ1" t="s">
        <v>19426</v>
      </c>
      <c r="VKA1" t="s">
        <v>19427</v>
      </c>
      <c r="VKB1" t="s">
        <v>19428</v>
      </c>
      <c r="VKC1" t="s">
        <v>19429</v>
      </c>
      <c r="VKD1" t="s">
        <v>19430</v>
      </c>
      <c r="VKE1" t="s">
        <v>19431</v>
      </c>
      <c r="VKF1" t="s">
        <v>19432</v>
      </c>
      <c r="VKG1" t="s">
        <v>19433</v>
      </c>
      <c r="VKH1" t="s">
        <v>19434</v>
      </c>
      <c r="VKI1" t="s">
        <v>19435</v>
      </c>
      <c r="VKJ1" t="s">
        <v>19436</v>
      </c>
      <c r="VKK1" t="s">
        <v>19437</v>
      </c>
      <c r="VKL1" t="s">
        <v>19438</v>
      </c>
      <c r="VKM1" t="s">
        <v>19439</v>
      </c>
      <c r="VKN1" t="s">
        <v>19440</v>
      </c>
      <c r="VKO1" t="s">
        <v>19441</v>
      </c>
      <c r="VKP1" t="s">
        <v>19442</v>
      </c>
      <c r="VKQ1" t="s">
        <v>19443</v>
      </c>
      <c r="VKR1" t="s">
        <v>19444</v>
      </c>
      <c r="VKS1" t="s">
        <v>19445</v>
      </c>
      <c r="VKT1" t="s">
        <v>19446</v>
      </c>
      <c r="VKU1" t="s">
        <v>19447</v>
      </c>
      <c r="VKV1" t="s">
        <v>19448</v>
      </c>
      <c r="VKW1" t="s">
        <v>19449</v>
      </c>
      <c r="VKX1" t="s">
        <v>19450</v>
      </c>
      <c r="VKY1" t="s">
        <v>19451</v>
      </c>
      <c r="VKZ1" t="s">
        <v>19452</v>
      </c>
      <c r="VLA1" t="s">
        <v>19453</v>
      </c>
      <c r="VLB1" t="s">
        <v>19454</v>
      </c>
      <c r="VLC1" t="s">
        <v>19455</v>
      </c>
      <c r="VLD1" t="s">
        <v>19456</v>
      </c>
      <c r="VLE1" t="s">
        <v>19457</v>
      </c>
      <c r="VLF1" t="s">
        <v>19458</v>
      </c>
      <c r="VLG1" t="s">
        <v>19459</v>
      </c>
      <c r="VLH1" t="s">
        <v>19460</v>
      </c>
      <c r="VLI1" t="s">
        <v>19461</v>
      </c>
      <c r="VLJ1" t="s">
        <v>19462</v>
      </c>
      <c r="VLK1" t="s">
        <v>19463</v>
      </c>
      <c r="VLL1" t="s">
        <v>19464</v>
      </c>
      <c r="VLM1" t="s">
        <v>19465</v>
      </c>
      <c r="VLN1" t="s">
        <v>19466</v>
      </c>
      <c r="VLO1" t="s">
        <v>19467</v>
      </c>
      <c r="VLP1" t="s">
        <v>19468</v>
      </c>
      <c r="VLQ1" t="s">
        <v>19469</v>
      </c>
      <c r="VLR1" t="s">
        <v>19470</v>
      </c>
      <c r="VLS1" t="s">
        <v>19471</v>
      </c>
      <c r="VLT1" t="s">
        <v>19472</v>
      </c>
      <c r="VLU1" t="s">
        <v>19473</v>
      </c>
      <c r="VLV1" t="s">
        <v>19474</v>
      </c>
      <c r="VLW1" t="s">
        <v>19475</v>
      </c>
      <c r="VLX1" t="s">
        <v>19476</v>
      </c>
      <c r="VLY1" t="s">
        <v>19477</v>
      </c>
      <c r="VLZ1" t="s">
        <v>19478</v>
      </c>
      <c r="VMA1" t="s">
        <v>19479</v>
      </c>
      <c r="VMB1" t="s">
        <v>19480</v>
      </c>
      <c r="VMC1" t="s">
        <v>19481</v>
      </c>
      <c r="VMD1" t="s">
        <v>19482</v>
      </c>
      <c r="VME1" t="s">
        <v>19483</v>
      </c>
      <c r="VMF1" t="s">
        <v>19484</v>
      </c>
      <c r="VMG1" t="s">
        <v>19485</v>
      </c>
      <c r="VMH1" t="s">
        <v>19486</v>
      </c>
      <c r="VMI1" t="s">
        <v>19487</v>
      </c>
      <c r="VMJ1" t="s">
        <v>19488</v>
      </c>
      <c r="VMK1" t="s">
        <v>19489</v>
      </c>
      <c r="VML1" t="s">
        <v>19490</v>
      </c>
      <c r="VMM1" t="s">
        <v>19491</v>
      </c>
      <c r="VMN1" t="s">
        <v>19492</v>
      </c>
      <c r="VMO1" t="s">
        <v>19493</v>
      </c>
      <c r="VMP1" t="s">
        <v>19494</v>
      </c>
      <c r="VMQ1" t="s">
        <v>19495</v>
      </c>
      <c r="VMR1" t="s">
        <v>19496</v>
      </c>
      <c r="VMS1" t="s">
        <v>19497</v>
      </c>
      <c r="VMT1" t="s">
        <v>19498</v>
      </c>
      <c r="VMU1" t="s">
        <v>19499</v>
      </c>
      <c r="VMV1" t="s">
        <v>19500</v>
      </c>
      <c r="VMW1" t="s">
        <v>19501</v>
      </c>
      <c r="VMX1" t="s">
        <v>19502</v>
      </c>
      <c r="VMY1" t="s">
        <v>19503</v>
      </c>
      <c r="VMZ1" t="s">
        <v>19504</v>
      </c>
      <c r="VNA1" t="s">
        <v>19505</v>
      </c>
      <c r="VNB1" t="s">
        <v>19506</v>
      </c>
      <c r="VNC1" t="s">
        <v>19507</v>
      </c>
      <c r="VND1" t="s">
        <v>19508</v>
      </c>
      <c r="VNE1" t="s">
        <v>19509</v>
      </c>
      <c r="VNF1" t="s">
        <v>19510</v>
      </c>
      <c r="VNG1" t="s">
        <v>19511</v>
      </c>
      <c r="VNH1" t="s">
        <v>19512</v>
      </c>
      <c r="VNI1" t="s">
        <v>19513</v>
      </c>
      <c r="VNJ1" t="s">
        <v>19514</v>
      </c>
      <c r="VNK1" t="s">
        <v>19515</v>
      </c>
      <c r="VNL1" t="s">
        <v>19516</v>
      </c>
      <c r="VNM1" t="s">
        <v>19517</v>
      </c>
      <c r="VNN1" t="s">
        <v>19518</v>
      </c>
      <c r="VNO1" t="s">
        <v>19519</v>
      </c>
      <c r="VNP1" t="s">
        <v>19520</v>
      </c>
      <c r="VNQ1" t="s">
        <v>19521</v>
      </c>
      <c r="VNR1" t="s">
        <v>19522</v>
      </c>
      <c r="VNS1" t="s">
        <v>19523</v>
      </c>
      <c r="VNT1" t="s">
        <v>19524</v>
      </c>
      <c r="VNU1" t="s">
        <v>19525</v>
      </c>
      <c r="VNV1" t="s">
        <v>19526</v>
      </c>
      <c r="VNW1" t="s">
        <v>19527</v>
      </c>
      <c r="VNX1" t="s">
        <v>19528</v>
      </c>
      <c r="VNY1" t="s">
        <v>19529</v>
      </c>
      <c r="VNZ1" t="s">
        <v>19530</v>
      </c>
      <c r="VOA1" t="s">
        <v>19531</v>
      </c>
      <c r="VOB1" t="s">
        <v>19532</v>
      </c>
      <c r="VOC1" t="s">
        <v>19533</v>
      </c>
      <c r="VOD1" t="s">
        <v>19534</v>
      </c>
      <c r="VOE1" t="s">
        <v>19535</v>
      </c>
      <c r="VOF1" t="s">
        <v>19536</v>
      </c>
      <c r="VOG1" t="s">
        <v>19537</v>
      </c>
      <c r="VOH1" t="s">
        <v>19538</v>
      </c>
      <c r="VOI1" t="s">
        <v>19539</v>
      </c>
      <c r="VOJ1" t="s">
        <v>19540</v>
      </c>
      <c r="VOK1" t="s">
        <v>19541</v>
      </c>
      <c r="VOL1" t="s">
        <v>19542</v>
      </c>
      <c r="VOM1" t="s">
        <v>19543</v>
      </c>
      <c r="VON1" t="s">
        <v>19544</v>
      </c>
      <c r="VOO1" t="s">
        <v>19545</v>
      </c>
      <c r="VOP1" t="s">
        <v>19546</v>
      </c>
      <c r="VOQ1" t="s">
        <v>19547</v>
      </c>
      <c r="VOR1" t="s">
        <v>19548</v>
      </c>
      <c r="VOS1" t="s">
        <v>19549</v>
      </c>
      <c r="VOT1" t="s">
        <v>19550</v>
      </c>
      <c r="VOU1" t="s">
        <v>19551</v>
      </c>
      <c r="VOV1" t="s">
        <v>19552</v>
      </c>
      <c r="VOW1" t="s">
        <v>19553</v>
      </c>
      <c r="VOX1" t="s">
        <v>19554</v>
      </c>
      <c r="VOY1" t="s">
        <v>19555</v>
      </c>
      <c r="VOZ1" t="s">
        <v>19556</v>
      </c>
      <c r="VPA1" t="s">
        <v>19557</v>
      </c>
      <c r="VPB1" t="s">
        <v>19558</v>
      </c>
      <c r="VPC1" t="s">
        <v>19559</v>
      </c>
      <c r="VPD1" t="s">
        <v>19560</v>
      </c>
      <c r="VPE1" t="s">
        <v>19561</v>
      </c>
      <c r="VPF1" t="s">
        <v>19562</v>
      </c>
      <c r="VPG1" t="s">
        <v>19563</v>
      </c>
      <c r="VPH1" t="s">
        <v>19564</v>
      </c>
      <c r="VPI1" t="s">
        <v>19565</v>
      </c>
      <c r="VPJ1" t="s">
        <v>19566</v>
      </c>
      <c r="VPK1" t="s">
        <v>19567</v>
      </c>
      <c r="VPL1" t="s">
        <v>19568</v>
      </c>
      <c r="VPM1" t="s">
        <v>19569</v>
      </c>
      <c r="VPN1" t="s">
        <v>19570</v>
      </c>
      <c r="VPO1" t="s">
        <v>19571</v>
      </c>
      <c r="VPP1" t="s">
        <v>19572</v>
      </c>
      <c r="VPQ1" t="s">
        <v>19573</v>
      </c>
      <c r="VPR1" t="s">
        <v>19574</v>
      </c>
      <c r="VPS1" t="s">
        <v>19575</v>
      </c>
      <c r="VPT1" t="s">
        <v>19576</v>
      </c>
      <c r="VPU1" t="s">
        <v>19577</v>
      </c>
      <c r="VPV1" t="s">
        <v>19578</v>
      </c>
      <c r="VPW1" t="s">
        <v>19579</v>
      </c>
      <c r="VPX1" t="s">
        <v>19580</v>
      </c>
      <c r="VPY1" t="s">
        <v>19581</v>
      </c>
      <c r="VPZ1" t="s">
        <v>19582</v>
      </c>
      <c r="VQA1" t="s">
        <v>19583</v>
      </c>
      <c r="VQB1" t="s">
        <v>19584</v>
      </c>
      <c r="VQC1" t="s">
        <v>19585</v>
      </c>
      <c r="VQD1" t="s">
        <v>19586</v>
      </c>
      <c r="VQE1" t="s">
        <v>19587</v>
      </c>
      <c r="VQF1" t="s">
        <v>19588</v>
      </c>
      <c r="VQG1" t="s">
        <v>19589</v>
      </c>
      <c r="VQH1" t="s">
        <v>19590</v>
      </c>
      <c r="VQI1" t="s">
        <v>19591</v>
      </c>
      <c r="VQJ1" t="s">
        <v>19592</v>
      </c>
      <c r="VQK1" t="s">
        <v>19593</v>
      </c>
      <c r="VQL1" t="s">
        <v>19594</v>
      </c>
      <c r="VQM1" t="s">
        <v>19595</v>
      </c>
      <c r="VQN1" t="s">
        <v>19596</v>
      </c>
      <c r="VQO1" t="s">
        <v>19597</v>
      </c>
      <c r="VQP1" t="s">
        <v>19598</v>
      </c>
      <c r="VQQ1" t="s">
        <v>19599</v>
      </c>
      <c r="VQR1" t="s">
        <v>19600</v>
      </c>
      <c r="VQS1" t="s">
        <v>19601</v>
      </c>
      <c r="VQT1" t="s">
        <v>19602</v>
      </c>
      <c r="VQU1" t="s">
        <v>19603</v>
      </c>
      <c r="VQV1" t="s">
        <v>19604</v>
      </c>
      <c r="VQW1" t="s">
        <v>19605</v>
      </c>
      <c r="VQX1" t="s">
        <v>19606</v>
      </c>
      <c r="VQY1" t="s">
        <v>19607</v>
      </c>
      <c r="VQZ1" t="s">
        <v>19608</v>
      </c>
      <c r="VRA1" t="s">
        <v>19609</v>
      </c>
      <c r="VRB1" t="s">
        <v>19610</v>
      </c>
      <c r="VRC1" t="s">
        <v>19611</v>
      </c>
      <c r="VRD1" t="s">
        <v>19612</v>
      </c>
      <c r="VRE1" t="s">
        <v>19613</v>
      </c>
      <c r="VRF1" t="s">
        <v>19614</v>
      </c>
      <c r="VRG1" t="s">
        <v>19615</v>
      </c>
      <c r="VRH1" t="s">
        <v>19616</v>
      </c>
      <c r="VRI1" t="s">
        <v>19617</v>
      </c>
      <c r="VRJ1" t="s">
        <v>19618</v>
      </c>
      <c r="VRK1" t="s">
        <v>19619</v>
      </c>
      <c r="VRL1" t="s">
        <v>19620</v>
      </c>
      <c r="VRM1" t="s">
        <v>19621</v>
      </c>
      <c r="VRN1" t="s">
        <v>19622</v>
      </c>
      <c r="VRO1" t="s">
        <v>19623</v>
      </c>
      <c r="VRP1" t="s">
        <v>19624</v>
      </c>
      <c r="VRQ1" t="s">
        <v>19625</v>
      </c>
      <c r="VRR1" t="s">
        <v>19626</v>
      </c>
      <c r="VRS1" t="s">
        <v>19627</v>
      </c>
      <c r="VRT1" t="s">
        <v>19628</v>
      </c>
      <c r="VRU1" t="s">
        <v>19629</v>
      </c>
      <c r="VRV1" t="s">
        <v>19630</v>
      </c>
      <c r="VRW1" t="s">
        <v>19631</v>
      </c>
      <c r="VRX1" t="s">
        <v>19632</v>
      </c>
      <c r="VRY1" t="s">
        <v>19633</v>
      </c>
      <c r="VRZ1" t="s">
        <v>19634</v>
      </c>
      <c r="VSA1" t="s">
        <v>19635</v>
      </c>
      <c r="VSB1" t="s">
        <v>19636</v>
      </c>
      <c r="VSC1" t="s">
        <v>19637</v>
      </c>
      <c r="VSD1" t="s">
        <v>19638</v>
      </c>
      <c r="VSE1" t="s">
        <v>19639</v>
      </c>
      <c r="VSF1" t="s">
        <v>19640</v>
      </c>
      <c r="VSG1" t="s">
        <v>19641</v>
      </c>
      <c r="VSH1" t="s">
        <v>19642</v>
      </c>
      <c r="VSI1" t="s">
        <v>19643</v>
      </c>
      <c r="VSJ1" t="s">
        <v>19644</v>
      </c>
      <c r="VSK1" t="s">
        <v>19645</v>
      </c>
      <c r="VSL1" t="s">
        <v>19646</v>
      </c>
      <c r="VSM1" t="s">
        <v>19647</v>
      </c>
      <c r="VSN1" t="s">
        <v>19648</v>
      </c>
      <c r="VSO1" t="s">
        <v>19649</v>
      </c>
      <c r="VSP1" t="s">
        <v>19650</v>
      </c>
      <c r="VSQ1" t="s">
        <v>19651</v>
      </c>
      <c r="VSR1" t="s">
        <v>19652</v>
      </c>
      <c r="VSS1" t="s">
        <v>19653</v>
      </c>
      <c r="VST1" t="s">
        <v>19654</v>
      </c>
      <c r="VSU1" t="s">
        <v>19655</v>
      </c>
      <c r="VSV1" t="s">
        <v>19656</v>
      </c>
      <c r="VSW1" t="s">
        <v>19657</v>
      </c>
      <c r="VSX1" t="s">
        <v>19658</v>
      </c>
      <c r="VSY1" t="s">
        <v>19659</v>
      </c>
      <c r="VSZ1" t="s">
        <v>19660</v>
      </c>
      <c r="VTA1" t="s">
        <v>19661</v>
      </c>
      <c r="VTB1" t="s">
        <v>19662</v>
      </c>
      <c r="VTC1" t="s">
        <v>19663</v>
      </c>
      <c r="VTD1" t="s">
        <v>19664</v>
      </c>
      <c r="VTE1" t="s">
        <v>19665</v>
      </c>
      <c r="VTF1" t="s">
        <v>19666</v>
      </c>
      <c r="VTG1" t="s">
        <v>19667</v>
      </c>
      <c r="VTH1" t="s">
        <v>19668</v>
      </c>
      <c r="VTI1" t="s">
        <v>19669</v>
      </c>
      <c r="VTJ1" t="s">
        <v>19670</v>
      </c>
      <c r="VTK1" t="s">
        <v>19671</v>
      </c>
      <c r="VTL1" t="s">
        <v>19672</v>
      </c>
      <c r="VTM1" t="s">
        <v>19673</v>
      </c>
      <c r="VTN1" t="s">
        <v>19674</v>
      </c>
      <c r="VTO1" t="s">
        <v>19675</v>
      </c>
      <c r="VTP1" t="s">
        <v>19676</v>
      </c>
      <c r="VTQ1" t="s">
        <v>19677</v>
      </c>
      <c r="VTR1" t="s">
        <v>19678</v>
      </c>
      <c r="VTS1" t="s">
        <v>19679</v>
      </c>
      <c r="VTT1" t="s">
        <v>19680</v>
      </c>
      <c r="VTU1" t="s">
        <v>19681</v>
      </c>
      <c r="VTV1" t="s">
        <v>19682</v>
      </c>
      <c r="VTW1" t="s">
        <v>19683</v>
      </c>
      <c r="VTX1" t="s">
        <v>19684</v>
      </c>
      <c r="VTY1" t="s">
        <v>19685</v>
      </c>
      <c r="VTZ1" t="s">
        <v>19686</v>
      </c>
      <c r="VUA1" t="s">
        <v>19687</v>
      </c>
      <c r="VUB1" t="s">
        <v>19688</v>
      </c>
      <c r="VUC1" t="s">
        <v>19689</v>
      </c>
      <c r="VUD1" t="s">
        <v>19690</v>
      </c>
      <c r="VUE1" t="s">
        <v>19691</v>
      </c>
      <c r="VUF1" t="s">
        <v>19692</v>
      </c>
      <c r="VUG1" t="s">
        <v>19693</v>
      </c>
      <c r="VUH1" t="s">
        <v>19694</v>
      </c>
      <c r="VUI1" t="s">
        <v>19695</v>
      </c>
      <c r="VUJ1" t="s">
        <v>19696</v>
      </c>
      <c r="VUK1" t="s">
        <v>19697</v>
      </c>
      <c r="VUL1" t="s">
        <v>19698</v>
      </c>
      <c r="VUM1" t="s">
        <v>19699</v>
      </c>
      <c r="VUN1" t="s">
        <v>19700</v>
      </c>
      <c r="VUO1" t="s">
        <v>19701</v>
      </c>
      <c r="VUP1" t="s">
        <v>19702</v>
      </c>
      <c r="VUQ1" t="s">
        <v>19703</v>
      </c>
      <c r="VUR1" t="s">
        <v>19704</v>
      </c>
      <c r="VUS1" t="s">
        <v>19705</v>
      </c>
      <c r="VUT1" t="s">
        <v>19706</v>
      </c>
      <c r="VUU1" t="s">
        <v>19707</v>
      </c>
      <c r="VUV1" t="s">
        <v>19708</v>
      </c>
      <c r="VUW1" t="s">
        <v>19709</v>
      </c>
      <c r="VUX1" t="s">
        <v>19710</v>
      </c>
      <c r="VUY1" t="s">
        <v>19711</v>
      </c>
      <c r="VUZ1" t="s">
        <v>19712</v>
      </c>
      <c r="VVA1" t="s">
        <v>19713</v>
      </c>
      <c r="VVB1" t="s">
        <v>19714</v>
      </c>
      <c r="VVC1" t="s">
        <v>19715</v>
      </c>
      <c r="VVD1" t="s">
        <v>19716</v>
      </c>
      <c r="VVE1" t="s">
        <v>19717</v>
      </c>
      <c r="VVF1" t="s">
        <v>19718</v>
      </c>
      <c r="VVG1" t="s">
        <v>19719</v>
      </c>
      <c r="VVH1" t="s">
        <v>19720</v>
      </c>
      <c r="VVI1" t="s">
        <v>19721</v>
      </c>
      <c r="VVJ1" t="s">
        <v>19722</v>
      </c>
      <c r="VVK1" t="s">
        <v>19723</v>
      </c>
      <c r="VVL1" t="s">
        <v>19724</v>
      </c>
      <c r="VVM1" t="s">
        <v>19725</v>
      </c>
      <c r="VVN1" t="s">
        <v>19726</v>
      </c>
      <c r="VVO1" t="s">
        <v>19727</v>
      </c>
      <c r="VVP1" t="s">
        <v>19728</v>
      </c>
      <c r="VVQ1" t="s">
        <v>19729</v>
      </c>
      <c r="VVR1" t="s">
        <v>19730</v>
      </c>
      <c r="VVS1" t="s">
        <v>19731</v>
      </c>
      <c r="VVT1" t="s">
        <v>19732</v>
      </c>
      <c r="VVU1" t="s">
        <v>19733</v>
      </c>
      <c r="VVV1" t="s">
        <v>19734</v>
      </c>
      <c r="VVW1" t="s">
        <v>19735</v>
      </c>
      <c r="VVX1" t="s">
        <v>19736</v>
      </c>
      <c r="VVY1" t="s">
        <v>19737</v>
      </c>
      <c r="VVZ1" t="s">
        <v>19738</v>
      </c>
      <c r="VWA1" t="s">
        <v>19739</v>
      </c>
      <c r="VWB1" t="s">
        <v>19740</v>
      </c>
      <c r="VWC1" t="s">
        <v>19741</v>
      </c>
      <c r="VWD1" t="s">
        <v>19742</v>
      </c>
      <c r="VWE1" t="s">
        <v>19743</v>
      </c>
      <c r="VWF1" t="s">
        <v>19744</v>
      </c>
      <c r="VWG1" t="s">
        <v>19745</v>
      </c>
      <c r="VWH1" t="s">
        <v>19746</v>
      </c>
      <c r="VWI1" t="s">
        <v>19747</v>
      </c>
      <c r="VWJ1" t="s">
        <v>19748</v>
      </c>
      <c r="VWK1" t="s">
        <v>19749</v>
      </c>
      <c r="VWL1" t="s">
        <v>19750</v>
      </c>
      <c r="VWM1" t="s">
        <v>19751</v>
      </c>
      <c r="VWN1" t="s">
        <v>19752</v>
      </c>
      <c r="VWO1" t="s">
        <v>19753</v>
      </c>
      <c r="VWP1" t="s">
        <v>19754</v>
      </c>
      <c r="VWQ1" t="s">
        <v>19755</v>
      </c>
      <c r="VWR1" t="s">
        <v>19756</v>
      </c>
      <c r="VWS1" t="s">
        <v>19757</v>
      </c>
      <c r="VWT1" t="s">
        <v>19758</v>
      </c>
      <c r="VWU1" t="s">
        <v>19759</v>
      </c>
      <c r="VWV1" t="s">
        <v>19760</v>
      </c>
      <c r="VWW1" t="s">
        <v>19761</v>
      </c>
      <c r="VWX1" t="s">
        <v>19762</v>
      </c>
      <c r="VWY1" t="s">
        <v>19763</v>
      </c>
      <c r="VWZ1" t="s">
        <v>19764</v>
      </c>
      <c r="VXA1" t="s">
        <v>19765</v>
      </c>
      <c r="VXB1" t="s">
        <v>19766</v>
      </c>
      <c r="VXC1" t="s">
        <v>19767</v>
      </c>
      <c r="VXD1" t="s">
        <v>19768</v>
      </c>
      <c r="VXE1" t="s">
        <v>19769</v>
      </c>
      <c r="VXF1" t="s">
        <v>19770</v>
      </c>
      <c r="VXG1" t="s">
        <v>19771</v>
      </c>
      <c r="VXH1" t="s">
        <v>19772</v>
      </c>
      <c r="VXI1" t="s">
        <v>19773</v>
      </c>
      <c r="VXJ1" t="s">
        <v>19774</v>
      </c>
      <c r="VXK1" t="s">
        <v>19775</v>
      </c>
      <c r="VXL1" t="s">
        <v>19776</v>
      </c>
      <c r="VXM1" t="s">
        <v>19777</v>
      </c>
      <c r="VXN1" t="s">
        <v>19778</v>
      </c>
      <c r="VXO1" t="s">
        <v>19779</v>
      </c>
      <c r="VXP1" t="s">
        <v>19780</v>
      </c>
      <c r="VXQ1" t="s">
        <v>19781</v>
      </c>
      <c r="VXR1" t="s">
        <v>19782</v>
      </c>
      <c r="VXS1" t="s">
        <v>19783</v>
      </c>
      <c r="VXT1" t="s">
        <v>19784</v>
      </c>
      <c r="VXU1" t="s">
        <v>19785</v>
      </c>
      <c r="VXV1" t="s">
        <v>19786</v>
      </c>
      <c r="VXW1" t="s">
        <v>19787</v>
      </c>
      <c r="VXX1" t="s">
        <v>19788</v>
      </c>
      <c r="VXY1" t="s">
        <v>19789</v>
      </c>
      <c r="VXZ1" t="s">
        <v>19790</v>
      </c>
      <c r="VYA1" t="s">
        <v>19791</v>
      </c>
      <c r="VYB1" t="s">
        <v>19792</v>
      </c>
      <c r="VYC1" t="s">
        <v>19793</v>
      </c>
      <c r="VYD1" t="s">
        <v>19794</v>
      </c>
      <c r="VYE1" t="s">
        <v>19795</v>
      </c>
      <c r="VYF1" t="s">
        <v>19796</v>
      </c>
      <c r="VYG1" t="s">
        <v>19797</v>
      </c>
      <c r="VYH1" t="s">
        <v>19798</v>
      </c>
      <c r="VYI1" t="s">
        <v>19799</v>
      </c>
      <c r="VYJ1" t="s">
        <v>19800</v>
      </c>
      <c r="VYK1" t="s">
        <v>19801</v>
      </c>
      <c r="VYL1" t="s">
        <v>19802</v>
      </c>
      <c r="VYM1" t="s">
        <v>19803</v>
      </c>
      <c r="VYN1" t="s">
        <v>19804</v>
      </c>
      <c r="VYO1" t="s">
        <v>19805</v>
      </c>
      <c r="VYP1" t="s">
        <v>19806</v>
      </c>
      <c r="VYQ1" t="s">
        <v>19807</v>
      </c>
      <c r="VYR1" t="s">
        <v>19808</v>
      </c>
      <c r="VYS1" t="s">
        <v>19809</v>
      </c>
      <c r="VYT1" t="s">
        <v>19810</v>
      </c>
      <c r="VYU1" t="s">
        <v>19811</v>
      </c>
      <c r="VYV1" t="s">
        <v>19812</v>
      </c>
      <c r="VYW1" t="s">
        <v>19813</v>
      </c>
      <c r="VYX1" t="s">
        <v>19814</v>
      </c>
      <c r="VYY1" t="s">
        <v>19815</v>
      </c>
      <c r="VYZ1" t="s">
        <v>19816</v>
      </c>
      <c r="VZA1" t="s">
        <v>19817</v>
      </c>
      <c r="VZB1" t="s">
        <v>19818</v>
      </c>
      <c r="VZC1" t="s">
        <v>19819</v>
      </c>
      <c r="VZD1" t="s">
        <v>19820</v>
      </c>
      <c r="VZE1" t="s">
        <v>19821</v>
      </c>
      <c r="VZF1" t="s">
        <v>19822</v>
      </c>
      <c r="VZG1" t="s">
        <v>19823</v>
      </c>
      <c r="VZH1" t="s">
        <v>19824</v>
      </c>
      <c r="VZI1" t="s">
        <v>19825</v>
      </c>
      <c r="VZJ1" t="s">
        <v>19826</v>
      </c>
      <c r="VZK1" t="s">
        <v>19827</v>
      </c>
      <c r="VZL1" t="s">
        <v>19828</v>
      </c>
      <c r="VZM1" t="s">
        <v>19829</v>
      </c>
      <c r="VZN1" t="s">
        <v>19830</v>
      </c>
      <c r="VZO1" t="s">
        <v>19831</v>
      </c>
      <c r="VZP1" t="s">
        <v>19832</v>
      </c>
      <c r="VZQ1" t="s">
        <v>19833</v>
      </c>
      <c r="VZR1" t="s">
        <v>19834</v>
      </c>
      <c r="VZS1" t="s">
        <v>19835</v>
      </c>
      <c r="VZT1" t="s">
        <v>19836</v>
      </c>
      <c r="VZU1" t="s">
        <v>19837</v>
      </c>
      <c r="VZV1" t="s">
        <v>19838</v>
      </c>
      <c r="VZW1" t="s">
        <v>19839</v>
      </c>
      <c r="VZX1" t="s">
        <v>19840</v>
      </c>
      <c r="VZY1" t="s">
        <v>19841</v>
      </c>
      <c r="VZZ1" t="s">
        <v>19842</v>
      </c>
      <c r="WAA1" t="s">
        <v>19843</v>
      </c>
      <c r="WAB1" t="s">
        <v>19844</v>
      </c>
      <c r="WAC1" t="s">
        <v>19845</v>
      </c>
      <c r="WAD1" t="s">
        <v>19846</v>
      </c>
      <c r="WAE1" t="s">
        <v>19847</v>
      </c>
      <c r="WAF1" t="s">
        <v>19848</v>
      </c>
      <c r="WAG1" t="s">
        <v>19849</v>
      </c>
      <c r="WAH1" t="s">
        <v>19850</v>
      </c>
      <c r="WAI1" t="s">
        <v>19851</v>
      </c>
      <c r="WAJ1" t="s">
        <v>19852</v>
      </c>
      <c r="WAK1" t="s">
        <v>19853</v>
      </c>
      <c r="WAL1" t="s">
        <v>19854</v>
      </c>
      <c r="WAM1" t="s">
        <v>19855</v>
      </c>
      <c r="WAN1" t="s">
        <v>19856</v>
      </c>
      <c r="WAO1" t="s">
        <v>19857</v>
      </c>
      <c r="WAP1" t="s">
        <v>19858</v>
      </c>
      <c r="WAQ1" t="s">
        <v>19859</v>
      </c>
      <c r="WAR1" t="s">
        <v>19860</v>
      </c>
      <c r="WAS1" t="s">
        <v>19861</v>
      </c>
      <c r="WAT1" t="s">
        <v>19862</v>
      </c>
      <c r="WAU1" t="s">
        <v>19863</v>
      </c>
      <c r="WAV1" t="s">
        <v>19864</v>
      </c>
      <c r="WAW1" t="s">
        <v>19865</v>
      </c>
      <c r="WAX1" t="s">
        <v>19866</v>
      </c>
      <c r="WAY1" t="s">
        <v>19867</v>
      </c>
      <c r="WAZ1" t="s">
        <v>19868</v>
      </c>
      <c r="WBA1" t="s">
        <v>19869</v>
      </c>
      <c r="WBB1" t="s">
        <v>19870</v>
      </c>
      <c r="WBC1" t="s">
        <v>19871</v>
      </c>
      <c r="WBD1" t="s">
        <v>19872</v>
      </c>
      <c r="WBE1" t="s">
        <v>19873</v>
      </c>
      <c r="WBF1" t="s">
        <v>19874</v>
      </c>
      <c r="WBG1" t="s">
        <v>19875</v>
      </c>
      <c r="WBH1" t="s">
        <v>19876</v>
      </c>
      <c r="WBI1" t="s">
        <v>19877</v>
      </c>
      <c r="WBJ1" t="s">
        <v>19878</v>
      </c>
      <c r="WBK1" t="s">
        <v>19879</v>
      </c>
      <c r="WBL1" t="s">
        <v>19880</v>
      </c>
      <c r="WBM1" t="s">
        <v>19881</v>
      </c>
      <c r="WBN1" t="s">
        <v>19882</v>
      </c>
      <c r="WBO1" t="s">
        <v>19883</v>
      </c>
      <c r="WBP1" t="s">
        <v>19884</v>
      </c>
      <c r="WBQ1" t="s">
        <v>19885</v>
      </c>
      <c r="WBR1" t="s">
        <v>19886</v>
      </c>
      <c r="WBS1" t="s">
        <v>19887</v>
      </c>
      <c r="WBT1" t="s">
        <v>19888</v>
      </c>
      <c r="WBU1" t="s">
        <v>19889</v>
      </c>
      <c r="WBV1" t="s">
        <v>19890</v>
      </c>
      <c r="WBW1" t="s">
        <v>19891</v>
      </c>
      <c r="WBX1" t="s">
        <v>19892</v>
      </c>
      <c r="WBY1" t="s">
        <v>19893</v>
      </c>
      <c r="WBZ1" t="s">
        <v>19894</v>
      </c>
      <c r="WCA1" t="s">
        <v>19895</v>
      </c>
      <c r="WCB1" t="s">
        <v>19896</v>
      </c>
      <c r="WCC1" t="s">
        <v>19897</v>
      </c>
      <c r="WCD1" t="s">
        <v>19898</v>
      </c>
      <c r="WCE1" t="s">
        <v>19899</v>
      </c>
      <c r="WCF1" t="s">
        <v>19900</v>
      </c>
      <c r="WCG1" t="s">
        <v>19901</v>
      </c>
      <c r="WCH1" t="s">
        <v>19902</v>
      </c>
      <c r="WCI1" t="s">
        <v>19903</v>
      </c>
      <c r="WCJ1" t="s">
        <v>19904</v>
      </c>
      <c r="WCK1" t="s">
        <v>19905</v>
      </c>
      <c r="WCL1" t="s">
        <v>19906</v>
      </c>
      <c r="WCM1" t="s">
        <v>19907</v>
      </c>
      <c r="WCN1" t="s">
        <v>19908</v>
      </c>
      <c r="WCO1" t="s">
        <v>19909</v>
      </c>
      <c r="WCP1" t="s">
        <v>19910</v>
      </c>
      <c r="WCQ1" t="s">
        <v>19911</v>
      </c>
      <c r="WCR1" t="s">
        <v>19912</v>
      </c>
      <c r="WCS1" t="s">
        <v>19913</v>
      </c>
      <c r="WCT1" t="s">
        <v>19914</v>
      </c>
      <c r="WCU1" t="s">
        <v>19915</v>
      </c>
      <c r="WCV1" t="s">
        <v>19916</v>
      </c>
      <c r="WCW1" t="s">
        <v>19917</v>
      </c>
      <c r="WCX1" t="s">
        <v>19918</v>
      </c>
      <c r="WCY1" t="s">
        <v>19919</v>
      </c>
      <c r="WCZ1" t="s">
        <v>19920</v>
      </c>
      <c r="WDA1" t="s">
        <v>19921</v>
      </c>
      <c r="WDB1" t="s">
        <v>19922</v>
      </c>
      <c r="WDC1" t="s">
        <v>19923</v>
      </c>
      <c r="WDD1" t="s">
        <v>19924</v>
      </c>
      <c r="WDE1" t="s">
        <v>19925</v>
      </c>
      <c r="WDF1" t="s">
        <v>19926</v>
      </c>
      <c r="WDG1" t="s">
        <v>19927</v>
      </c>
      <c r="WDH1" t="s">
        <v>19928</v>
      </c>
      <c r="WDI1" t="s">
        <v>19929</v>
      </c>
      <c r="WDJ1" t="s">
        <v>19930</v>
      </c>
      <c r="WDK1" t="s">
        <v>19931</v>
      </c>
      <c r="WDL1" t="s">
        <v>19932</v>
      </c>
      <c r="WDM1" t="s">
        <v>19933</v>
      </c>
      <c r="WDN1" t="s">
        <v>19934</v>
      </c>
      <c r="WDO1" t="s">
        <v>19935</v>
      </c>
      <c r="WDP1" t="s">
        <v>19936</v>
      </c>
      <c r="WDQ1" t="s">
        <v>19937</v>
      </c>
      <c r="WDR1" t="s">
        <v>19938</v>
      </c>
      <c r="WDS1" t="s">
        <v>19939</v>
      </c>
      <c r="WDT1" t="s">
        <v>19940</v>
      </c>
      <c r="WDU1" t="s">
        <v>19941</v>
      </c>
      <c r="WDV1" t="s">
        <v>19942</v>
      </c>
      <c r="WDW1" t="s">
        <v>19943</v>
      </c>
      <c r="WDX1" t="s">
        <v>19944</v>
      </c>
      <c r="WDY1" t="s">
        <v>19945</v>
      </c>
      <c r="WDZ1" t="s">
        <v>19946</v>
      </c>
      <c r="WEA1" t="s">
        <v>19947</v>
      </c>
      <c r="WEB1" t="s">
        <v>19948</v>
      </c>
      <c r="WEC1" t="s">
        <v>19949</v>
      </c>
      <c r="WED1" t="s">
        <v>19950</v>
      </c>
      <c r="WEE1" t="s">
        <v>19951</v>
      </c>
      <c r="WEF1" t="s">
        <v>19952</v>
      </c>
      <c r="WEG1" t="s">
        <v>19953</v>
      </c>
      <c r="WEH1" t="s">
        <v>19954</v>
      </c>
      <c r="WEI1" t="s">
        <v>19955</v>
      </c>
      <c r="WEJ1" t="s">
        <v>19956</v>
      </c>
      <c r="WEK1" t="s">
        <v>19957</v>
      </c>
      <c r="WEL1" t="s">
        <v>19958</v>
      </c>
      <c r="WEM1" t="s">
        <v>19959</v>
      </c>
      <c r="WEN1" t="s">
        <v>19960</v>
      </c>
      <c r="WEO1" t="s">
        <v>19961</v>
      </c>
      <c r="WEP1" t="s">
        <v>19962</v>
      </c>
      <c r="WEQ1" t="s">
        <v>19963</v>
      </c>
      <c r="WER1" t="s">
        <v>19964</v>
      </c>
      <c r="WES1" t="s">
        <v>19965</v>
      </c>
      <c r="WET1" t="s">
        <v>19966</v>
      </c>
      <c r="WEU1" t="s">
        <v>19967</v>
      </c>
      <c r="WEV1" t="s">
        <v>19968</v>
      </c>
      <c r="WEW1" t="s">
        <v>19969</v>
      </c>
      <c r="WEX1" t="s">
        <v>19970</v>
      </c>
      <c r="WEY1" t="s">
        <v>19971</v>
      </c>
      <c r="WEZ1" t="s">
        <v>19972</v>
      </c>
      <c r="WFA1" t="s">
        <v>19973</v>
      </c>
      <c r="WFB1" t="s">
        <v>19974</v>
      </c>
      <c r="WFC1" t="s">
        <v>19975</v>
      </c>
      <c r="WFD1" t="s">
        <v>19976</v>
      </c>
      <c r="WFE1" t="s">
        <v>19977</v>
      </c>
      <c r="WFF1" t="s">
        <v>19978</v>
      </c>
      <c r="WFG1" t="s">
        <v>19979</v>
      </c>
      <c r="WFH1" t="s">
        <v>19980</v>
      </c>
      <c r="WFI1" t="s">
        <v>19981</v>
      </c>
      <c r="WFJ1" t="s">
        <v>19982</v>
      </c>
      <c r="WFK1" t="s">
        <v>19983</v>
      </c>
      <c r="WFL1" t="s">
        <v>19984</v>
      </c>
      <c r="WFM1" t="s">
        <v>19985</v>
      </c>
      <c r="WFN1" t="s">
        <v>19986</v>
      </c>
      <c r="WFO1" t="s">
        <v>19987</v>
      </c>
      <c r="WFP1" t="s">
        <v>19988</v>
      </c>
      <c r="WFQ1" t="s">
        <v>19989</v>
      </c>
      <c r="WFR1" t="s">
        <v>19990</v>
      </c>
      <c r="WFS1" t="s">
        <v>19991</v>
      </c>
      <c r="WFT1" t="s">
        <v>19992</v>
      </c>
      <c r="WFU1" t="s">
        <v>19993</v>
      </c>
      <c r="WFV1" t="s">
        <v>19994</v>
      </c>
      <c r="WFW1" t="s">
        <v>19995</v>
      </c>
      <c r="WFX1" t="s">
        <v>19996</v>
      </c>
      <c r="WFY1" t="s">
        <v>19997</v>
      </c>
      <c r="WFZ1" t="s">
        <v>19998</v>
      </c>
      <c r="WGA1" t="s">
        <v>19999</v>
      </c>
      <c r="WGB1" t="s">
        <v>20000</v>
      </c>
      <c r="WGC1" t="s">
        <v>20001</v>
      </c>
      <c r="WGD1" t="s">
        <v>20002</v>
      </c>
      <c r="WGE1" t="s">
        <v>20003</v>
      </c>
      <c r="WGF1" t="s">
        <v>20004</v>
      </c>
      <c r="WGG1" t="s">
        <v>20005</v>
      </c>
      <c r="WGH1" t="s">
        <v>20006</v>
      </c>
      <c r="WGI1" t="s">
        <v>20007</v>
      </c>
      <c r="WGJ1" t="s">
        <v>20008</v>
      </c>
      <c r="WGK1" t="s">
        <v>20009</v>
      </c>
      <c r="WGL1" t="s">
        <v>20010</v>
      </c>
      <c r="WGM1" t="s">
        <v>20011</v>
      </c>
      <c r="WGN1" t="s">
        <v>20012</v>
      </c>
      <c r="WGO1" t="s">
        <v>20013</v>
      </c>
      <c r="WGP1" t="s">
        <v>20014</v>
      </c>
      <c r="WGQ1" t="s">
        <v>20015</v>
      </c>
      <c r="WGR1" t="s">
        <v>20016</v>
      </c>
      <c r="WGS1" t="s">
        <v>20017</v>
      </c>
      <c r="WGT1" t="s">
        <v>20018</v>
      </c>
      <c r="WGU1" t="s">
        <v>20019</v>
      </c>
      <c r="WGV1" t="s">
        <v>20020</v>
      </c>
      <c r="WGW1" t="s">
        <v>20021</v>
      </c>
      <c r="WGX1" t="s">
        <v>20022</v>
      </c>
      <c r="WGY1" t="s">
        <v>20023</v>
      </c>
      <c r="WGZ1" t="s">
        <v>20024</v>
      </c>
      <c r="WHA1" t="s">
        <v>20025</v>
      </c>
      <c r="WHB1" t="s">
        <v>20026</v>
      </c>
      <c r="WHC1" t="s">
        <v>20027</v>
      </c>
      <c r="WHD1" t="s">
        <v>20028</v>
      </c>
      <c r="WHE1" t="s">
        <v>20029</v>
      </c>
      <c r="WHF1" t="s">
        <v>20030</v>
      </c>
      <c r="WHG1" t="s">
        <v>20031</v>
      </c>
      <c r="WHH1" t="s">
        <v>20032</v>
      </c>
      <c r="WHI1" t="s">
        <v>20033</v>
      </c>
      <c r="WHJ1" t="s">
        <v>20034</v>
      </c>
      <c r="WHK1" t="s">
        <v>20035</v>
      </c>
      <c r="WHL1" t="s">
        <v>20036</v>
      </c>
      <c r="WHM1" t="s">
        <v>20037</v>
      </c>
      <c r="WHN1" t="s">
        <v>20038</v>
      </c>
      <c r="WHO1" t="s">
        <v>20039</v>
      </c>
      <c r="WHP1" t="s">
        <v>20040</v>
      </c>
      <c r="WHQ1" t="s">
        <v>20041</v>
      </c>
      <c r="WHR1" t="s">
        <v>20042</v>
      </c>
      <c r="WHS1" t="s">
        <v>20043</v>
      </c>
      <c r="WHT1" t="s">
        <v>20044</v>
      </c>
      <c r="WHU1" t="s">
        <v>20045</v>
      </c>
      <c r="WHV1" t="s">
        <v>20046</v>
      </c>
      <c r="WHW1" t="s">
        <v>20047</v>
      </c>
      <c r="WHX1" t="s">
        <v>20048</v>
      </c>
      <c r="WHY1" t="s">
        <v>20049</v>
      </c>
      <c r="WHZ1" t="s">
        <v>20050</v>
      </c>
      <c r="WIA1" t="s">
        <v>20051</v>
      </c>
      <c r="WIB1" t="s">
        <v>20052</v>
      </c>
      <c r="WIC1" t="s">
        <v>20053</v>
      </c>
      <c r="WID1" t="s">
        <v>20054</v>
      </c>
      <c r="WIE1" t="s">
        <v>20055</v>
      </c>
      <c r="WIF1" t="s">
        <v>20056</v>
      </c>
      <c r="WIG1" t="s">
        <v>20057</v>
      </c>
      <c r="WIH1" t="s">
        <v>20058</v>
      </c>
      <c r="WII1" t="s">
        <v>20059</v>
      </c>
      <c r="WIJ1" t="s">
        <v>20060</v>
      </c>
      <c r="WIK1" t="s">
        <v>20061</v>
      </c>
      <c r="WIL1" t="s">
        <v>20062</v>
      </c>
      <c r="WIM1" t="s">
        <v>20063</v>
      </c>
      <c r="WIN1" t="s">
        <v>20064</v>
      </c>
      <c r="WIO1" t="s">
        <v>20065</v>
      </c>
      <c r="WIP1" t="s">
        <v>20066</v>
      </c>
      <c r="WIQ1" t="s">
        <v>20067</v>
      </c>
      <c r="WIR1" t="s">
        <v>20068</v>
      </c>
      <c r="WIS1" t="s">
        <v>20069</v>
      </c>
      <c r="WIT1" t="s">
        <v>20070</v>
      </c>
      <c r="WIU1" t="s">
        <v>20071</v>
      </c>
      <c r="WIV1" t="s">
        <v>20072</v>
      </c>
      <c r="WIW1" t="s">
        <v>20073</v>
      </c>
      <c r="WIX1" t="s">
        <v>20074</v>
      </c>
      <c r="WIY1" t="s">
        <v>20075</v>
      </c>
      <c r="WIZ1" t="s">
        <v>20076</v>
      </c>
      <c r="WJA1" t="s">
        <v>20077</v>
      </c>
      <c r="WJB1" t="s">
        <v>20078</v>
      </c>
      <c r="WJC1" t="s">
        <v>20079</v>
      </c>
      <c r="WJD1" t="s">
        <v>20080</v>
      </c>
      <c r="WJE1" t="s">
        <v>20081</v>
      </c>
      <c r="WJF1" t="s">
        <v>20082</v>
      </c>
      <c r="WJG1" t="s">
        <v>20083</v>
      </c>
      <c r="WJH1" t="s">
        <v>20084</v>
      </c>
      <c r="WJI1" t="s">
        <v>20085</v>
      </c>
      <c r="WJJ1" t="s">
        <v>20086</v>
      </c>
      <c r="WJK1" t="s">
        <v>20087</v>
      </c>
      <c r="WJL1" t="s">
        <v>20088</v>
      </c>
      <c r="WJM1" t="s">
        <v>20089</v>
      </c>
      <c r="WJN1" t="s">
        <v>20090</v>
      </c>
      <c r="WJO1" t="s">
        <v>20091</v>
      </c>
      <c r="WJP1" t="s">
        <v>20092</v>
      </c>
      <c r="WJQ1" t="s">
        <v>20093</v>
      </c>
      <c r="WJR1" t="s">
        <v>20094</v>
      </c>
      <c r="WJS1" t="s">
        <v>20095</v>
      </c>
      <c r="WJT1" t="s">
        <v>20096</v>
      </c>
      <c r="WJU1" t="s">
        <v>20097</v>
      </c>
      <c r="WJV1" t="s">
        <v>20098</v>
      </c>
      <c r="WJW1" t="s">
        <v>20099</v>
      </c>
      <c r="WJX1" t="s">
        <v>20100</v>
      </c>
      <c r="WJY1" t="s">
        <v>20101</v>
      </c>
      <c r="WJZ1" t="s">
        <v>20102</v>
      </c>
      <c r="WKA1" t="s">
        <v>20103</v>
      </c>
      <c r="WKB1" t="s">
        <v>20104</v>
      </c>
      <c r="WKC1" t="s">
        <v>20105</v>
      </c>
      <c r="WKD1" t="s">
        <v>20106</v>
      </c>
      <c r="WKE1" t="s">
        <v>20107</v>
      </c>
      <c r="WKF1" t="s">
        <v>20108</v>
      </c>
      <c r="WKG1" t="s">
        <v>20109</v>
      </c>
      <c r="WKH1" t="s">
        <v>20110</v>
      </c>
      <c r="WKI1" t="s">
        <v>20111</v>
      </c>
      <c r="WKJ1" t="s">
        <v>20112</v>
      </c>
      <c r="WKK1" t="s">
        <v>20113</v>
      </c>
      <c r="WKL1" t="s">
        <v>20114</v>
      </c>
      <c r="WKM1" t="s">
        <v>20115</v>
      </c>
      <c r="WKN1" t="s">
        <v>20116</v>
      </c>
      <c r="WKO1" t="s">
        <v>20117</v>
      </c>
      <c r="WKP1" t="s">
        <v>20118</v>
      </c>
      <c r="WKQ1" t="s">
        <v>20119</v>
      </c>
      <c r="WKR1" t="s">
        <v>20120</v>
      </c>
      <c r="WKS1" t="s">
        <v>20121</v>
      </c>
      <c r="WKT1" t="s">
        <v>20122</v>
      </c>
      <c r="WKU1" t="s">
        <v>20123</v>
      </c>
      <c r="WKV1" t="s">
        <v>20124</v>
      </c>
      <c r="WKW1" t="s">
        <v>20125</v>
      </c>
      <c r="WKX1" t="s">
        <v>20126</v>
      </c>
      <c r="WKY1" t="s">
        <v>20127</v>
      </c>
      <c r="WKZ1" t="s">
        <v>20128</v>
      </c>
      <c r="WLA1" t="s">
        <v>20129</v>
      </c>
      <c r="WLB1" t="s">
        <v>20130</v>
      </c>
      <c r="WLC1" t="s">
        <v>20131</v>
      </c>
      <c r="WLD1" t="s">
        <v>20132</v>
      </c>
      <c r="WLE1" t="s">
        <v>20133</v>
      </c>
      <c r="WLF1" t="s">
        <v>20134</v>
      </c>
      <c r="WLG1" t="s">
        <v>20135</v>
      </c>
      <c r="WLH1" t="s">
        <v>20136</v>
      </c>
      <c r="WLI1" t="s">
        <v>20137</v>
      </c>
      <c r="WLJ1" t="s">
        <v>20138</v>
      </c>
      <c r="WLK1" t="s">
        <v>20139</v>
      </c>
      <c r="WLL1" t="s">
        <v>20140</v>
      </c>
      <c r="WLM1" t="s">
        <v>20141</v>
      </c>
      <c r="WLN1" t="s">
        <v>20142</v>
      </c>
      <c r="WLO1" t="s">
        <v>20143</v>
      </c>
      <c r="WLP1" t="s">
        <v>20144</v>
      </c>
      <c r="WLQ1" t="s">
        <v>20145</v>
      </c>
      <c r="WLR1" t="s">
        <v>20146</v>
      </c>
      <c r="WLS1" t="s">
        <v>20147</v>
      </c>
      <c r="WLT1" t="s">
        <v>20148</v>
      </c>
      <c r="WLU1" t="s">
        <v>20149</v>
      </c>
      <c r="WLV1" t="s">
        <v>20150</v>
      </c>
      <c r="WLW1" t="s">
        <v>20151</v>
      </c>
      <c r="WLX1" t="s">
        <v>20152</v>
      </c>
      <c r="WLY1" t="s">
        <v>20153</v>
      </c>
      <c r="WLZ1" t="s">
        <v>20154</v>
      </c>
      <c r="WMA1" t="s">
        <v>20155</v>
      </c>
      <c r="WMB1" t="s">
        <v>20156</v>
      </c>
      <c r="WMC1" t="s">
        <v>20157</v>
      </c>
      <c r="WMD1" t="s">
        <v>20158</v>
      </c>
      <c r="WME1" t="s">
        <v>20159</v>
      </c>
      <c r="WMF1" t="s">
        <v>20160</v>
      </c>
      <c r="WMG1" t="s">
        <v>20161</v>
      </c>
      <c r="WMH1" t="s">
        <v>20162</v>
      </c>
      <c r="WMI1" t="s">
        <v>20163</v>
      </c>
      <c r="WMJ1" t="s">
        <v>20164</v>
      </c>
      <c r="WMK1" t="s">
        <v>20165</v>
      </c>
      <c r="WML1" t="s">
        <v>20166</v>
      </c>
      <c r="WMM1" t="s">
        <v>20167</v>
      </c>
      <c r="WMN1" t="s">
        <v>20168</v>
      </c>
      <c r="WMO1" t="s">
        <v>20169</v>
      </c>
      <c r="WMP1" t="s">
        <v>20170</v>
      </c>
      <c r="WMQ1" t="s">
        <v>20171</v>
      </c>
      <c r="WMR1" t="s">
        <v>20172</v>
      </c>
      <c r="WMS1" t="s">
        <v>20173</v>
      </c>
      <c r="WMT1" t="s">
        <v>20174</v>
      </c>
      <c r="WMU1" t="s">
        <v>20175</v>
      </c>
      <c r="WMV1" t="s">
        <v>20176</v>
      </c>
      <c r="WMW1" t="s">
        <v>20177</v>
      </c>
      <c r="WMX1" t="s">
        <v>20178</v>
      </c>
      <c r="WMY1" t="s">
        <v>20179</v>
      </c>
      <c r="WMZ1" t="s">
        <v>20180</v>
      </c>
      <c r="WNA1" t="s">
        <v>20181</v>
      </c>
      <c r="WNB1" t="s">
        <v>20182</v>
      </c>
      <c r="WNC1" t="s">
        <v>20183</v>
      </c>
      <c r="WND1" t="s">
        <v>20184</v>
      </c>
      <c r="WNE1" t="s">
        <v>20185</v>
      </c>
      <c r="WNF1" t="s">
        <v>20186</v>
      </c>
      <c r="WNG1" t="s">
        <v>20187</v>
      </c>
      <c r="WNH1" t="s">
        <v>20188</v>
      </c>
      <c r="WNI1" t="s">
        <v>20189</v>
      </c>
      <c r="WNJ1" t="s">
        <v>20190</v>
      </c>
      <c r="WNK1" t="s">
        <v>20191</v>
      </c>
      <c r="WNL1" t="s">
        <v>20192</v>
      </c>
      <c r="WNM1" t="s">
        <v>20193</v>
      </c>
      <c r="WNN1" t="s">
        <v>20194</v>
      </c>
      <c r="WNO1" t="s">
        <v>20195</v>
      </c>
      <c r="WNP1" t="s">
        <v>20196</v>
      </c>
      <c r="WNQ1" t="s">
        <v>20197</v>
      </c>
      <c r="WNR1" t="s">
        <v>20198</v>
      </c>
      <c r="WNS1" t="s">
        <v>20199</v>
      </c>
      <c r="WNT1" t="s">
        <v>20200</v>
      </c>
      <c r="WNU1" t="s">
        <v>20201</v>
      </c>
      <c r="WNV1" t="s">
        <v>20202</v>
      </c>
      <c r="WNW1" t="s">
        <v>20203</v>
      </c>
      <c r="WNX1" t="s">
        <v>20204</v>
      </c>
      <c r="WNY1" t="s">
        <v>20205</v>
      </c>
      <c r="WNZ1" t="s">
        <v>20206</v>
      </c>
      <c r="WOA1" t="s">
        <v>20207</v>
      </c>
      <c r="WOB1" t="s">
        <v>20208</v>
      </c>
      <c r="WOC1" t="s">
        <v>20209</v>
      </c>
      <c r="WOD1" t="s">
        <v>20210</v>
      </c>
      <c r="WOE1" t="s">
        <v>20211</v>
      </c>
      <c r="WOF1" t="s">
        <v>20212</v>
      </c>
      <c r="WOG1" t="s">
        <v>20213</v>
      </c>
      <c r="WOH1" t="s">
        <v>20214</v>
      </c>
      <c r="WOI1" t="s">
        <v>20215</v>
      </c>
      <c r="WOJ1" t="s">
        <v>20216</v>
      </c>
      <c r="WOK1" t="s">
        <v>20217</v>
      </c>
      <c r="WOL1" t="s">
        <v>20218</v>
      </c>
      <c r="WOM1" t="s">
        <v>20219</v>
      </c>
      <c r="WON1" t="s">
        <v>20220</v>
      </c>
      <c r="WOO1" t="s">
        <v>20221</v>
      </c>
      <c r="WOP1" t="s">
        <v>20222</v>
      </c>
      <c r="WOQ1" t="s">
        <v>20223</v>
      </c>
      <c r="WOR1" t="s">
        <v>20224</v>
      </c>
      <c r="WOS1" t="s">
        <v>20225</v>
      </c>
      <c r="WOT1" t="s">
        <v>20226</v>
      </c>
      <c r="WOU1" t="s">
        <v>20227</v>
      </c>
      <c r="WOV1" t="s">
        <v>20228</v>
      </c>
      <c r="WOW1" t="s">
        <v>20229</v>
      </c>
      <c r="WOX1" t="s">
        <v>20230</v>
      </c>
      <c r="WOY1" t="s">
        <v>20231</v>
      </c>
      <c r="WOZ1" t="s">
        <v>20232</v>
      </c>
      <c r="WPA1" t="s">
        <v>20233</v>
      </c>
      <c r="WPB1" t="s">
        <v>20234</v>
      </c>
      <c r="WPC1" t="s">
        <v>20235</v>
      </c>
      <c r="WPD1" t="s">
        <v>20236</v>
      </c>
      <c r="WPE1" t="s">
        <v>20237</v>
      </c>
      <c r="WPF1" t="s">
        <v>20238</v>
      </c>
      <c r="WPG1" t="s">
        <v>20239</v>
      </c>
      <c r="WPH1" t="s">
        <v>20240</v>
      </c>
      <c r="WPI1" t="s">
        <v>20241</v>
      </c>
      <c r="WPJ1" t="s">
        <v>20242</v>
      </c>
      <c r="WPK1" t="s">
        <v>20243</v>
      </c>
      <c r="WPL1" t="s">
        <v>20244</v>
      </c>
      <c r="WPM1" t="s">
        <v>20245</v>
      </c>
      <c r="WPN1" t="s">
        <v>20246</v>
      </c>
      <c r="WPO1" t="s">
        <v>20247</v>
      </c>
      <c r="WPP1" t="s">
        <v>20248</v>
      </c>
      <c r="WPQ1" t="s">
        <v>20249</v>
      </c>
      <c r="WPR1" t="s">
        <v>20250</v>
      </c>
      <c r="WPS1" t="s">
        <v>20251</v>
      </c>
      <c r="WPT1" t="s">
        <v>20252</v>
      </c>
      <c r="WPU1" t="s">
        <v>20253</v>
      </c>
      <c r="WPV1" t="s">
        <v>20254</v>
      </c>
      <c r="WPW1" t="s">
        <v>20255</v>
      </c>
      <c r="WPX1" t="s">
        <v>20256</v>
      </c>
      <c r="WPY1" t="s">
        <v>20257</v>
      </c>
      <c r="WPZ1" t="s">
        <v>20258</v>
      </c>
      <c r="WQA1" t="s">
        <v>20259</v>
      </c>
      <c r="WQB1" t="s">
        <v>20260</v>
      </c>
      <c r="WQC1" t="s">
        <v>20261</v>
      </c>
      <c r="WQD1" t="s">
        <v>20262</v>
      </c>
      <c r="WQE1" t="s">
        <v>20263</v>
      </c>
      <c r="WQF1" t="s">
        <v>20264</v>
      </c>
      <c r="WQG1" t="s">
        <v>20265</v>
      </c>
      <c r="WQH1" t="s">
        <v>20266</v>
      </c>
      <c r="WQI1" t="s">
        <v>20267</v>
      </c>
      <c r="WQJ1" t="s">
        <v>20268</v>
      </c>
      <c r="WQK1" t="s">
        <v>20269</v>
      </c>
      <c r="WQL1" t="s">
        <v>20270</v>
      </c>
      <c r="WQM1" t="s">
        <v>20271</v>
      </c>
      <c r="WQN1" t="s">
        <v>20272</v>
      </c>
      <c r="WQO1" t="s">
        <v>20273</v>
      </c>
      <c r="WQP1" t="s">
        <v>20274</v>
      </c>
      <c r="WQQ1" t="s">
        <v>20275</v>
      </c>
      <c r="WQR1" t="s">
        <v>20276</v>
      </c>
      <c r="WQS1" t="s">
        <v>20277</v>
      </c>
      <c r="WQT1" t="s">
        <v>20278</v>
      </c>
      <c r="WQU1" t="s">
        <v>20279</v>
      </c>
      <c r="WQV1" t="s">
        <v>20280</v>
      </c>
      <c r="WQW1" t="s">
        <v>20281</v>
      </c>
      <c r="WQX1" t="s">
        <v>20282</v>
      </c>
      <c r="WQY1" t="s">
        <v>20283</v>
      </c>
      <c r="WQZ1" t="s">
        <v>20284</v>
      </c>
      <c r="WRA1" t="s">
        <v>20285</v>
      </c>
      <c r="WRB1" t="s">
        <v>20286</v>
      </c>
      <c r="WRC1" t="s">
        <v>20287</v>
      </c>
      <c r="WRD1" t="s">
        <v>20288</v>
      </c>
      <c r="WRE1" t="s">
        <v>20289</v>
      </c>
      <c r="WRF1" t="s">
        <v>20290</v>
      </c>
      <c r="WRG1" t="s">
        <v>20291</v>
      </c>
      <c r="WRH1" t="s">
        <v>20292</v>
      </c>
      <c r="WRI1" t="s">
        <v>20293</v>
      </c>
      <c r="WRJ1" t="s">
        <v>20294</v>
      </c>
      <c r="WRK1" t="s">
        <v>20295</v>
      </c>
      <c r="WRL1" t="s">
        <v>20296</v>
      </c>
      <c r="WRM1" t="s">
        <v>20297</v>
      </c>
      <c r="WRN1" t="s">
        <v>20298</v>
      </c>
      <c r="WRO1" t="s">
        <v>20299</v>
      </c>
      <c r="WRP1" t="s">
        <v>20300</v>
      </c>
      <c r="WRQ1" t="s">
        <v>20301</v>
      </c>
      <c r="WRR1" t="s">
        <v>20302</v>
      </c>
      <c r="WRS1" t="s">
        <v>20303</v>
      </c>
      <c r="WRT1" t="s">
        <v>20304</v>
      </c>
      <c r="WRU1" t="s">
        <v>20305</v>
      </c>
      <c r="WRV1" t="s">
        <v>20306</v>
      </c>
      <c r="WRW1" t="s">
        <v>20307</v>
      </c>
      <c r="WRX1" t="s">
        <v>20308</v>
      </c>
      <c r="WRY1" t="s">
        <v>20309</v>
      </c>
      <c r="WRZ1" t="s">
        <v>20310</v>
      </c>
      <c r="WSA1" t="s">
        <v>20311</v>
      </c>
      <c r="WSB1" t="s">
        <v>20312</v>
      </c>
      <c r="WSC1" t="s">
        <v>20313</v>
      </c>
      <c r="WSD1" t="s">
        <v>20314</v>
      </c>
      <c r="WSE1" t="s">
        <v>20315</v>
      </c>
      <c r="WSF1" t="s">
        <v>20316</v>
      </c>
      <c r="WSG1" t="s">
        <v>20317</v>
      </c>
      <c r="WSH1" t="s">
        <v>20318</v>
      </c>
      <c r="WSI1" t="s">
        <v>20319</v>
      </c>
      <c r="WSJ1" t="s">
        <v>20320</v>
      </c>
      <c r="WSK1" t="s">
        <v>20321</v>
      </c>
      <c r="WSL1" t="s">
        <v>20322</v>
      </c>
      <c r="WSM1" t="s">
        <v>20323</v>
      </c>
      <c r="WSN1" t="s">
        <v>20324</v>
      </c>
      <c r="WSO1" t="s">
        <v>20325</v>
      </c>
      <c r="WSP1" t="s">
        <v>20326</v>
      </c>
      <c r="WSQ1" t="s">
        <v>20327</v>
      </c>
      <c r="WSR1" t="s">
        <v>20328</v>
      </c>
      <c r="WSS1" t="s">
        <v>20329</v>
      </c>
      <c r="WST1" t="s">
        <v>20330</v>
      </c>
      <c r="WSU1" t="s">
        <v>20331</v>
      </c>
      <c r="WSV1" t="s">
        <v>20332</v>
      </c>
      <c r="WSW1" t="s">
        <v>20333</v>
      </c>
      <c r="WSX1" t="s">
        <v>20334</v>
      </c>
      <c r="WSY1" t="s">
        <v>20335</v>
      </c>
      <c r="WSZ1" t="s">
        <v>20336</v>
      </c>
      <c r="WTA1" t="s">
        <v>20337</v>
      </c>
      <c r="WTB1" t="s">
        <v>20338</v>
      </c>
      <c r="WTC1" t="s">
        <v>20339</v>
      </c>
      <c r="WTD1" t="s">
        <v>20340</v>
      </c>
      <c r="WTE1" t="s">
        <v>20341</v>
      </c>
      <c r="WTF1" t="s">
        <v>20342</v>
      </c>
      <c r="WTG1" t="s">
        <v>20343</v>
      </c>
      <c r="WTH1" t="s">
        <v>20344</v>
      </c>
      <c r="WTI1" t="s">
        <v>20345</v>
      </c>
      <c r="WTJ1" t="s">
        <v>20346</v>
      </c>
      <c r="WTK1" t="s">
        <v>20347</v>
      </c>
      <c r="WTL1" t="s">
        <v>20348</v>
      </c>
      <c r="WTM1" t="s">
        <v>20349</v>
      </c>
      <c r="WTN1" t="s">
        <v>20350</v>
      </c>
      <c r="WTO1" t="s">
        <v>20351</v>
      </c>
      <c r="WTP1" t="s">
        <v>20352</v>
      </c>
      <c r="WTQ1" t="s">
        <v>20353</v>
      </c>
      <c r="WTR1" t="s">
        <v>20354</v>
      </c>
      <c r="WTS1" t="s">
        <v>20355</v>
      </c>
      <c r="WTT1" t="s">
        <v>20356</v>
      </c>
      <c r="WTU1" t="s">
        <v>20357</v>
      </c>
      <c r="WTV1" t="s">
        <v>20358</v>
      </c>
      <c r="WTW1" t="s">
        <v>20359</v>
      </c>
      <c r="WTX1" t="s">
        <v>20360</v>
      </c>
      <c r="WTY1" t="s">
        <v>20361</v>
      </c>
      <c r="WTZ1" t="s">
        <v>20362</v>
      </c>
      <c r="WUA1" t="s">
        <v>20363</v>
      </c>
      <c r="WUB1" t="s">
        <v>20364</v>
      </c>
      <c r="WUC1" t="s">
        <v>20365</v>
      </c>
      <c r="WUD1" t="s">
        <v>20366</v>
      </c>
      <c r="WUE1" t="s">
        <v>20367</v>
      </c>
      <c r="WUF1" t="s">
        <v>20368</v>
      </c>
      <c r="WUG1" t="s">
        <v>20369</v>
      </c>
      <c r="WUH1" t="s">
        <v>20370</v>
      </c>
      <c r="WUI1" t="s">
        <v>20371</v>
      </c>
      <c r="WUJ1" t="s">
        <v>20372</v>
      </c>
      <c r="WUK1" t="s">
        <v>20373</v>
      </c>
      <c r="WUL1" t="s">
        <v>20374</v>
      </c>
      <c r="WUM1" t="s">
        <v>20375</v>
      </c>
      <c r="WUN1" t="s">
        <v>20376</v>
      </c>
      <c r="WUO1" t="s">
        <v>20377</v>
      </c>
      <c r="WUP1" t="s">
        <v>20378</v>
      </c>
      <c r="WUQ1" t="s">
        <v>20379</v>
      </c>
      <c r="WUR1" t="s">
        <v>20380</v>
      </c>
      <c r="WUS1" t="s">
        <v>20381</v>
      </c>
      <c r="WUT1" t="s">
        <v>20382</v>
      </c>
      <c r="WUU1" t="s">
        <v>20383</v>
      </c>
      <c r="WUV1" t="s">
        <v>20384</v>
      </c>
      <c r="WUW1" t="s">
        <v>20385</v>
      </c>
      <c r="WUX1" t="s">
        <v>20386</v>
      </c>
      <c r="WUY1" t="s">
        <v>20387</v>
      </c>
      <c r="WUZ1" t="s">
        <v>20388</v>
      </c>
      <c r="WVA1" t="s">
        <v>20389</v>
      </c>
      <c r="WVB1" t="s">
        <v>20390</v>
      </c>
      <c r="WVC1" t="s">
        <v>20391</v>
      </c>
      <c r="WVD1" t="s">
        <v>20392</v>
      </c>
      <c r="WVE1" t="s">
        <v>20393</v>
      </c>
      <c r="WVF1" t="s">
        <v>20394</v>
      </c>
      <c r="WVG1" t="s">
        <v>20395</v>
      </c>
      <c r="WVH1" t="s">
        <v>20396</v>
      </c>
      <c r="WVI1" t="s">
        <v>20397</v>
      </c>
      <c r="WVJ1" t="s">
        <v>20398</v>
      </c>
      <c r="WVK1" t="s">
        <v>20399</v>
      </c>
      <c r="WVL1" t="s">
        <v>20400</v>
      </c>
      <c r="WVM1" t="s">
        <v>20401</v>
      </c>
      <c r="WVN1" t="s">
        <v>20402</v>
      </c>
      <c r="WVO1" t="s">
        <v>20403</v>
      </c>
      <c r="WVP1" t="s">
        <v>20404</v>
      </c>
      <c r="WVQ1" t="s">
        <v>20405</v>
      </c>
      <c r="WVR1" t="s">
        <v>20406</v>
      </c>
      <c r="WVS1" t="s">
        <v>20407</v>
      </c>
      <c r="WVT1" t="s">
        <v>20408</v>
      </c>
      <c r="WVU1" t="s">
        <v>20409</v>
      </c>
      <c r="WVV1" t="s">
        <v>20410</v>
      </c>
      <c r="WVW1" t="s">
        <v>20411</v>
      </c>
      <c r="WVX1" t="s">
        <v>20412</v>
      </c>
      <c r="WVY1" t="s">
        <v>20413</v>
      </c>
      <c r="WVZ1" t="s">
        <v>20414</v>
      </c>
      <c r="WWA1" t="s">
        <v>20415</v>
      </c>
      <c r="WWB1" t="s">
        <v>20416</v>
      </c>
      <c r="WWC1" t="s">
        <v>20417</v>
      </c>
      <c r="WWD1" t="s">
        <v>20418</v>
      </c>
      <c r="WWE1" t="s">
        <v>20419</v>
      </c>
      <c r="WWF1" t="s">
        <v>20420</v>
      </c>
      <c r="WWG1" t="s">
        <v>20421</v>
      </c>
      <c r="WWH1" t="s">
        <v>20422</v>
      </c>
      <c r="WWI1" t="s">
        <v>20423</v>
      </c>
      <c r="WWJ1" t="s">
        <v>20424</v>
      </c>
      <c r="WWK1" t="s">
        <v>20425</v>
      </c>
      <c r="WWL1" t="s">
        <v>20426</v>
      </c>
      <c r="WWM1" t="s">
        <v>20427</v>
      </c>
      <c r="WWN1" t="s">
        <v>20428</v>
      </c>
      <c r="WWO1" t="s">
        <v>20429</v>
      </c>
      <c r="WWP1" t="s">
        <v>20430</v>
      </c>
      <c r="WWQ1" t="s">
        <v>20431</v>
      </c>
      <c r="WWR1" t="s">
        <v>20432</v>
      </c>
      <c r="WWS1" t="s">
        <v>20433</v>
      </c>
      <c r="WWT1" t="s">
        <v>20434</v>
      </c>
      <c r="WWU1" t="s">
        <v>20435</v>
      </c>
      <c r="WWV1" t="s">
        <v>20436</v>
      </c>
      <c r="WWW1" t="s">
        <v>20437</v>
      </c>
      <c r="WWX1" t="s">
        <v>20438</v>
      </c>
      <c r="WWY1" t="s">
        <v>20439</v>
      </c>
      <c r="WWZ1" t="s">
        <v>20440</v>
      </c>
      <c r="WXA1" t="s">
        <v>20441</v>
      </c>
      <c r="WXB1" t="s">
        <v>20442</v>
      </c>
      <c r="WXC1" t="s">
        <v>20443</v>
      </c>
      <c r="WXD1" t="s">
        <v>20444</v>
      </c>
      <c r="WXE1" t="s">
        <v>20445</v>
      </c>
      <c r="WXF1" t="s">
        <v>20446</v>
      </c>
      <c r="WXG1" t="s">
        <v>20447</v>
      </c>
      <c r="WXH1" t="s">
        <v>20448</v>
      </c>
      <c r="WXI1" t="s">
        <v>20449</v>
      </c>
      <c r="WXJ1" t="s">
        <v>20450</v>
      </c>
      <c r="WXK1" t="s">
        <v>20451</v>
      </c>
      <c r="WXL1" t="s">
        <v>20452</v>
      </c>
      <c r="WXM1" t="s">
        <v>20453</v>
      </c>
      <c r="WXN1" t="s">
        <v>20454</v>
      </c>
      <c r="WXO1" t="s">
        <v>20455</v>
      </c>
      <c r="WXP1" t="s">
        <v>20456</v>
      </c>
      <c r="WXQ1" t="s">
        <v>20457</v>
      </c>
      <c r="WXR1" t="s">
        <v>20458</v>
      </c>
      <c r="WXS1" t="s">
        <v>20459</v>
      </c>
      <c r="WXT1" t="s">
        <v>20460</v>
      </c>
      <c r="WXU1" t="s">
        <v>20461</v>
      </c>
      <c r="WXV1" t="s">
        <v>20462</v>
      </c>
      <c r="WXW1" t="s">
        <v>20463</v>
      </c>
      <c r="WXX1" t="s">
        <v>20464</v>
      </c>
      <c r="WXY1" t="s">
        <v>20465</v>
      </c>
      <c r="WXZ1" t="s">
        <v>20466</v>
      </c>
      <c r="WYA1" t="s">
        <v>20467</v>
      </c>
      <c r="WYB1" t="s">
        <v>20468</v>
      </c>
      <c r="WYC1" t="s">
        <v>20469</v>
      </c>
      <c r="WYD1" t="s">
        <v>20470</v>
      </c>
      <c r="WYE1" t="s">
        <v>20471</v>
      </c>
      <c r="WYF1" t="s">
        <v>20472</v>
      </c>
      <c r="WYG1" t="s">
        <v>20473</v>
      </c>
      <c r="WYH1" t="s">
        <v>20474</v>
      </c>
      <c r="WYI1" t="s">
        <v>20475</v>
      </c>
      <c r="WYJ1" t="s">
        <v>20476</v>
      </c>
      <c r="WYK1" t="s">
        <v>20477</v>
      </c>
      <c r="WYL1" t="s">
        <v>20478</v>
      </c>
      <c r="WYM1" t="s">
        <v>20479</v>
      </c>
      <c r="WYN1" t="s">
        <v>20480</v>
      </c>
      <c r="WYO1" t="s">
        <v>20481</v>
      </c>
      <c r="WYP1" t="s">
        <v>20482</v>
      </c>
      <c r="WYQ1" t="s">
        <v>20483</v>
      </c>
      <c r="WYR1" t="s">
        <v>20484</v>
      </c>
      <c r="WYS1" t="s">
        <v>20485</v>
      </c>
      <c r="WYT1" t="s">
        <v>20486</v>
      </c>
      <c r="WYU1" t="s">
        <v>20487</v>
      </c>
      <c r="WYV1" t="s">
        <v>20488</v>
      </c>
      <c r="WYW1" t="s">
        <v>20489</v>
      </c>
      <c r="WYX1" t="s">
        <v>20490</v>
      </c>
      <c r="WYY1" t="s">
        <v>20491</v>
      </c>
      <c r="WYZ1" t="s">
        <v>20492</v>
      </c>
      <c r="WZA1" t="s">
        <v>20493</v>
      </c>
      <c r="WZB1" t="s">
        <v>20494</v>
      </c>
      <c r="WZC1" t="s">
        <v>20495</v>
      </c>
      <c r="WZD1" t="s">
        <v>20496</v>
      </c>
      <c r="WZE1" t="s">
        <v>20497</v>
      </c>
      <c r="WZF1" t="s">
        <v>20498</v>
      </c>
      <c r="WZG1" t="s">
        <v>20499</v>
      </c>
      <c r="WZH1" t="s">
        <v>20500</v>
      </c>
      <c r="WZI1" t="s">
        <v>20501</v>
      </c>
      <c r="WZJ1" t="s">
        <v>20502</v>
      </c>
      <c r="WZK1" t="s">
        <v>20503</v>
      </c>
      <c r="WZL1" t="s">
        <v>20504</v>
      </c>
      <c r="WZM1" t="s">
        <v>20505</v>
      </c>
      <c r="WZN1" t="s">
        <v>20506</v>
      </c>
      <c r="WZO1" t="s">
        <v>20507</v>
      </c>
      <c r="WZP1" t="s">
        <v>20508</v>
      </c>
      <c r="WZQ1" t="s">
        <v>20509</v>
      </c>
      <c r="WZR1" t="s">
        <v>20510</v>
      </c>
      <c r="WZS1" t="s">
        <v>20511</v>
      </c>
      <c r="WZT1" t="s">
        <v>20512</v>
      </c>
      <c r="WZU1" t="s">
        <v>20513</v>
      </c>
      <c r="WZV1" t="s">
        <v>20514</v>
      </c>
      <c r="WZW1" t="s">
        <v>20515</v>
      </c>
      <c r="WZX1" t="s">
        <v>20516</v>
      </c>
      <c r="WZY1" t="s">
        <v>20517</v>
      </c>
      <c r="WZZ1" t="s">
        <v>20518</v>
      </c>
      <c r="XAA1" t="s">
        <v>20519</v>
      </c>
      <c r="XAB1" t="s">
        <v>20520</v>
      </c>
      <c r="XAC1" t="s">
        <v>20521</v>
      </c>
      <c r="XAD1" t="s">
        <v>20522</v>
      </c>
      <c r="XAE1" t="s">
        <v>20523</v>
      </c>
      <c r="XAF1" t="s">
        <v>20524</v>
      </c>
      <c r="XAG1" t="s">
        <v>20525</v>
      </c>
      <c r="XAH1" t="s">
        <v>20526</v>
      </c>
      <c r="XAI1" t="s">
        <v>20527</v>
      </c>
      <c r="XAJ1" t="s">
        <v>20528</v>
      </c>
      <c r="XAK1" t="s">
        <v>20529</v>
      </c>
      <c r="XAL1" t="s">
        <v>20530</v>
      </c>
      <c r="XAM1" t="s">
        <v>20531</v>
      </c>
      <c r="XAN1" t="s">
        <v>20532</v>
      </c>
      <c r="XAO1" t="s">
        <v>20533</v>
      </c>
      <c r="XAP1" t="s">
        <v>20534</v>
      </c>
      <c r="XAQ1" t="s">
        <v>20535</v>
      </c>
      <c r="XAR1" t="s">
        <v>20536</v>
      </c>
      <c r="XAS1" t="s">
        <v>20537</v>
      </c>
      <c r="XAT1" t="s">
        <v>20538</v>
      </c>
      <c r="XAU1" t="s">
        <v>20539</v>
      </c>
      <c r="XAV1" t="s">
        <v>20540</v>
      </c>
      <c r="XAW1" t="s">
        <v>20541</v>
      </c>
      <c r="XAX1" t="s">
        <v>20542</v>
      </c>
      <c r="XAY1" t="s">
        <v>20543</v>
      </c>
      <c r="XAZ1" t="s">
        <v>20544</v>
      </c>
      <c r="XBA1" t="s">
        <v>20545</v>
      </c>
      <c r="XBB1" t="s">
        <v>20546</v>
      </c>
      <c r="XBC1" t="s">
        <v>20547</v>
      </c>
      <c r="XBD1" t="s">
        <v>20548</v>
      </c>
      <c r="XBE1" t="s">
        <v>20549</v>
      </c>
      <c r="XBF1" t="s">
        <v>20550</v>
      </c>
      <c r="XBG1" t="s">
        <v>20551</v>
      </c>
      <c r="XBH1" t="s">
        <v>20552</v>
      </c>
      <c r="XBI1" t="s">
        <v>20553</v>
      </c>
      <c r="XBJ1" t="s">
        <v>20554</v>
      </c>
      <c r="XBK1" t="s">
        <v>20555</v>
      </c>
      <c r="XBL1" t="s">
        <v>20556</v>
      </c>
      <c r="XBM1" t="s">
        <v>20557</v>
      </c>
      <c r="XBN1" t="s">
        <v>20558</v>
      </c>
      <c r="XBO1" t="s">
        <v>20559</v>
      </c>
      <c r="XBP1" t="s">
        <v>20560</v>
      </c>
      <c r="XBQ1" t="s">
        <v>20561</v>
      </c>
      <c r="XBR1" t="s">
        <v>20562</v>
      </c>
      <c r="XBS1" t="s">
        <v>20563</v>
      </c>
      <c r="XBT1" t="s">
        <v>20564</v>
      </c>
      <c r="XBU1" t="s">
        <v>20565</v>
      </c>
      <c r="XBV1" t="s">
        <v>20566</v>
      </c>
      <c r="XBW1" t="s">
        <v>20567</v>
      </c>
      <c r="XBX1" t="s">
        <v>20568</v>
      </c>
      <c r="XBY1" t="s">
        <v>20569</v>
      </c>
      <c r="XBZ1" t="s">
        <v>20570</v>
      </c>
      <c r="XCA1" t="s">
        <v>20571</v>
      </c>
      <c r="XCB1" t="s">
        <v>20572</v>
      </c>
      <c r="XCC1" t="s">
        <v>20573</v>
      </c>
      <c r="XCD1" t="s">
        <v>20574</v>
      </c>
      <c r="XCE1" t="s">
        <v>20575</v>
      </c>
      <c r="XCF1" t="s">
        <v>20576</v>
      </c>
      <c r="XCG1" t="s">
        <v>20577</v>
      </c>
      <c r="XCH1" t="s">
        <v>20578</v>
      </c>
      <c r="XCI1" t="s">
        <v>20579</v>
      </c>
      <c r="XCJ1" t="s">
        <v>20580</v>
      </c>
      <c r="XCK1" t="s">
        <v>20581</v>
      </c>
      <c r="XCL1" t="s">
        <v>20582</v>
      </c>
      <c r="XCM1" t="s">
        <v>20583</v>
      </c>
      <c r="XCN1" t="s">
        <v>20584</v>
      </c>
      <c r="XCO1" t="s">
        <v>20585</v>
      </c>
      <c r="XCP1" t="s">
        <v>20586</v>
      </c>
      <c r="XCQ1" t="s">
        <v>20587</v>
      </c>
      <c r="XCR1" t="s">
        <v>20588</v>
      </c>
      <c r="XCS1" t="s">
        <v>20589</v>
      </c>
      <c r="XCT1" t="s">
        <v>20590</v>
      </c>
      <c r="XCU1" t="s">
        <v>20591</v>
      </c>
      <c r="XCV1" t="s">
        <v>20592</v>
      </c>
      <c r="XCW1" t="s">
        <v>20593</v>
      </c>
      <c r="XCX1" t="s">
        <v>20594</v>
      </c>
      <c r="XCY1" t="s">
        <v>20595</v>
      </c>
      <c r="XCZ1" t="s">
        <v>20596</v>
      </c>
      <c r="XDA1" t="s">
        <v>20597</v>
      </c>
      <c r="XDB1" t="s">
        <v>20598</v>
      </c>
      <c r="XDC1" t="s">
        <v>20599</v>
      </c>
      <c r="XDD1" t="s">
        <v>20600</v>
      </c>
      <c r="XDE1" t="s">
        <v>20601</v>
      </c>
      <c r="XDF1" t="s">
        <v>20602</v>
      </c>
      <c r="XDG1" t="s">
        <v>20603</v>
      </c>
      <c r="XDH1" t="s">
        <v>20604</v>
      </c>
      <c r="XDI1" t="s">
        <v>20605</v>
      </c>
      <c r="XDJ1" t="s">
        <v>20606</v>
      </c>
      <c r="XDK1" t="s">
        <v>20607</v>
      </c>
      <c r="XDL1" t="s">
        <v>20608</v>
      </c>
      <c r="XDM1" t="s">
        <v>20609</v>
      </c>
      <c r="XDN1" t="s">
        <v>20610</v>
      </c>
      <c r="XDO1" t="s">
        <v>20611</v>
      </c>
      <c r="XDP1" t="s">
        <v>20612</v>
      </c>
      <c r="XDQ1" t="s">
        <v>20613</v>
      </c>
      <c r="XDR1" t="s">
        <v>20614</v>
      </c>
      <c r="XDS1" t="s">
        <v>20615</v>
      </c>
      <c r="XDT1" t="s">
        <v>20616</v>
      </c>
      <c r="XDU1" t="s">
        <v>20617</v>
      </c>
      <c r="XDV1" t="s">
        <v>20618</v>
      </c>
      <c r="XDW1" t="s">
        <v>20619</v>
      </c>
      <c r="XDX1" t="s">
        <v>20620</v>
      </c>
      <c r="XDY1" t="s">
        <v>20621</v>
      </c>
      <c r="XDZ1" t="s">
        <v>20622</v>
      </c>
      <c r="XEA1" t="s">
        <v>20623</v>
      </c>
      <c r="XEB1" t="s">
        <v>20624</v>
      </c>
      <c r="XEC1" t="s">
        <v>20625</v>
      </c>
      <c r="XED1" t="s">
        <v>20626</v>
      </c>
      <c r="XEE1" t="s">
        <v>20627</v>
      </c>
      <c r="XEF1" t="s">
        <v>20628</v>
      </c>
      <c r="XEG1" t="s">
        <v>20629</v>
      </c>
      <c r="XEH1" t="s">
        <v>20630</v>
      </c>
      <c r="XEI1" t="s">
        <v>20631</v>
      </c>
      <c r="XEJ1" t="s">
        <v>20632</v>
      </c>
      <c r="XEK1" t="s">
        <v>20633</v>
      </c>
      <c r="XEL1" t="s">
        <v>20634</v>
      </c>
      <c r="XEM1" t="s">
        <v>20635</v>
      </c>
      <c r="XEN1" t="s">
        <v>20636</v>
      </c>
      <c r="XEO1" t="s">
        <v>20637</v>
      </c>
      <c r="XEP1" t="s">
        <v>20638</v>
      </c>
      <c r="XEQ1" t="s">
        <v>20639</v>
      </c>
      <c r="XER1" t="s">
        <v>20640</v>
      </c>
      <c r="XES1" t="s">
        <v>20641</v>
      </c>
      <c r="XET1" t="s">
        <v>20642</v>
      </c>
      <c r="XEU1" t="s">
        <v>20643</v>
      </c>
      <c r="XEV1" t="s">
        <v>20644</v>
      </c>
      <c r="XEW1" t="s">
        <v>20645</v>
      </c>
      <c r="XEX1" t="s">
        <v>20646</v>
      </c>
      <c r="XEY1" t="s">
        <v>20647</v>
      </c>
      <c r="XEZ1" t="s">
        <v>20648</v>
      </c>
      <c r="XFA1" t="s">
        <v>20649</v>
      </c>
      <c r="XFB1" t="s">
        <v>20650</v>
      </c>
      <c r="XFC1" t="s">
        <v>20651</v>
      </c>
      <c r="XFD1" t="s">
        <v>20652</v>
      </c>
    </row>
    <row r="2" spans="1:16384" ht="15.75" customHeight="1" x14ac:dyDescent="0.25">
      <c r="A2" s="2" t="s">
        <v>14</v>
      </c>
      <c r="B2" s="3">
        <v>44930</v>
      </c>
      <c r="C2" s="2" t="s">
        <v>15</v>
      </c>
      <c r="D2" s="2" t="s">
        <v>16</v>
      </c>
      <c r="E2" s="2">
        <v>5</v>
      </c>
      <c r="F2" s="2">
        <v>570.62</v>
      </c>
      <c r="G2" s="2" t="s">
        <v>17</v>
      </c>
      <c r="H2" s="2" t="s">
        <v>18</v>
      </c>
      <c r="I2" s="2" t="s">
        <v>19</v>
      </c>
      <c r="J2" s="2" t="s">
        <v>20</v>
      </c>
      <c r="K2" s="2">
        <v>7</v>
      </c>
      <c r="L2" s="2" t="s">
        <v>21</v>
      </c>
      <c r="M2" s="2" t="s">
        <v>22</v>
      </c>
      <c r="N2" s="2">
        <v>2853.1</v>
      </c>
    </row>
    <row r="3" spans="1:16384" ht="15.75" customHeight="1" x14ac:dyDescent="0.25">
      <c r="A3" s="2" t="s">
        <v>23</v>
      </c>
      <c r="B3" s="3">
        <v>45527</v>
      </c>
      <c r="C3" s="2" t="s">
        <v>24</v>
      </c>
      <c r="D3" s="2" t="s">
        <v>25</v>
      </c>
      <c r="E3" s="2">
        <v>2</v>
      </c>
      <c r="F3" s="2">
        <v>151.35</v>
      </c>
      <c r="G3" s="2" t="s">
        <v>26</v>
      </c>
      <c r="H3" s="2" t="s">
        <v>27</v>
      </c>
      <c r="I3" s="2" t="s">
        <v>19</v>
      </c>
      <c r="J3" s="2" t="s">
        <v>28</v>
      </c>
      <c r="K3" s="2">
        <v>3</v>
      </c>
      <c r="L3" s="2" t="s">
        <v>21</v>
      </c>
      <c r="M3" s="2" t="s">
        <v>29</v>
      </c>
      <c r="N3" s="2">
        <v>302.7</v>
      </c>
    </row>
    <row r="4" spans="1:16384" ht="15.75" customHeight="1" x14ac:dyDescent="0.25">
      <c r="A4" s="2" t="s">
        <v>30</v>
      </c>
      <c r="B4" s="3">
        <v>45349</v>
      </c>
      <c r="C4" s="2" t="s">
        <v>31</v>
      </c>
      <c r="D4" s="2" t="s">
        <v>32</v>
      </c>
      <c r="E4" s="2">
        <v>5</v>
      </c>
      <c r="F4" s="2">
        <v>550.67999999999995</v>
      </c>
      <c r="G4" s="2" t="s">
        <v>33</v>
      </c>
      <c r="H4" s="2" t="s">
        <v>34</v>
      </c>
      <c r="I4" s="2" t="s">
        <v>35</v>
      </c>
      <c r="J4" s="2" t="s">
        <v>36</v>
      </c>
      <c r="K4" s="2">
        <v>8</v>
      </c>
      <c r="L4" s="2" t="s">
        <v>37</v>
      </c>
      <c r="M4" s="2" t="s">
        <v>38</v>
      </c>
      <c r="N4" s="2">
        <v>2753.4</v>
      </c>
    </row>
    <row r="5" spans="1:16384" ht="15.75" customHeight="1" x14ac:dyDescent="0.25">
      <c r="A5" s="2" t="s">
        <v>39</v>
      </c>
      <c r="B5" s="3">
        <v>45214</v>
      </c>
      <c r="C5" s="2" t="s">
        <v>40</v>
      </c>
      <c r="D5" s="2" t="s">
        <v>41</v>
      </c>
      <c r="E5" s="2">
        <v>1</v>
      </c>
      <c r="F5" s="2">
        <v>273.19</v>
      </c>
      <c r="G5" s="2" t="s">
        <v>42</v>
      </c>
      <c r="H5" s="2" t="s">
        <v>18</v>
      </c>
      <c r="I5" s="2" t="s">
        <v>43</v>
      </c>
      <c r="J5" s="2" t="s">
        <v>44</v>
      </c>
      <c r="K5" s="2">
        <v>5</v>
      </c>
      <c r="L5" s="2" t="s">
        <v>21</v>
      </c>
      <c r="M5" s="2" t="s">
        <v>45</v>
      </c>
      <c r="N5" s="2">
        <v>273.19</v>
      </c>
    </row>
    <row r="6" spans="1:16384" ht="15.75" customHeight="1" x14ac:dyDescent="0.25">
      <c r="A6" s="2" t="s">
        <v>46</v>
      </c>
      <c r="B6" s="3">
        <v>45785</v>
      </c>
      <c r="C6" s="2" t="s">
        <v>47</v>
      </c>
      <c r="D6" s="2" t="s">
        <v>48</v>
      </c>
      <c r="E6" s="2">
        <v>4</v>
      </c>
      <c r="F6" s="2">
        <v>626.01</v>
      </c>
      <c r="G6" s="2" t="s">
        <v>49</v>
      </c>
      <c r="H6" s="2" t="s">
        <v>27</v>
      </c>
      <c r="I6" s="2" t="s">
        <v>50</v>
      </c>
      <c r="J6" s="2" t="s">
        <v>51</v>
      </c>
      <c r="K6" s="2">
        <v>8</v>
      </c>
      <c r="L6" s="2" t="s">
        <v>21</v>
      </c>
      <c r="M6" s="2" t="s">
        <v>38</v>
      </c>
      <c r="N6" s="2">
        <v>2504.04</v>
      </c>
    </row>
    <row r="7" spans="1:16384" ht="15.75" customHeight="1" x14ac:dyDescent="0.25">
      <c r="A7" s="2" t="s">
        <v>52</v>
      </c>
      <c r="B7" s="3">
        <v>45222</v>
      </c>
      <c r="C7" s="2" t="s">
        <v>53</v>
      </c>
      <c r="D7" s="2" t="s">
        <v>25</v>
      </c>
      <c r="E7" s="2">
        <v>2</v>
      </c>
      <c r="F7" s="2">
        <v>245.86</v>
      </c>
      <c r="G7" s="2" t="s">
        <v>54</v>
      </c>
      <c r="H7" s="2" t="s">
        <v>34</v>
      </c>
      <c r="I7" s="2" t="s">
        <v>19</v>
      </c>
      <c r="J7" s="2" t="s">
        <v>55</v>
      </c>
      <c r="K7" s="2">
        <v>4</v>
      </c>
      <c r="L7" s="2" t="s">
        <v>21</v>
      </c>
      <c r="M7" s="2" t="s">
        <v>22</v>
      </c>
      <c r="N7" s="2">
        <v>491.72</v>
      </c>
    </row>
    <row r="8" spans="1:16384" ht="15.75" customHeight="1" x14ac:dyDescent="0.25">
      <c r="A8" s="2" t="s">
        <v>56</v>
      </c>
      <c r="B8" s="3">
        <v>45825</v>
      </c>
      <c r="C8" s="2" t="s">
        <v>57</v>
      </c>
      <c r="D8" s="2" t="s">
        <v>58</v>
      </c>
      <c r="E8" s="2">
        <v>1</v>
      </c>
      <c r="F8" s="2">
        <v>664.42</v>
      </c>
      <c r="G8" s="2" t="s">
        <v>59</v>
      </c>
      <c r="H8" s="2" t="s">
        <v>60</v>
      </c>
      <c r="I8" s="2" t="s">
        <v>43</v>
      </c>
      <c r="J8" s="2" t="s">
        <v>61</v>
      </c>
      <c r="K8" s="2">
        <v>6</v>
      </c>
      <c r="L8" s="2" t="s">
        <v>21</v>
      </c>
      <c r="M8" s="2" t="s">
        <v>45</v>
      </c>
      <c r="N8" s="2">
        <v>664.42</v>
      </c>
    </row>
    <row r="9" spans="1:16384" ht="15.75" customHeight="1" x14ac:dyDescent="0.25">
      <c r="A9" s="2" t="s">
        <v>62</v>
      </c>
      <c r="B9" s="3">
        <v>45058</v>
      </c>
      <c r="C9" s="2" t="s">
        <v>63</v>
      </c>
      <c r="D9" s="2" t="s">
        <v>16</v>
      </c>
      <c r="E9" s="2">
        <v>5</v>
      </c>
      <c r="F9" s="2">
        <v>149.55000000000001</v>
      </c>
      <c r="G9" s="2" t="s">
        <v>64</v>
      </c>
      <c r="H9" s="2" t="s">
        <v>65</v>
      </c>
      <c r="I9" s="2" t="s">
        <v>19</v>
      </c>
      <c r="J9" s="2" t="s">
        <v>66</v>
      </c>
      <c r="K9" s="2">
        <v>9</v>
      </c>
      <c r="L9" s="2" t="s">
        <v>37</v>
      </c>
      <c r="M9" s="2" t="s">
        <v>45</v>
      </c>
      <c r="N9" s="2">
        <v>747.75</v>
      </c>
    </row>
    <row r="10" spans="1:16384" ht="15.75" customHeight="1" x14ac:dyDescent="0.25">
      <c r="A10" s="2" t="s">
        <v>67</v>
      </c>
      <c r="B10" s="3">
        <v>45749</v>
      </c>
      <c r="C10" s="2" t="s">
        <v>68</v>
      </c>
      <c r="D10" s="2" t="s">
        <v>25</v>
      </c>
      <c r="E10" s="2">
        <v>2</v>
      </c>
      <c r="F10" s="2">
        <v>134.28</v>
      </c>
      <c r="G10" s="2" t="s">
        <v>69</v>
      </c>
      <c r="H10" s="2" t="s">
        <v>60</v>
      </c>
      <c r="I10" s="2" t="s">
        <v>35</v>
      </c>
      <c r="J10" s="2" t="s">
        <v>70</v>
      </c>
      <c r="K10" s="2">
        <v>2</v>
      </c>
      <c r="M10" s="2" t="s">
        <v>38</v>
      </c>
      <c r="N10" s="2">
        <v>268.56</v>
      </c>
    </row>
    <row r="11" spans="1:16384" ht="15.75" customHeight="1" x14ac:dyDescent="0.25">
      <c r="A11" s="2" t="s">
        <v>71</v>
      </c>
      <c r="B11" s="3">
        <v>45251</v>
      </c>
      <c r="C11" s="2" t="s">
        <v>72</v>
      </c>
      <c r="D11" s="2" t="s">
        <v>73</v>
      </c>
      <c r="E11" s="2">
        <v>4</v>
      </c>
      <c r="F11" s="2">
        <v>509.38</v>
      </c>
      <c r="G11" s="2" t="s">
        <v>74</v>
      </c>
      <c r="H11" s="2" t="s">
        <v>34</v>
      </c>
      <c r="I11" s="2" t="s">
        <v>19</v>
      </c>
      <c r="J11" s="2" t="s">
        <v>75</v>
      </c>
      <c r="K11" s="2">
        <v>6</v>
      </c>
      <c r="L11" s="2" t="s">
        <v>21</v>
      </c>
      <c r="M11" s="2" t="s">
        <v>76</v>
      </c>
      <c r="N11" s="2">
        <v>2037.52</v>
      </c>
    </row>
    <row r="12" spans="1:16384" ht="15.75" customHeight="1" x14ac:dyDescent="0.25">
      <c r="A12" s="2" t="s">
        <v>77</v>
      </c>
      <c r="B12" s="3">
        <v>45289</v>
      </c>
      <c r="C12" s="2" t="s">
        <v>78</v>
      </c>
      <c r="D12" s="2" t="s">
        <v>32</v>
      </c>
      <c r="E12" s="2">
        <v>5</v>
      </c>
      <c r="F12" s="2">
        <v>625.97</v>
      </c>
      <c r="G12" s="2" t="s">
        <v>79</v>
      </c>
      <c r="H12" s="2" t="s">
        <v>34</v>
      </c>
      <c r="I12" s="2" t="s">
        <v>43</v>
      </c>
      <c r="J12" s="2" t="s">
        <v>80</v>
      </c>
      <c r="K12" s="2">
        <v>9</v>
      </c>
      <c r="L12" s="2" t="s">
        <v>81</v>
      </c>
      <c r="M12" s="2" t="s">
        <v>22</v>
      </c>
      <c r="N12" s="2">
        <v>3129.85</v>
      </c>
    </row>
    <row r="13" spans="1:16384" ht="15.75" customHeight="1" x14ac:dyDescent="0.25">
      <c r="A13" s="2" t="s">
        <v>82</v>
      </c>
      <c r="B13" s="3">
        <v>45339</v>
      </c>
      <c r="C13" s="2" t="s">
        <v>83</v>
      </c>
      <c r="D13" s="2" t="s">
        <v>16</v>
      </c>
      <c r="E13" s="2">
        <v>3</v>
      </c>
      <c r="F13" s="2">
        <v>49.14</v>
      </c>
      <c r="G13" s="2" t="s">
        <v>84</v>
      </c>
      <c r="H13" s="2" t="s">
        <v>27</v>
      </c>
      <c r="I13" s="2" t="s">
        <v>43</v>
      </c>
      <c r="J13" s="2" t="s">
        <v>85</v>
      </c>
      <c r="K13" s="2">
        <v>7</v>
      </c>
      <c r="L13" s="2" t="s">
        <v>21</v>
      </c>
      <c r="M13" s="2" t="s">
        <v>38</v>
      </c>
      <c r="N13" s="2">
        <v>147.41999999999999</v>
      </c>
    </row>
    <row r="14" spans="1:16384" ht="15.75" customHeight="1" x14ac:dyDescent="0.25">
      <c r="A14" s="2" t="s">
        <v>86</v>
      </c>
      <c r="B14" s="3">
        <v>45580</v>
      </c>
      <c r="C14" s="2" t="s">
        <v>87</v>
      </c>
      <c r="D14" s="2" t="s">
        <v>16</v>
      </c>
      <c r="E14" s="2">
        <v>2</v>
      </c>
      <c r="F14" s="2">
        <v>180.5</v>
      </c>
      <c r="G14" s="2" t="s">
        <v>88</v>
      </c>
      <c r="H14" s="2" t="s">
        <v>18</v>
      </c>
      <c r="I14" s="2" t="s">
        <v>89</v>
      </c>
      <c r="J14" s="2" t="s">
        <v>90</v>
      </c>
      <c r="K14" s="2">
        <v>6</v>
      </c>
      <c r="L14" s="2" t="s">
        <v>37</v>
      </c>
      <c r="M14" s="2" t="s">
        <v>29</v>
      </c>
      <c r="N14" s="2">
        <v>361</v>
      </c>
    </row>
    <row r="15" spans="1:16384" ht="15.75" customHeight="1" x14ac:dyDescent="0.25">
      <c r="A15" s="2" t="s">
        <v>91</v>
      </c>
      <c r="B15" s="3">
        <v>45168</v>
      </c>
      <c r="C15" s="2" t="s">
        <v>92</v>
      </c>
      <c r="D15" s="2" t="s">
        <v>58</v>
      </c>
      <c r="E15" s="2">
        <v>3</v>
      </c>
      <c r="F15" s="2">
        <v>201.49</v>
      </c>
      <c r="G15" s="2" t="s">
        <v>93</v>
      </c>
      <c r="H15" s="2" t="s">
        <v>34</v>
      </c>
      <c r="I15" s="2" t="s">
        <v>43</v>
      </c>
      <c r="J15" s="2" t="s">
        <v>94</v>
      </c>
      <c r="K15" s="2">
        <v>4</v>
      </c>
      <c r="L15" s="2" t="s">
        <v>37</v>
      </c>
      <c r="M15" s="2" t="s">
        <v>45</v>
      </c>
      <c r="N15" s="2">
        <v>604.47</v>
      </c>
    </row>
    <row r="16" spans="1:16384" ht="15.75" customHeight="1" x14ac:dyDescent="0.25">
      <c r="A16" s="2" t="s">
        <v>95</v>
      </c>
      <c r="B16" s="3">
        <v>45012</v>
      </c>
      <c r="C16" s="2" t="s">
        <v>96</v>
      </c>
      <c r="D16" s="2" t="s">
        <v>32</v>
      </c>
      <c r="E16" s="2">
        <v>2</v>
      </c>
      <c r="F16" s="2">
        <v>393.33</v>
      </c>
      <c r="G16" s="2" t="s">
        <v>97</v>
      </c>
      <c r="H16" s="2" t="s">
        <v>18</v>
      </c>
      <c r="I16" s="2" t="s">
        <v>89</v>
      </c>
      <c r="J16" s="2" t="s">
        <v>98</v>
      </c>
      <c r="K16" s="2">
        <v>3</v>
      </c>
      <c r="L16" s="2" t="s">
        <v>21</v>
      </c>
      <c r="M16" s="2" t="s">
        <v>22</v>
      </c>
      <c r="N16" s="2">
        <v>786.66</v>
      </c>
    </row>
    <row r="17" spans="1:14" ht="15.75" customHeight="1" x14ac:dyDescent="0.25">
      <c r="A17" s="2" t="s">
        <v>99</v>
      </c>
      <c r="B17" s="3">
        <v>45124</v>
      </c>
      <c r="C17" s="2" t="s">
        <v>100</v>
      </c>
      <c r="D17" s="2" t="s">
        <v>48</v>
      </c>
      <c r="E17" s="2">
        <v>1</v>
      </c>
      <c r="F17" s="2">
        <v>473.96</v>
      </c>
      <c r="G17" s="2" t="s">
        <v>101</v>
      </c>
      <c r="H17" s="2" t="s">
        <v>65</v>
      </c>
      <c r="I17" s="2" t="s">
        <v>50</v>
      </c>
      <c r="J17" s="2" t="s">
        <v>102</v>
      </c>
      <c r="K17" s="2">
        <v>3</v>
      </c>
      <c r="M17" s="2" t="s">
        <v>76</v>
      </c>
      <c r="N17" s="2">
        <v>473.96</v>
      </c>
    </row>
    <row r="18" spans="1:14" ht="15.75" customHeight="1" x14ac:dyDescent="0.25">
      <c r="A18" s="2" t="s">
        <v>103</v>
      </c>
      <c r="B18" s="3">
        <v>44950</v>
      </c>
      <c r="C18" s="2" t="s">
        <v>104</v>
      </c>
      <c r="D18" s="2" t="s">
        <v>48</v>
      </c>
      <c r="E18" s="2">
        <v>2</v>
      </c>
      <c r="F18" s="2">
        <v>533.80999999999995</v>
      </c>
      <c r="G18" s="2" t="s">
        <v>105</v>
      </c>
      <c r="H18" s="2" t="s">
        <v>34</v>
      </c>
      <c r="I18" s="2" t="s">
        <v>89</v>
      </c>
      <c r="J18" s="2" t="s">
        <v>106</v>
      </c>
      <c r="K18" s="2">
        <v>3</v>
      </c>
      <c r="L18" s="2" t="s">
        <v>37</v>
      </c>
      <c r="M18" s="2" t="s">
        <v>38</v>
      </c>
      <c r="N18" s="2">
        <v>1067.6199999999999</v>
      </c>
    </row>
    <row r="19" spans="1:14" ht="15.75" customHeight="1" x14ac:dyDescent="0.25">
      <c r="A19" s="2" t="s">
        <v>107</v>
      </c>
      <c r="B19" s="3">
        <v>45353</v>
      </c>
      <c r="C19" s="2" t="s">
        <v>108</v>
      </c>
      <c r="D19" s="2" t="s">
        <v>32</v>
      </c>
      <c r="E19" s="2">
        <v>1</v>
      </c>
      <c r="F19" s="2">
        <v>423.4</v>
      </c>
      <c r="G19" s="2" t="s">
        <v>109</v>
      </c>
      <c r="H19" s="2" t="s">
        <v>18</v>
      </c>
      <c r="I19" s="2" t="s">
        <v>19</v>
      </c>
      <c r="J19" s="2" t="s">
        <v>110</v>
      </c>
      <c r="K19" s="2">
        <v>3</v>
      </c>
      <c r="M19" s="2" t="s">
        <v>29</v>
      </c>
      <c r="N19" s="2">
        <v>423.4</v>
      </c>
    </row>
    <row r="20" spans="1:14" ht="15.75" customHeight="1" x14ac:dyDescent="0.25">
      <c r="A20" s="2" t="s">
        <v>111</v>
      </c>
      <c r="B20" s="3">
        <v>45742</v>
      </c>
      <c r="C20" s="2" t="s">
        <v>112</v>
      </c>
      <c r="D20" s="2" t="s">
        <v>73</v>
      </c>
      <c r="E20" s="2">
        <v>1</v>
      </c>
      <c r="F20" s="2">
        <v>431.44</v>
      </c>
      <c r="G20" s="2" t="s">
        <v>113</v>
      </c>
      <c r="H20" s="2" t="s">
        <v>60</v>
      </c>
      <c r="I20" s="2" t="s">
        <v>89</v>
      </c>
      <c r="J20" s="2" t="s">
        <v>114</v>
      </c>
      <c r="K20" s="2">
        <v>3</v>
      </c>
      <c r="L20" s="2" t="s">
        <v>21</v>
      </c>
      <c r="M20" s="2" t="s">
        <v>45</v>
      </c>
      <c r="N20" s="2">
        <v>431.44</v>
      </c>
    </row>
    <row r="21" spans="1:14" ht="15.75" customHeight="1" x14ac:dyDescent="0.25">
      <c r="A21" s="2" t="s">
        <v>115</v>
      </c>
      <c r="B21" s="3">
        <v>44949</v>
      </c>
      <c r="C21" s="2" t="s">
        <v>116</v>
      </c>
      <c r="D21" s="2" t="s">
        <v>16</v>
      </c>
      <c r="E21" s="2">
        <v>5</v>
      </c>
      <c r="F21" s="2">
        <v>224</v>
      </c>
      <c r="G21" s="2" t="s">
        <v>117</v>
      </c>
      <c r="H21" s="2" t="s">
        <v>65</v>
      </c>
      <c r="I21" s="2" t="s">
        <v>43</v>
      </c>
      <c r="J21" s="2" t="s">
        <v>118</v>
      </c>
      <c r="K21" s="2">
        <v>9</v>
      </c>
      <c r="L21" s="2" t="s">
        <v>21</v>
      </c>
      <c r="M21" s="2" t="s">
        <v>76</v>
      </c>
      <c r="N21" s="2">
        <v>1120</v>
      </c>
    </row>
    <row r="22" spans="1:14" ht="15.75" customHeight="1" x14ac:dyDescent="0.25">
      <c r="A22" s="2" t="s">
        <v>119</v>
      </c>
      <c r="B22" s="3">
        <v>45054</v>
      </c>
      <c r="C22" s="2" t="s">
        <v>120</v>
      </c>
      <c r="D22" s="2" t="s">
        <v>41</v>
      </c>
      <c r="E22" s="2">
        <v>5</v>
      </c>
      <c r="F22" s="2">
        <v>62.51</v>
      </c>
      <c r="G22" s="2" t="s">
        <v>121</v>
      </c>
      <c r="H22" s="2" t="s">
        <v>65</v>
      </c>
      <c r="I22" s="2" t="s">
        <v>89</v>
      </c>
      <c r="J22" s="2" t="s">
        <v>122</v>
      </c>
      <c r="K22" s="2">
        <v>9</v>
      </c>
      <c r="L22" s="2" t="s">
        <v>81</v>
      </c>
      <c r="M22" s="2" t="s">
        <v>22</v>
      </c>
      <c r="N22" s="2">
        <v>312.55</v>
      </c>
    </row>
    <row r="23" spans="1:14" ht="15.75" customHeight="1" x14ac:dyDescent="0.25">
      <c r="A23" s="2" t="s">
        <v>123</v>
      </c>
      <c r="B23" s="3">
        <v>45613</v>
      </c>
      <c r="C23" s="2" t="s">
        <v>124</v>
      </c>
      <c r="D23" s="2" t="s">
        <v>16</v>
      </c>
      <c r="E23" s="2">
        <v>4</v>
      </c>
      <c r="F23" s="2">
        <v>342.95</v>
      </c>
      <c r="G23" s="2" t="s">
        <v>125</v>
      </c>
      <c r="H23" s="2" t="s">
        <v>65</v>
      </c>
      <c r="I23" s="2" t="s">
        <v>50</v>
      </c>
      <c r="J23" s="2" t="s">
        <v>126</v>
      </c>
      <c r="K23" s="2">
        <v>6</v>
      </c>
      <c r="M23" s="2" t="s">
        <v>76</v>
      </c>
      <c r="N23" s="2">
        <v>1371.8</v>
      </c>
    </row>
    <row r="24" spans="1:14" ht="15.75" customHeight="1" x14ac:dyDescent="0.25">
      <c r="A24" s="2" t="s">
        <v>127</v>
      </c>
      <c r="B24" s="3">
        <v>44955</v>
      </c>
      <c r="C24" s="2" t="s">
        <v>128</v>
      </c>
      <c r="D24" s="2" t="s">
        <v>16</v>
      </c>
      <c r="E24" s="2">
        <v>2</v>
      </c>
      <c r="F24" s="2">
        <v>49.62</v>
      </c>
      <c r="G24" s="2" t="s">
        <v>129</v>
      </c>
      <c r="H24" s="2" t="s">
        <v>27</v>
      </c>
      <c r="I24" s="2" t="s">
        <v>89</v>
      </c>
      <c r="J24" s="2" t="s">
        <v>130</v>
      </c>
      <c r="K24" s="2">
        <v>2</v>
      </c>
      <c r="L24" s="2" t="s">
        <v>21</v>
      </c>
      <c r="M24" s="2" t="s">
        <v>76</v>
      </c>
      <c r="N24" s="2">
        <v>99.24</v>
      </c>
    </row>
    <row r="25" spans="1:14" ht="15.75" customHeight="1" x14ac:dyDescent="0.25">
      <c r="A25" s="2" t="s">
        <v>131</v>
      </c>
      <c r="B25" s="3">
        <v>45756</v>
      </c>
      <c r="C25" s="2" t="s">
        <v>132</v>
      </c>
      <c r="D25" s="2" t="s">
        <v>25</v>
      </c>
      <c r="E25" s="2">
        <v>4</v>
      </c>
      <c r="F25" s="2">
        <v>273.25</v>
      </c>
      <c r="G25" s="2" t="s">
        <v>133</v>
      </c>
      <c r="H25" s="2" t="s">
        <v>18</v>
      </c>
      <c r="I25" s="2" t="s">
        <v>35</v>
      </c>
      <c r="J25" s="2" t="s">
        <v>134</v>
      </c>
      <c r="K25" s="2">
        <v>5</v>
      </c>
      <c r="L25" s="2" t="s">
        <v>37</v>
      </c>
      <c r="M25" s="2" t="s">
        <v>29</v>
      </c>
      <c r="N25" s="2">
        <v>1093</v>
      </c>
    </row>
    <row r="26" spans="1:14" ht="15.75" customHeight="1" x14ac:dyDescent="0.25">
      <c r="A26" s="2" t="s">
        <v>135</v>
      </c>
      <c r="B26" s="3">
        <v>45595</v>
      </c>
      <c r="C26" s="2" t="s">
        <v>136</v>
      </c>
      <c r="D26" s="2" t="s">
        <v>58</v>
      </c>
      <c r="E26" s="2">
        <v>2</v>
      </c>
      <c r="F26" s="2">
        <v>230.95</v>
      </c>
      <c r="G26" s="2" t="s">
        <v>137</v>
      </c>
      <c r="H26" s="2" t="s">
        <v>27</v>
      </c>
      <c r="I26" s="2" t="s">
        <v>50</v>
      </c>
      <c r="J26" s="2" t="s">
        <v>138</v>
      </c>
      <c r="K26" s="2">
        <v>3</v>
      </c>
      <c r="L26" s="2" t="s">
        <v>81</v>
      </c>
      <c r="M26" s="2" t="s">
        <v>29</v>
      </c>
      <c r="N26" s="2">
        <v>461.9</v>
      </c>
    </row>
    <row r="27" spans="1:14" ht="15" x14ac:dyDescent="0.25">
      <c r="A27" s="2" t="s">
        <v>139</v>
      </c>
      <c r="B27" s="3">
        <v>45497</v>
      </c>
      <c r="C27" s="2" t="s">
        <v>140</v>
      </c>
      <c r="D27" s="2" t="s">
        <v>16</v>
      </c>
      <c r="E27" s="2">
        <v>1</v>
      </c>
      <c r="F27" s="2">
        <v>399.98</v>
      </c>
      <c r="G27" s="2" t="s">
        <v>141</v>
      </c>
      <c r="H27" s="2" t="s">
        <v>18</v>
      </c>
      <c r="I27" s="2" t="s">
        <v>50</v>
      </c>
      <c r="J27" s="2" t="s">
        <v>142</v>
      </c>
      <c r="K27" s="2">
        <v>3</v>
      </c>
      <c r="L27" s="2" t="s">
        <v>81</v>
      </c>
      <c r="M27" s="2" t="s">
        <v>38</v>
      </c>
      <c r="N27" s="2">
        <v>399.98</v>
      </c>
    </row>
    <row r="28" spans="1:14" ht="15" x14ac:dyDescent="0.25">
      <c r="A28" s="2" t="s">
        <v>143</v>
      </c>
      <c r="B28" s="3">
        <v>45357</v>
      </c>
      <c r="C28" s="2" t="s">
        <v>144</v>
      </c>
      <c r="D28" s="2" t="s">
        <v>58</v>
      </c>
      <c r="E28" s="2">
        <v>5</v>
      </c>
      <c r="F28" s="2">
        <v>59.55</v>
      </c>
      <c r="G28" s="2" t="s">
        <v>145</v>
      </c>
      <c r="H28" s="2" t="s">
        <v>27</v>
      </c>
      <c r="I28" s="2" t="s">
        <v>50</v>
      </c>
      <c r="J28" s="2" t="s">
        <v>146</v>
      </c>
      <c r="K28" s="2">
        <v>6</v>
      </c>
      <c r="M28" s="2" t="s">
        <v>29</v>
      </c>
      <c r="N28" s="2">
        <v>297.75</v>
      </c>
    </row>
    <row r="29" spans="1:14" ht="15" x14ac:dyDescent="0.25">
      <c r="A29" s="2" t="s">
        <v>147</v>
      </c>
      <c r="B29" s="3">
        <v>45344</v>
      </c>
      <c r="C29" s="2" t="s">
        <v>148</v>
      </c>
      <c r="D29" s="2" t="s">
        <v>48</v>
      </c>
      <c r="E29" s="2">
        <v>1</v>
      </c>
      <c r="F29" s="2">
        <v>472.74</v>
      </c>
      <c r="G29" s="2" t="s">
        <v>149</v>
      </c>
      <c r="H29" s="2" t="s">
        <v>27</v>
      </c>
      <c r="I29" s="2" t="s">
        <v>19</v>
      </c>
      <c r="J29" s="2" t="s">
        <v>150</v>
      </c>
      <c r="K29" s="2">
        <v>6</v>
      </c>
      <c r="L29" s="2" t="s">
        <v>81</v>
      </c>
      <c r="M29" s="2" t="s">
        <v>76</v>
      </c>
      <c r="N29" s="2">
        <v>472.74</v>
      </c>
    </row>
    <row r="30" spans="1:14" ht="15" x14ac:dyDescent="0.25">
      <c r="A30" s="2" t="s">
        <v>151</v>
      </c>
      <c r="B30" s="3">
        <v>45251</v>
      </c>
      <c r="C30" s="2" t="s">
        <v>152</v>
      </c>
      <c r="D30" s="2" t="s">
        <v>25</v>
      </c>
      <c r="E30" s="2">
        <v>4</v>
      </c>
      <c r="F30" s="2">
        <v>160.07</v>
      </c>
      <c r="G30" s="2" t="s">
        <v>153</v>
      </c>
      <c r="H30" s="2" t="s">
        <v>27</v>
      </c>
      <c r="I30" s="2" t="s">
        <v>89</v>
      </c>
      <c r="J30" s="2" t="s">
        <v>154</v>
      </c>
      <c r="K30" s="2">
        <v>5</v>
      </c>
      <c r="M30" s="2" t="s">
        <v>38</v>
      </c>
      <c r="N30" s="2">
        <v>640.28</v>
      </c>
    </row>
    <row r="31" spans="1:14" ht="15" x14ac:dyDescent="0.25">
      <c r="A31" s="2" t="s">
        <v>155</v>
      </c>
      <c r="B31" s="3">
        <v>45555</v>
      </c>
      <c r="C31" s="2" t="s">
        <v>156</v>
      </c>
      <c r="D31" s="2" t="s">
        <v>73</v>
      </c>
      <c r="E31" s="2">
        <v>3</v>
      </c>
      <c r="F31" s="2">
        <v>423.53</v>
      </c>
      <c r="G31" s="2" t="s">
        <v>157</v>
      </c>
      <c r="H31" s="2" t="s">
        <v>34</v>
      </c>
      <c r="I31" s="2" t="s">
        <v>50</v>
      </c>
      <c r="J31" s="2" t="s">
        <v>158</v>
      </c>
      <c r="K31" s="2">
        <v>6</v>
      </c>
      <c r="L31" s="2" t="s">
        <v>21</v>
      </c>
      <c r="M31" s="2" t="s">
        <v>29</v>
      </c>
      <c r="N31" s="2">
        <v>1270.5899999999999</v>
      </c>
    </row>
    <row r="32" spans="1:14" ht="15" x14ac:dyDescent="0.25">
      <c r="A32" s="2" t="s">
        <v>159</v>
      </c>
      <c r="B32" s="3">
        <v>45738</v>
      </c>
      <c r="C32" s="2" t="s">
        <v>160</v>
      </c>
      <c r="D32" s="2" t="s">
        <v>16</v>
      </c>
      <c r="E32" s="2">
        <v>2</v>
      </c>
      <c r="F32" s="2">
        <v>426.7</v>
      </c>
      <c r="G32" s="2" t="s">
        <v>161</v>
      </c>
      <c r="H32" s="2" t="s">
        <v>27</v>
      </c>
      <c r="I32" s="2" t="s">
        <v>89</v>
      </c>
      <c r="J32" s="2" t="s">
        <v>162</v>
      </c>
      <c r="K32" s="2">
        <v>5</v>
      </c>
      <c r="L32" s="2" t="s">
        <v>21</v>
      </c>
      <c r="M32" s="2" t="s">
        <v>29</v>
      </c>
      <c r="N32" s="2">
        <v>853.4</v>
      </c>
    </row>
    <row r="33" spans="1:14" ht="15" x14ac:dyDescent="0.25">
      <c r="A33" s="2" t="s">
        <v>163</v>
      </c>
      <c r="B33" s="3">
        <v>45107</v>
      </c>
      <c r="C33" s="2" t="s">
        <v>164</v>
      </c>
      <c r="D33" s="2" t="s">
        <v>41</v>
      </c>
      <c r="E33" s="2">
        <v>3</v>
      </c>
      <c r="F33" s="2">
        <v>500.08</v>
      </c>
      <c r="G33" s="2" t="s">
        <v>165</v>
      </c>
      <c r="H33" s="2" t="s">
        <v>18</v>
      </c>
      <c r="I33" s="2" t="s">
        <v>43</v>
      </c>
      <c r="J33" s="2" t="s">
        <v>166</v>
      </c>
      <c r="K33" s="2">
        <v>6</v>
      </c>
      <c r="M33" s="2" t="s">
        <v>45</v>
      </c>
      <c r="N33" s="2">
        <v>1500.24</v>
      </c>
    </row>
    <row r="34" spans="1:14" ht="15" x14ac:dyDescent="0.25">
      <c r="A34" s="2" t="s">
        <v>167</v>
      </c>
      <c r="B34" s="3">
        <v>45047</v>
      </c>
      <c r="C34" s="2" t="s">
        <v>168</v>
      </c>
      <c r="D34" s="2" t="s">
        <v>32</v>
      </c>
      <c r="E34" s="2">
        <v>5</v>
      </c>
      <c r="F34" s="2">
        <v>536.72</v>
      </c>
      <c r="G34" s="2" t="s">
        <v>169</v>
      </c>
      <c r="H34" s="2" t="s">
        <v>65</v>
      </c>
      <c r="I34" s="2" t="s">
        <v>50</v>
      </c>
      <c r="J34" s="2" t="s">
        <v>170</v>
      </c>
      <c r="K34" s="2">
        <v>10</v>
      </c>
      <c r="M34" s="2" t="s">
        <v>38</v>
      </c>
      <c r="N34" s="2">
        <v>2683.6</v>
      </c>
    </row>
    <row r="35" spans="1:14" ht="15" x14ac:dyDescent="0.25">
      <c r="A35" s="2" t="s">
        <v>171</v>
      </c>
      <c r="B35" s="3">
        <v>45082</v>
      </c>
      <c r="C35" s="2" t="s">
        <v>172</v>
      </c>
      <c r="D35" s="2" t="s">
        <v>41</v>
      </c>
      <c r="E35" s="2">
        <v>1</v>
      </c>
      <c r="F35" s="2">
        <v>162.77000000000001</v>
      </c>
      <c r="G35" s="2" t="s">
        <v>173</v>
      </c>
      <c r="H35" s="2" t="s">
        <v>27</v>
      </c>
      <c r="I35" s="2" t="s">
        <v>35</v>
      </c>
      <c r="J35" s="2" t="s">
        <v>174</v>
      </c>
      <c r="K35" s="2">
        <v>4</v>
      </c>
      <c r="L35" s="2" t="s">
        <v>81</v>
      </c>
      <c r="M35" s="2" t="s">
        <v>45</v>
      </c>
      <c r="N35" s="2">
        <v>162.77000000000001</v>
      </c>
    </row>
    <row r="36" spans="1:14" ht="15" x14ac:dyDescent="0.25">
      <c r="A36" s="2" t="s">
        <v>175</v>
      </c>
      <c r="B36" s="3">
        <v>44933</v>
      </c>
      <c r="C36" s="2" t="s">
        <v>176</v>
      </c>
      <c r="D36" s="2" t="s">
        <v>41</v>
      </c>
      <c r="E36" s="2">
        <v>4</v>
      </c>
      <c r="F36" s="2">
        <v>576.52</v>
      </c>
      <c r="G36" s="2" t="s">
        <v>177</v>
      </c>
      <c r="H36" s="2" t="s">
        <v>34</v>
      </c>
      <c r="I36" s="2" t="s">
        <v>89</v>
      </c>
      <c r="J36" s="2" t="s">
        <v>178</v>
      </c>
      <c r="K36" s="2">
        <v>5</v>
      </c>
      <c r="L36" s="2" t="s">
        <v>81</v>
      </c>
      <c r="M36" s="2" t="s">
        <v>45</v>
      </c>
      <c r="N36" s="2">
        <v>2306.08</v>
      </c>
    </row>
    <row r="37" spans="1:14" ht="15" x14ac:dyDescent="0.25">
      <c r="A37" s="2" t="s">
        <v>179</v>
      </c>
      <c r="B37" s="3">
        <v>45633</v>
      </c>
      <c r="C37" s="2" t="s">
        <v>180</v>
      </c>
      <c r="D37" s="2" t="s">
        <v>16</v>
      </c>
      <c r="E37" s="2">
        <v>2</v>
      </c>
      <c r="F37" s="2">
        <v>465.15</v>
      </c>
      <c r="G37" s="2" t="s">
        <v>181</v>
      </c>
      <c r="H37" s="2" t="s">
        <v>27</v>
      </c>
      <c r="I37" s="2" t="s">
        <v>19</v>
      </c>
      <c r="J37" s="2" t="s">
        <v>182</v>
      </c>
      <c r="K37" s="2">
        <v>2</v>
      </c>
      <c r="L37" s="2" t="s">
        <v>21</v>
      </c>
      <c r="M37" s="2" t="s">
        <v>45</v>
      </c>
      <c r="N37" s="2">
        <v>930.3</v>
      </c>
    </row>
    <row r="38" spans="1:14" ht="15" x14ac:dyDescent="0.25">
      <c r="A38" s="2" t="s">
        <v>183</v>
      </c>
      <c r="B38" s="3">
        <v>45785</v>
      </c>
      <c r="C38" s="2" t="s">
        <v>184</v>
      </c>
      <c r="D38" s="2" t="s">
        <v>58</v>
      </c>
      <c r="E38" s="2">
        <v>2</v>
      </c>
      <c r="F38" s="2">
        <v>534.42999999999995</v>
      </c>
      <c r="G38" s="2" t="s">
        <v>185</v>
      </c>
      <c r="H38" s="2" t="s">
        <v>18</v>
      </c>
      <c r="I38" s="2" t="s">
        <v>89</v>
      </c>
      <c r="J38" s="2" t="s">
        <v>186</v>
      </c>
      <c r="K38" s="2">
        <v>5</v>
      </c>
      <c r="M38" s="2" t="s">
        <v>45</v>
      </c>
      <c r="N38" s="2">
        <v>1068.8599999999999</v>
      </c>
    </row>
    <row r="39" spans="1:14" ht="15" x14ac:dyDescent="0.25">
      <c r="A39" s="2" t="s">
        <v>187</v>
      </c>
      <c r="B39" s="3">
        <v>45579</v>
      </c>
      <c r="C39" s="2" t="s">
        <v>188</v>
      </c>
      <c r="D39" s="2" t="s">
        <v>58</v>
      </c>
      <c r="E39" s="2">
        <v>2</v>
      </c>
      <c r="F39" s="2">
        <v>76.739999999999995</v>
      </c>
      <c r="G39" s="2" t="s">
        <v>189</v>
      </c>
      <c r="H39" s="2" t="s">
        <v>65</v>
      </c>
      <c r="I39" s="2" t="s">
        <v>43</v>
      </c>
      <c r="J39" s="2" t="s">
        <v>190</v>
      </c>
      <c r="K39" s="2">
        <v>7</v>
      </c>
      <c r="L39" s="2" t="s">
        <v>21</v>
      </c>
      <c r="M39" s="2" t="s">
        <v>22</v>
      </c>
      <c r="N39" s="2">
        <v>153.47999999999999</v>
      </c>
    </row>
    <row r="40" spans="1:14" ht="15" x14ac:dyDescent="0.25">
      <c r="A40" s="2" t="s">
        <v>191</v>
      </c>
      <c r="B40" s="3">
        <v>45645</v>
      </c>
      <c r="C40" s="2" t="s">
        <v>192</v>
      </c>
      <c r="D40" s="2" t="s">
        <v>58</v>
      </c>
      <c r="E40" s="2">
        <v>1</v>
      </c>
      <c r="F40" s="2">
        <v>245.89</v>
      </c>
      <c r="G40" s="2" t="s">
        <v>193</v>
      </c>
      <c r="H40" s="2" t="s">
        <v>18</v>
      </c>
      <c r="I40" s="2" t="s">
        <v>50</v>
      </c>
      <c r="J40" s="2" t="s">
        <v>194</v>
      </c>
      <c r="K40" s="2">
        <v>3</v>
      </c>
      <c r="L40" s="2" t="s">
        <v>21</v>
      </c>
      <c r="M40" s="2" t="s">
        <v>76</v>
      </c>
      <c r="N40" s="2">
        <v>245.89</v>
      </c>
    </row>
    <row r="41" spans="1:14" ht="15" x14ac:dyDescent="0.25">
      <c r="A41" s="2" t="s">
        <v>195</v>
      </c>
      <c r="B41" s="3">
        <v>45715</v>
      </c>
      <c r="C41" s="2" t="s">
        <v>196</v>
      </c>
      <c r="D41" s="2" t="s">
        <v>48</v>
      </c>
      <c r="E41" s="2">
        <v>3</v>
      </c>
      <c r="F41" s="2">
        <v>256.45999999999998</v>
      </c>
      <c r="G41" s="2" t="s">
        <v>197</v>
      </c>
      <c r="H41" s="2" t="s">
        <v>34</v>
      </c>
      <c r="I41" s="2" t="s">
        <v>50</v>
      </c>
      <c r="J41" s="2" t="s">
        <v>198</v>
      </c>
      <c r="K41" s="2">
        <v>4</v>
      </c>
      <c r="L41" s="2" t="s">
        <v>21</v>
      </c>
      <c r="M41" s="2" t="s">
        <v>29</v>
      </c>
      <c r="N41" s="2">
        <v>769.37999999999988</v>
      </c>
    </row>
    <row r="42" spans="1:14" ht="15" x14ac:dyDescent="0.25">
      <c r="A42" s="2" t="s">
        <v>199</v>
      </c>
      <c r="B42" s="3">
        <v>45158</v>
      </c>
      <c r="C42" s="2" t="s">
        <v>200</v>
      </c>
      <c r="D42" s="2" t="s">
        <v>73</v>
      </c>
      <c r="E42" s="2">
        <v>2</v>
      </c>
      <c r="F42" s="2">
        <v>344.02</v>
      </c>
      <c r="G42" s="2" t="s">
        <v>201</v>
      </c>
      <c r="H42" s="2" t="s">
        <v>27</v>
      </c>
      <c r="I42" s="2" t="s">
        <v>50</v>
      </c>
      <c r="J42" s="2" t="s">
        <v>202</v>
      </c>
      <c r="K42" s="2">
        <v>4</v>
      </c>
      <c r="L42" s="2" t="s">
        <v>37</v>
      </c>
      <c r="M42" s="2" t="s">
        <v>22</v>
      </c>
      <c r="N42" s="2">
        <v>688.04</v>
      </c>
    </row>
    <row r="43" spans="1:14" ht="15" x14ac:dyDescent="0.25">
      <c r="A43" s="2" t="s">
        <v>203</v>
      </c>
      <c r="B43" s="3">
        <v>45265</v>
      </c>
      <c r="C43" s="2" t="s">
        <v>204</v>
      </c>
      <c r="D43" s="2" t="s">
        <v>16</v>
      </c>
      <c r="E43" s="2">
        <v>3</v>
      </c>
      <c r="F43" s="2">
        <v>611.45000000000005</v>
      </c>
      <c r="G43" s="2" t="s">
        <v>205</v>
      </c>
      <c r="H43" s="2" t="s">
        <v>60</v>
      </c>
      <c r="I43" s="2" t="s">
        <v>89</v>
      </c>
      <c r="J43" s="2" t="s">
        <v>206</v>
      </c>
      <c r="K43" s="2">
        <v>4</v>
      </c>
      <c r="L43" s="2" t="s">
        <v>37</v>
      </c>
      <c r="M43" s="2" t="s">
        <v>22</v>
      </c>
      <c r="N43" s="2">
        <v>1834.35</v>
      </c>
    </row>
    <row r="44" spans="1:14" ht="15" x14ac:dyDescent="0.25">
      <c r="A44" s="2" t="s">
        <v>207</v>
      </c>
      <c r="B44" s="3">
        <v>45418</v>
      </c>
      <c r="C44" s="2" t="s">
        <v>208</v>
      </c>
      <c r="D44" s="2" t="s">
        <v>48</v>
      </c>
      <c r="E44" s="2">
        <v>2</v>
      </c>
      <c r="F44" s="2">
        <v>151.66</v>
      </c>
      <c r="G44" s="2" t="s">
        <v>97</v>
      </c>
      <c r="H44" s="2" t="s">
        <v>65</v>
      </c>
      <c r="I44" s="2" t="s">
        <v>35</v>
      </c>
      <c r="J44" s="2" t="s">
        <v>209</v>
      </c>
      <c r="K44" s="2">
        <v>6</v>
      </c>
      <c r="M44" s="2" t="s">
        <v>22</v>
      </c>
      <c r="N44" s="2">
        <v>303.32</v>
      </c>
    </row>
    <row r="45" spans="1:14" ht="15" x14ac:dyDescent="0.25">
      <c r="A45" s="2" t="s">
        <v>210</v>
      </c>
      <c r="B45" s="3">
        <v>45274</v>
      </c>
      <c r="C45" s="2" t="s">
        <v>211</v>
      </c>
      <c r="D45" s="2" t="s">
        <v>41</v>
      </c>
      <c r="E45" s="2">
        <v>3</v>
      </c>
      <c r="F45" s="2">
        <v>499.21</v>
      </c>
      <c r="G45" s="2" t="s">
        <v>212</v>
      </c>
      <c r="H45" s="2" t="s">
        <v>27</v>
      </c>
      <c r="I45" s="2" t="s">
        <v>35</v>
      </c>
      <c r="J45" s="2" t="s">
        <v>213</v>
      </c>
      <c r="K45" s="2">
        <v>8</v>
      </c>
      <c r="M45" s="2" t="s">
        <v>22</v>
      </c>
      <c r="N45" s="2">
        <v>1497.63</v>
      </c>
    </row>
    <row r="46" spans="1:14" ht="15" x14ac:dyDescent="0.25">
      <c r="A46" s="2" t="s">
        <v>214</v>
      </c>
      <c r="B46" s="3">
        <v>45768</v>
      </c>
      <c r="C46" s="2" t="s">
        <v>215</v>
      </c>
      <c r="D46" s="2" t="s">
        <v>25</v>
      </c>
      <c r="E46" s="2">
        <v>2</v>
      </c>
      <c r="F46" s="2">
        <v>550.17999999999995</v>
      </c>
      <c r="G46" s="2" t="s">
        <v>165</v>
      </c>
      <c r="H46" s="2" t="s">
        <v>60</v>
      </c>
      <c r="I46" s="2" t="s">
        <v>43</v>
      </c>
      <c r="J46" s="2" t="s">
        <v>216</v>
      </c>
      <c r="K46" s="2">
        <v>3</v>
      </c>
      <c r="L46" s="2" t="s">
        <v>37</v>
      </c>
      <c r="M46" s="2" t="s">
        <v>29</v>
      </c>
      <c r="N46" s="2">
        <v>1100.3599999999999</v>
      </c>
    </row>
    <row r="47" spans="1:14" ht="15" x14ac:dyDescent="0.25">
      <c r="A47" s="2" t="s">
        <v>217</v>
      </c>
      <c r="B47" s="3">
        <v>45332</v>
      </c>
      <c r="C47" s="2" t="s">
        <v>218</v>
      </c>
      <c r="D47" s="2" t="s">
        <v>41</v>
      </c>
      <c r="E47" s="2">
        <v>1</v>
      </c>
      <c r="F47" s="2">
        <v>317.25</v>
      </c>
      <c r="G47" s="2" t="s">
        <v>219</v>
      </c>
      <c r="H47" s="2" t="s">
        <v>18</v>
      </c>
      <c r="I47" s="2" t="s">
        <v>43</v>
      </c>
      <c r="J47" s="2" t="s">
        <v>220</v>
      </c>
      <c r="K47" s="2">
        <v>1</v>
      </c>
      <c r="L47" s="2" t="s">
        <v>21</v>
      </c>
      <c r="M47" s="2" t="s">
        <v>45</v>
      </c>
      <c r="N47" s="2">
        <v>317.25</v>
      </c>
    </row>
    <row r="48" spans="1:14" ht="15" x14ac:dyDescent="0.25">
      <c r="A48" s="2" t="s">
        <v>221</v>
      </c>
      <c r="B48" s="3">
        <v>45469</v>
      </c>
      <c r="C48" s="2" t="s">
        <v>222</v>
      </c>
      <c r="D48" s="2" t="s">
        <v>16</v>
      </c>
      <c r="E48" s="2">
        <v>4</v>
      </c>
      <c r="F48" s="2">
        <v>550.14</v>
      </c>
      <c r="G48" s="2" t="s">
        <v>223</v>
      </c>
      <c r="H48" s="2" t="s">
        <v>18</v>
      </c>
      <c r="I48" s="2" t="s">
        <v>89</v>
      </c>
      <c r="J48" s="2" t="s">
        <v>224</v>
      </c>
      <c r="K48" s="2">
        <v>4</v>
      </c>
      <c r="L48" s="2" t="s">
        <v>37</v>
      </c>
      <c r="M48" s="2" t="s">
        <v>22</v>
      </c>
      <c r="N48" s="2">
        <v>2200.56</v>
      </c>
    </row>
    <row r="49" spans="1:14" ht="15" x14ac:dyDescent="0.25">
      <c r="A49" s="2" t="s">
        <v>225</v>
      </c>
      <c r="B49" s="3">
        <v>45126</v>
      </c>
      <c r="C49" s="2" t="s">
        <v>226</v>
      </c>
      <c r="D49" s="2" t="s">
        <v>73</v>
      </c>
      <c r="E49" s="2">
        <v>2</v>
      </c>
      <c r="F49" s="2">
        <v>209.94</v>
      </c>
      <c r="G49" s="2" t="s">
        <v>227</v>
      </c>
      <c r="H49" s="2" t="s">
        <v>34</v>
      </c>
      <c r="I49" s="2" t="s">
        <v>43</v>
      </c>
      <c r="J49" s="2" t="s">
        <v>228</v>
      </c>
      <c r="K49" s="2">
        <v>3</v>
      </c>
      <c r="L49" s="2" t="s">
        <v>37</v>
      </c>
      <c r="M49" s="2" t="s">
        <v>38</v>
      </c>
      <c r="N49" s="2">
        <v>419.88</v>
      </c>
    </row>
    <row r="50" spans="1:14" ht="15" x14ac:dyDescent="0.25">
      <c r="A50" s="2" t="s">
        <v>229</v>
      </c>
      <c r="B50" s="3">
        <v>45164</v>
      </c>
      <c r="C50" s="2" t="s">
        <v>230</v>
      </c>
      <c r="D50" s="2" t="s">
        <v>16</v>
      </c>
      <c r="E50" s="2">
        <v>2</v>
      </c>
      <c r="F50" s="2">
        <v>80.77</v>
      </c>
      <c r="G50" s="2" t="s">
        <v>231</v>
      </c>
      <c r="H50" s="2" t="s">
        <v>18</v>
      </c>
      <c r="I50" s="2" t="s">
        <v>19</v>
      </c>
      <c r="J50" s="2" t="s">
        <v>232</v>
      </c>
      <c r="K50" s="2">
        <v>4</v>
      </c>
      <c r="M50" s="2" t="s">
        <v>76</v>
      </c>
      <c r="N50" s="2">
        <v>161.54</v>
      </c>
    </row>
    <row r="51" spans="1:14" ht="15" x14ac:dyDescent="0.25">
      <c r="A51" s="2" t="s">
        <v>233</v>
      </c>
      <c r="B51" s="3">
        <v>45206</v>
      </c>
      <c r="C51" s="2" t="s">
        <v>234</v>
      </c>
      <c r="D51" s="2" t="s">
        <v>48</v>
      </c>
      <c r="E51" s="2">
        <v>1</v>
      </c>
      <c r="F51" s="2">
        <v>30.44</v>
      </c>
      <c r="G51" s="2" t="s">
        <v>129</v>
      </c>
      <c r="H51" s="2" t="s">
        <v>34</v>
      </c>
      <c r="I51" s="2" t="s">
        <v>19</v>
      </c>
      <c r="J51" s="2" t="s">
        <v>235</v>
      </c>
      <c r="K51" s="2">
        <v>1</v>
      </c>
      <c r="L51" s="2" t="s">
        <v>21</v>
      </c>
      <c r="M51" s="2" t="s">
        <v>38</v>
      </c>
      <c r="N51" s="2">
        <v>30.44</v>
      </c>
    </row>
    <row r="52" spans="1:14" ht="15" x14ac:dyDescent="0.25">
      <c r="A52" s="2" t="s">
        <v>236</v>
      </c>
      <c r="B52" s="3">
        <v>45138</v>
      </c>
      <c r="C52" s="2" t="s">
        <v>237</v>
      </c>
      <c r="D52" s="2" t="s">
        <v>32</v>
      </c>
      <c r="E52" s="2">
        <v>1</v>
      </c>
      <c r="F52" s="2">
        <v>179.22</v>
      </c>
      <c r="G52" s="2" t="s">
        <v>238</v>
      </c>
      <c r="H52" s="2" t="s">
        <v>27</v>
      </c>
      <c r="I52" s="2" t="s">
        <v>35</v>
      </c>
      <c r="J52" s="2" t="s">
        <v>239</v>
      </c>
      <c r="K52" s="2">
        <v>6</v>
      </c>
      <c r="L52" s="2" t="s">
        <v>37</v>
      </c>
      <c r="M52" s="2" t="s">
        <v>22</v>
      </c>
      <c r="N52" s="2">
        <v>179.22</v>
      </c>
    </row>
    <row r="53" spans="1:14" ht="15" x14ac:dyDescent="0.25">
      <c r="A53" s="2" t="s">
        <v>240</v>
      </c>
      <c r="B53" s="3">
        <v>45656</v>
      </c>
      <c r="C53" s="2" t="s">
        <v>241</v>
      </c>
      <c r="D53" s="2" t="s">
        <v>32</v>
      </c>
      <c r="E53" s="2">
        <v>1</v>
      </c>
      <c r="F53" s="2">
        <v>388.33</v>
      </c>
      <c r="G53" s="2" t="s">
        <v>242</v>
      </c>
      <c r="H53" s="2" t="s">
        <v>65</v>
      </c>
      <c r="I53" s="2" t="s">
        <v>43</v>
      </c>
      <c r="J53" s="2" t="s">
        <v>243</v>
      </c>
      <c r="K53" s="2">
        <v>2</v>
      </c>
      <c r="L53" s="2" t="s">
        <v>21</v>
      </c>
      <c r="M53" s="2" t="s">
        <v>45</v>
      </c>
      <c r="N53" s="2">
        <v>388.33</v>
      </c>
    </row>
    <row r="54" spans="1:14" ht="15" x14ac:dyDescent="0.25">
      <c r="A54" s="2" t="s">
        <v>244</v>
      </c>
      <c r="B54" s="3">
        <v>45543</v>
      </c>
      <c r="C54" s="2" t="s">
        <v>245</v>
      </c>
      <c r="D54" s="2" t="s">
        <v>32</v>
      </c>
      <c r="E54" s="2">
        <v>1</v>
      </c>
      <c r="F54" s="2">
        <v>586.44000000000005</v>
      </c>
      <c r="G54" s="2" t="s">
        <v>246</v>
      </c>
      <c r="H54" s="2" t="s">
        <v>27</v>
      </c>
      <c r="I54" s="2" t="s">
        <v>43</v>
      </c>
      <c r="J54" s="2" t="s">
        <v>247</v>
      </c>
      <c r="K54" s="2">
        <v>5</v>
      </c>
      <c r="L54" s="2" t="s">
        <v>21</v>
      </c>
      <c r="M54" s="2" t="s">
        <v>45</v>
      </c>
      <c r="N54" s="2">
        <v>586.44000000000005</v>
      </c>
    </row>
    <row r="55" spans="1:14" ht="15" x14ac:dyDescent="0.25">
      <c r="A55" s="2" t="s">
        <v>248</v>
      </c>
      <c r="B55" s="3">
        <v>45430</v>
      </c>
      <c r="C55" s="2" t="s">
        <v>249</v>
      </c>
      <c r="D55" s="2" t="s">
        <v>25</v>
      </c>
      <c r="E55" s="2">
        <v>4</v>
      </c>
      <c r="F55" s="2">
        <v>488.78</v>
      </c>
      <c r="G55" s="2" t="s">
        <v>33</v>
      </c>
      <c r="H55" s="2" t="s">
        <v>27</v>
      </c>
      <c r="I55" s="2" t="s">
        <v>43</v>
      </c>
      <c r="J55" s="2" t="s">
        <v>250</v>
      </c>
      <c r="K55" s="2">
        <v>5</v>
      </c>
      <c r="L55" s="2" t="s">
        <v>37</v>
      </c>
      <c r="M55" s="2" t="s">
        <v>76</v>
      </c>
      <c r="N55" s="2">
        <v>1955.12</v>
      </c>
    </row>
    <row r="56" spans="1:14" ht="15" x14ac:dyDescent="0.25">
      <c r="A56" s="2" t="s">
        <v>251</v>
      </c>
      <c r="B56" s="3">
        <v>45743</v>
      </c>
      <c r="C56" s="2" t="s">
        <v>252</v>
      </c>
      <c r="D56" s="2" t="s">
        <v>41</v>
      </c>
      <c r="E56" s="2">
        <v>1</v>
      </c>
      <c r="F56" s="2">
        <v>280.25</v>
      </c>
      <c r="G56" s="2" t="s">
        <v>253</v>
      </c>
      <c r="H56" s="2" t="s">
        <v>27</v>
      </c>
      <c r="I56" s="2" t="s">
        <v>89</v>
      </c>
      <c r="J56" s="2" t="s">
        <v>254</v>
      </c>
      <c r="K56" s="2">
        <v>5</v>
      </c>
      <c r="L56" s="2" t="s">
        <v>81</v>
      </c>
      <c r="M56" s="2" t="s">
        <v>38</v>
      </c>
      <c r="N56" s="2">
        <v>280.25</v>
      </c>
    </row>
    <row r="57" spans="1:14" ht="15" x14ac:dyDescent="0.25">
      <c r="A57" s="2" t="s">
        <v>255</v>
      </c>
      <c r="B57" s="3">
        <v>45832</v>
      </c>
      <c r="C57" s="2" t="s">
        <v>256</v>
      </c>
      <c r="D57" s="2" t="s">
        <v>48</v>
      </c>
      <c r="E57" s="2">
        <v>3</v>
      </c>
      <c r="F57" s="2">
        <v>344.4</v>
      </c>
      <c r="G57" s="2" t="s">
        <v>257</v>
      </c>
      <c r="H57" s="2" t="s">
        <v>27</v>
      </c>
      <c r="I57" s="2" t="s">
        <v>35</v>
      </c>
      <c r="J57" s="2" t="s">
        <v>258</v>
      </c>
      <c r="K57" s="2">
        <v>3</v>
      </c>
      <c r="M57" s="2" t="s">
        <v>45</v>
      </c>
      <c r="N57" s="2">
        <v>1033.2</v>
      </c>
    </row>
    <row r="58" spans="1:14" ht="15" x14ac:dyDescent="0.25">
      <c r="A58" s="2" t="s">
        <v>259</v>
      </c>
      <c r="B58" s="3">
        <v>45067</v>
      </c>
      <c r="C58" s="2" t="s">
        <v>260</v>
      </c>
      <c r="D58" s="2" t="s">
        <v>32</v>
      </c>
      <c r="E58" s="2">
        <v>3</v>
      </c>
      <c r="F58" s="2">
        <v>479.21</v>
      </c>
      <c r="G58" s="2" t="s">
        <v>261</v>
      </c>
      <c r="H58" s="2" t="s">
        <v>65</v>
      </c>
      <c r="I58" s="2" t="s">
        <v>35</v>
      </c>
      <c r="J58" s="2" t="s">
        <v>262</v>
      </c>
      <c r="K58" s="2">
        <v>5</v>
      </c>
      <c r="L58" s="2" t="s">
        <v>81</v>
      </c>
      <c r="M58" s="2" t="s">
        <v>29</v>
      </c>
      <c r="N58" s="2">
        <v>1437.63</v>
      </c>
    </row>
    <row r="59" spans="1:14" ht="15" x14ac:dyDescent="0.25">
      <c r="A59" s="2" t="s">
        <v>263</v>
      </c>
      <c r="B59" s="3">
        <v>44948</v>
      </c>
      <c r="C59" s="2" t="s">
        <v>264</v>
      </c>
      <c r="D59" s="2" t="s">
        <v>48</v>
      </c>
      <c r="E59" s="2">
        <v>5</v>
      </c>
      <c r="F59" s="2">
        <v>314.27</v>
      </c>
      <c r="G59" s="2" t="s">
        <v>265</v>
      </c>
      <c r="H59" s="2" t="s">
        <v>65</v>
      </c>
      <c r="I59" s="2" t="s">
        <v>43</v>
      </c>
      <c r="J59" s="2" t="s">
        <v>266</v>
      </c>
      <c r="K59" s="2">
        <v>6</v>
      </c>
      <c r="L59" s="2" t="s">
        <v>21</v>
      </c>
      <c r="M59" s="2" t="s">
        <v>22</v>
      </c>
      <c r="N59" s="2">
        <v>1571.35</v>
      </c>
    </row>
    <row r="60" spans="1:14" ht="15" x14ac:dyDescent="0.25">
      <c r="A60" s="2" t="s">
        <v>267</v>
      </c>
      <c r="B60" s="3">
        <v>44941</v>
      </c>
      <c r="C60" s="2" t="s">
        <v>268</v>
      </c>
      <c r="D60" s="2" t="s">
        <v>25</v>
      </c>
      <c r="E60" s="2">
        <v>4</v>
      </c>
      <c r="F60" s="2">
        <v>474.69</v>
      </c>
      <c r="G60" s="2" t="s">
        <v>269</v>
      </c>
      <c r="H60" s="2" t="s">
        <v>60</v>
      </c>
      <c r="I60" s="2" t="s">
        <v>35</v>
      </c>
      <c r="J60" s="2" t="s">
        <v>270</v>
      </c>
      <c r="K60" s="2">
        <v>6</v>
      </c>
      <c r="L60" s="2" t="s">
        <v>21</v>
      </c>
      <c r="M60" s="2" t="s">
        <v>76</v>
      </c>
      <c r="N60" s="2">
        <v>1898.76</v>
      </c>
    </row>
    <row r="61" spans="1:14" ht="15" x14ac:dyDescent="0.25">
      <c r="A61" s="2" t="s">
        <v>271</v>
      </c>
      <c r="B61" s="3">
        <v>45546</v>
      </c>
      <c r="C61" s="2" t="s">
        <v>272</v>
      </c>
      <c r="D61" s="2" t="s">
        <v>41</v>
      </c>
      <c r="E61" s="2">
        <v>4</v>
      </c>
      <c r="F61" s="2">
        <v>593.27</v>
      </c>
      <c r="G61" s="2" t="s">
        <v>273</v>
      </c>
      <c r="H61" s="2" t="s">
        <v>27</v>
      </c>
      <c r="I61" s="2" t="s">
        <v>19</v>
      </c>
      <c r="J61" s="2" t="s">
        <v>274</v>
      </c>
      <c r="K61" s="2">
        <v>5</v>
      </c>
      <c r="M61" s="2" t="s">
        <v>45</v>
      </c>
      <c r="N61" s="2">
        <v>2373.08</v>
      </c>
    </row>
    <row r="62" spans="1:14" ht="15" x14ac:dyDescent="0.25">
      <c r="A62" s="2" t="s">
        <v>275</v>
      </c>
      <c r="B62" s="3">
        <v>45525</v>
      </c>
      <c r="C62" s="2" t="s">
        <v>276</v>
      </c>
      <c r="D62" s="2" t="s">
        <v>73</v>
      </c>
      <c r="E62" s="2">
        <v>1</v>
      </c>
      <c r="F62" s="2">
        <v>417.1</v>
      </c>
      <c r="G62" s="2" t="s">
        <v>277</v>
      </c>
      <c r="H62" s="2" t="s">
        <v>18</v>
      </c>
      <c r="I62" s="2" t="s">
        <v>43</v>
      </c>
      <c r="J62" s="2" t="s">
        <v>278</v>
      </c>
      <c r="K62" s="2">
        <v>3</v>
      </c>
      <c r="L62" s="2" t="s">
        <v>37</v>
      </c>
      <c r="M62" s="2" t="s">
        <v>29</v>
      </c>
      <c r="N62" s="2">
        <v>417.1</v>
      </c>
    </row>
    <row r="63" spans="1:14" ht="15" x14ac:dyDescent="0.25">
      <c r="A63" s="2" t="s">
        <v>279</v>
      </c>
      <c r="B63" s="3">
        <v>45375</v>
      </c>
      <c r="C63" s="2" t="s">
        <v>280</v>
      </c>
      <c r="D63" s="2" t="s">
        <v>73</v>
      </c>
      <c r="E63" s="2">
        <v>4</v>
      </c>
      <c r="F63" s="2">
        <v>122.2</v>
      </c>
      <c r="G63" s="2" t="s">
        <v>281</v>
      </c>
      <c r="H63" s="2" t="s">
        <v>65</v>
      </c>
      <c r="I63" s="2" t="s">
        <v>50</v>
      </c>
      <c r="J63" s="2" t="s">
        <v>282</v>
      </c>
      <c r="K63" s="2">
        <v>7</v>
      </c>
      <c r="L63" s="2" t="s">
        <v>37</v>
      </c>
      <c r="M63" s="2" t="s">
        <v>45</v>
      </c>
      <c r="N63" s="2">
        <v>488.8</v>
      </c>
    </row>
    <row r="64" spans="1:14" ht="15" x14ac:dyDescent="0.25">
      <c r="A64" s="2" t="s">
        <v>283</v>
      </c>
      <c r="B64" s="3">
        <v>45160</v>
      </c>
      <c r="C64" s="2" t="s">
        <v>284</v>
      </c>
      <c r="D64" s="2" t="s">
        <v>73</v>
      </c>
      <c r="E64" s="2">
        <v>2</v>
      </c>
      <c r="F64" s="2">
        <v>43.15</v>
      </c>
      <c r="G64" s="2" t="s">
        <v>285</v>
      </c>
      <c r="H64" s="2" t="s">
        <v>18</v>
      </c>
      <c r="I64" s="2" t="s">
        <v>89</v>
      </c>
      <c r="J64" s="2" t="s">
        <v>286</v>
      </c>
      <c r="K64" s="2">
        <v>3</v>
      </c>
      <c r="L64" s="2" t="s">
        <v>81</v>
      </c>
      <c r="M64" s="2" t="s">
        <v>38</v>
      </c>
      <c r="N64" s="2">
        <v>86.3</v>
      </c>
    </row>
    <row r="65" spans="1:14" ht="15" x14ac:dyDescent="0.25">
      <c r="A65" s="2" t="s">
        <v>287</v>
      </c>
      <c r="B65" s="3">
        <v>45690</v>
      </c>
      <c r="C65" s="2" t="s">
        <v>288</v>
      </c>
      <c r="D65" s="2" t="s">
        <v>41</v>
      </c>
      <c r="E65" s="2">
        <v>1</v>
      </c>
      <c r="F65" s="2">
        <v>564.86</v>
      </c>
      <c r="G65" s="2" t="s">
        <v>289</v>
      </c>
      <c r="H65" s="2" t="s">
        <v>18</v>
      </c>
      <c r="I65" s="2" t="s">
        <v>19</v>
      </c>
      <c r="J65" s="2" t="s">
        <v>290</v>
      </c>
      <c r="K65" s="2">
        <v>6</v>
      </c>
      <c r="L65" s="2" t="s">
        <v>81</v>
      </c>
      <c r="M65" s="2" t="s">
        <v>29</v>
      </c>
      <c r="N65" s="2">
        <v>564.86</v>
      </c>
    </row>
    <row r="66" spans="1:14" ht="15" x14ac:dyDescent="0.25">
      <c r="A66" s="2" t="s">
        <v>291</v>
      </c>
      <c r="B66" s="3">
        <v>45833</v>
      </c>
      <c r="C66" s="2" t="s">
        <v>292</v>
      </c>
      <c r="D66" s="2" t="s">
        <v>48</v>
      </c>
      <c r="E66" s="2">
        <v>3</v>
      </c>
      <c r="F66" s="2">
        <v>130.61000000000001</v>
      </c>
      <c r="G66" s="2" t="s">
        <v>293</v>
      </c>
      <c r="H66" s="2" t="s">
        <v>18</v>
      </c>
      <c r="I66" s="2" t="s">
        <v>35</v>
      </c>
      <c r="J66" s="2" t="s">
        <v>294</v>
      </c>
      <c r="K66" s="2">
        <v>4</v>
      </c>
      <c r="L66" s="2" t="s">
        <v>37</v>
      </c>
      <c r="M66" s="2" t="s">
        <v>45</v>
      </c>
      <c r="N66" s="2">
        <v>391.83</v>
      </c>
    </row>
    <row r="67" spans="1:14" ht="15" x14ac:dyDescent="0.25">
      <c r="A67" s="2" t="s">
        <v>295</v>
      </c>
      <c r="B67" s="3">
        <v>45290</v>
      </c>
      <c r="C67" s="2" t="s">
        <v>296</v>
      </c>
      <c r="D67" s="2" t="s">
        <v>16</v>
      </c>
      <c r="E67" s="2">
        <v>5</v>
      </c>
      <c r="F67" s="2">
        <v>81.7</v>
      </c>
      <c r="G67" s="2" t="s">
        <v>297</v>
      </c>
      <c r="H67" s="2" t="s">
        <v>34</v>
      </c>
      <c r="I67" s="2" t="s">
        <v>50</v>
      </c>
      <c r="J67" s="2" t="s">
        <v>298</v>
      </c>
      <c r="K67" s="2">
        <v>6</v>
      </c>
      <c r="M67" s="2" t="s">
        <v>22</v>
      </c>
      <c r="N67" s="2">
        <v>408.5</v>
      </c>
    </row>
    <row r="68" spans="1:14" ht="15" x14ac:dyDescent="0.25">
      <c r="A68" s="2" t="s">
        <v>299</v>
      </c>
      <c r="B68" s="3">
        <v>45611</v>
      </c>
      <c r="C68" s="2" t="s">
        <v>300</v>
      </c>
      <c r="D68" s="2" t="s">
        <v>41</v>
      </c>
      <c r="E68" s="2">
        <v>5</v>
      </c>
      <c r="F68" s="2">
        <v>127.18</v>
      </c>
      <c r="G68" s="2" t="s">
        <v>301</v>
      </c>
      <c r="H68" s="2" t="s">
        <v>65</v>
      </c>
      <c r="I68" s="2" t="s">
        <v>35</v>
      </c>
      <c r="J68" s="2" t="s">
        <v>302</v>
      </c>
      <c r="K68" s="2">
        <v>9</v>
      </c>
      <c r="L68" s="2" t="s">
        <v>21</v>
      </c>
      <c r="M68" s="2" t="s">
        <v>29</v>
      </c>
      <c r="N68" s="2">
        <v>635.90000000000009</v>
      </c>
    </row>
    <row r="69" spans="1:14" ht="15" x14ac:dyDescent="0.25">
      <c r="A69" s="2" t="s">
        <v>303</v>
      </c>
      <c r="B69" s="3">
        <v>45635</v>
      </c>
      <c r="C69" s="2" t="s">
        <v>304</v>
      </c>
      <c r="D69" s="2" t="s">
        <v>48</v>
      </c>
      <c r="E69" s="2">
        <v>4</v>
      </c>
      <c r="F69" s="2">
        <v>12.1</v>
      </c>
      <c r="G69" s="2" t="s">
        <v>305</v>
      </c>
      <c r="H69" s="2" t="s">
        <v>18</v>
      </c>
      <c r="I69" s="2" t="s">
        <v>35</v>
      </c>
      <c r="J69" s="2" t="s">
        <v>306</v>
      </c>
      <c r="K69" s="2">
        <v>8</v>
      </c>
      <c r="M69" s="2" t="s">
        <v>76</v>
      </c>
      <c r="N69" s="2">
        <v>48.4</v>
      </c>
    </row>
    <row r="70" spans="1:14" ht="15" x14ac:dyDescent="0.25">
      <c r="A70" s="2" t="s">
        <v>307</v>
      </c>
      <c r="B70" s="3">
        <v>45271</v>
      </c>
      <c r="C70" s="2" t="s">
        <v>308</v>
      </c>
      <c r="D70" s="2" t="s">
        <v>41</v>
      </c>
      <c r="E70" s="2">
        <v>3</v>
      </c>
      <c r="F70" s="2">
        <v>490.92</v>
      </c>
      <c r="G70" s="2" t="s">
        <v>141</v>
      </c>
      <c r="H70" s="2" t="s">
        <v>34</v>
      </c>
      <c r="I70" s="2" t="s">
        <v>89</v>
      </c>
      <c r="J70" s="2" t="s">
        <v>309</v>
      </c>
      <c r="K70" s="2">
        <v>5</v>
      </c>
      <c r="L70" s="2" t="s">
        <v>37</v>
      </c>
      <c r="M70" s="2" t="s">
        <v>38</v>
      </c>
      <c r="N70" s="2">
        <v>1472.76</v>
      </c>
    </row>
    <row r="71" spans="1:14" ht="15" x14ac:dyDescent="0.25">
      <c r="A71" s="2" t="s">
        <v>310</v>
      </c>
      <c r="B71" s="3">
        <v>45057</v>
      </c>
      <c r="C71" s="2" t="s">
        <v>311</v>
      </c>
      <c r="D71" s="2" t="s">
        <v>16</v>
      </c>
      <c r="E71" s="2">
        <v>3</v>
      </c>
      <c r="F71" s="2">
        <v>478.65</v>
      </c>
      <c r="G71" s="2" t="s">
        <v>312</v>
      </c>
      <c r="H71" s="2" t="s">
        <v>27</v>
      </c>
      <c r="I71" s="2" t="s">
        <v>19</v>
      </c>
      <c r="J71" s="2" t="s">
        <v>313</v>
      </c>
      <c r="K71" s="2">
        <v>4</v>
      </c>
      <c r="M71" s="2" t="s">
        <v>29</v>
      </c>
      <c r="N71" s="2">
        <v>1435.95</v>
      </c>
    </row>
    <row r="72" spans="1:14" ht="15" x14ac:dyDescent="0.25">
      <c r="A72" s="2" t="s">
        <v>314</v>
      </c>
      <c r="B72" s="3">
        <v>45072</v>
      </c>
      <c r="C72" s="2" t="s">
        <v>315</v>
      </c>
      <c r="D72" s="2" t="s">
        <v>73</v>
      </c>
      <c r="E72" s="2">
        <v>1</v>
      </c>
      <c r="F72" s="2">
        <v>629.21</v>
      </c>
      <c r="G72" s="2" t="s">
        <v>316</v>
      </c>
      <c r="H72" s="2" t="s">
        <v>60</v>
      </c>
      <c r="I72" s="2" t="s">
        <v>89</v>
      </c>
      <c r="J72" s="2" t="s">
        <v>317</v>
      </c>
      <c r="K72" s="2">
        <v>2</v>
      </c>
      <c r="L72" s="2" t="s">
        <v>37</v>
      </c>
      <c r="M72" s="2" t="s">
        <v>22</v>
      </c>
      <c r="N72" s="2">
        <v>629.21</v>
      </c>
    </row>
    <row r="73" spans="1:14" ht="15" x14ac:dyDescent="0.25">
      <c r="A73" s="2" t="s">
        <v>318</v>
      </c>
      <c r="B73" s="3">
        <v>45818</v>
      </c>
      <c r="C73" s="2" t="s">
        <v>319</v>
      </c>
      <c r="D73" s="2" t="s">
        <v>16</v>
      </c>
      <c r="E73" s="2">
        <v>3</v>
      </c>
      <c r="F73" s="2">
        <v>434.45</v>
      </c>
      <c r="G73" s="2" t="s">
        <v>320</v>
      </c>
      <c r="H73" s="2" t="s">
        <v>34</v>
      </c>
      <c r="I73" s="2" t="s">
        <v>89</v>
      </c>
      <c r="J73" s="2" t="s">
        <v>321</v>
      </c>
      <c r="K73" s="2">
        <v>4</v>
      </c>
      <c r="M73" s="2" t="s">
        <v>29</v>
      </c>
      <c r="N73" s="2">
        <v>1303.3499999999999</v>
      </c>
    </row>
    <row r="74" spans="1:14" ht="15" x14ac:dyDescent="0.25">
      <c r="A74" s="2" t="s">
        <v>322</v>
      </c>
      <c r="B74" s="3">
        <v>45648</v>
      </c>
      <c r="C74" s="2" t="s">
        <v>323</v>
      </c>
      <c r="D74" s="2" t="s">
        <v>32</v>
      </c>
      <c r="E74" s="2">
        <v>4</v>
      </c>
      <c r="F74" s="2">
        <v>589.44000000000005</v>
      </c>
      <c r="G74" s="2" t="s">
        <v>101</v>
      </c>
      <c r="H74" s="2" t="s">
        <v>60</v>
      </c>
      <c r="I74" s="2" t="s">
        <v>43</v>
      </c>
      <c r="J74" s="2" t="s">
        <v>324</v>
      </c>
      <c r="K74" s="2">
        <v>5</v>
      </c>
      <c r="M74" s="2" t="s">
        <v>45</v>
      </c>
      <c r="N74" s="2">
        <v>2357.7600000000002</v>
      </c>
    </row>
    <row r="75" spans="1:14" ht="15" x14ac:dyDescent="0.25">
      <c r="A75" s="2" t="s">
        <v>325</v>
      </c>
      <c r="B75" s="3">
        <v>45049</v>
      </c>
      <c r="C75" s="2" t="s">
        <v>326</v>
      </c>
      <c r="D75" s="2" t="s">
        <v>16</v>
      </c>
      <c r="E75" s="2">
        <v>4</v>
      </c>
      <c r="F75" s="2">
        <v>433.45</v>
      </c>
      <c r="G75" s="2" t="s">
        <v>327</v>
      </c>
      <c r="H75" s="2" t="s">
        <v>60</v>
      </c>
      <c r="I75" s="2" t="s">
        <v>35</v>
      </c>
      <c r="J75" s="2" t="s">
        <v>328</v>
      </c>
      <c r="K75" s="2">
        <v>4</v>
      </c>
      <c r="M75" s="2" t="s">
        <v>45</v>
      </c>
      <c r="N75" s="2">
        <v>1733.8</v>
      </c>
    </row>
    <row r="76" spans="1:14" ht="15" x14ac:dyDescent="0.25">
      <c r="A76" s="2" t="s">
        <v>329</v>
      </c>
      <c r="B76" s="3">
        <v>45101</v>
      </c>
      <c r="C76" s="2" t="s">
        <v>330</v>
      </c>
      <c r="D76" s="2" t="s">
        <v>25</v>
      </c>
      <c r="E76" s="2">
        <v>5</v>
      </c>
      <c r="F76" s="2">
        <v>90.87</v>
      </c>
      <c r="G76" s="2" t="s">
        <v>331</v>
      </c>
      <c r="H76" s="2" t="s">
        <v>65</v>
      </c>
      <c r="I76" s="2" t="s">
        <v>89</v>
      </c>
      <c r="J76" s="2" t="s">
        <v>332</v>
      </c>
      <c r="K76" s="2">
        <v>5</v>
      </c>
      <c r="M76" s="2" t="s">
        <v>22</v>
      </c>
      <c r="N76" s="2">
        <v>454.35</v>
      </c>
    </row>
    <row r="77" spans="1:14" ht="15" x14ac:dyDescent="0.25">
      <c r="A77" s="2" t="s">
        <v>333</v>
      </c>
      <c r="B77" s="3">
        <v>45195</v>
      </c>
      <c r="C77" s="2" t="s">
        <v>334</v>
      </c>
      <c r="D77" s="2" t="s">
        <v>32</v>
      </c>
      <c r="E77" s="2">
        <v>3</v>
      </c>
      <c r="F77" s="2">
        <v>398.17</v>
      </c>
      <c r="G77" s="2" t="s">
        <v>335</v>
      </c>
      <c r="H77" s="2" t="s">
        <v>18</v>
      </c>
      <c r="I77" s="2" t="s">
        <v>50</v>
      </c>
      <c r="J77" s="2" t="s">
        <v>336</v>
      </c>
      <c r="K77" s="2">
        <v>5</v>
      </c>
      <c r="L77" s="2" t="s">
        <v>21</v>
      </c>
      <c r="M77" s="2" t="s">
        <v>38</v>
      </c>
      <c r="N77" s="2">
        <v>1194.51</v>
      </c>
    </row>
    <row r="78" spans="1:14" ht="15" x14ac:dyDescent="0.25">
      <c r="A78" s="2" t="s">
        <v>337</v>
      </c>
      <c r="B78" s="3">
        <v>45382</v>
      </c>
      <c r="C78" s="2" t="s">
        <v>338</v>
      </c>
      <c r="D78" s="2" t="s">
        <v>58</v>
      </c>
      <c r="E78" s="2">
        <v>4</v>
      </c>
      <c r="F78" s="2">
        <v>382.88</v>
      </c>
      <c r="G78" s="2" t="s">
        <v>339</v>
      </c>
      <c r="H78" s="2" t="s">
        <v>65</v>
      </c>
      <c r="I78" s="2" t="s">
        <v>35</v>
      </c>
      <c r="J78" s="2" t="s">
        <v>340</v>
      </c>
      <c r="K78" s="2">
        <v>6</v>
      </c>
      <c r="L78" s="2" t="s">
        <v>81</v>
      </c>
      <c r="M78" s="2" t="s">
        <v>38</v>
      </c>
      <c r="N78" s="2">
        <v>1531.52</v>
      </c>
    </row>
    <row r="79" spans="1:14" ht="15" x14ac:dyDescent="0.25">
      <c r="A79" s="2" t="s">
        <v>341</v>
      </c>
      <c r="B79" s="3">
        <v>45436</v>
      </c>
      <c r="C79" s="2" t="s">
        <v>342</v>
      </c>
      <c r="D79" s="2" t="s">
        <v>25</v>
      </c>
      <c r="E79" s="2">
        <v>1</v>
      </c>
      <c r="F79" s="2">
        <v>583.17999999999995</v>
      </c>
      <c r="G79" s="2" t="s">
        <v>343</v>
      </c>
      <c r="H79" s="2" t="s">
        <v>34</v>
      </c>
      <c r="I79" s="2" t="s">
        <v>43</v>
      </c>
      <c r="J79" s="2" t="s">
        <v>344</v>
      </c>
      <c r="K79" s="2">
        <v>5</v>
      </c>
      <c r="M79" s="2" t="s">
        <v>76</v>
      </c>
      <c r="N79" s="2">
        <v>583.17999999999995</v>
      </c>
    </row>
    <row r="80" spans="1:14" ht="15" x14ac:dyDescent="0.25">
      <c r="A80" s="2" t="s">
        <v>345</v>
      </c>
      <c r="B80" s="3">
        <v>45510</v>
      </c>
      <c r="C80" s="2" t="s">
        <v>346</v>
      </c>
      <c r="D80" s="2" t="s">
        <v>48</v>
      </c>
      <c r="E80" s="2">
        <v>4</v>
      </c>
      <c r="F80" s="2">
        <v>175.36</v>
      </c>
      <c r="G80" s="2" t="s">
        <v>347</v>
      </c>
      <c r="H80" s="2" t="s">
        <v>18</v>
      </c>
      <c r="I80" s="2" t="s">
        <v>50</v>
      </c>
      <c r="J80" s="2" t="s">
        <v>348</v>
      </c>
      <c r="K80" s="2">
        <v>4</v>
      </c>
      <c r="L80" s="2" t="s">
        <v>37</v>
      </c>
      <c r="M80" s="2" t="s">
        <v>22</v>
      </c>
      <c r="N80" s="2">
        <v>701.44</v>
      </c>
    </row>
    <row r="81" spans="1:14" ht="15" x14ac:dyDescent="0.25">
      <c r="A81" s="2" t="s">
        <v>349</v>
      </c>
      <c r="B81" s="3">
        <v>45726</v>
      </c>
      <c r="C81" s="2" t="s">
        <v>350</v>
      </c>
      <c r="D81" s="2" t="s">
        <v>32</v>
      </c>
      <c r="E81" s="2">
        <v>2</v>
      </c>
      <c r="F81" s="2">
        <v>311.91000000000003</v>
      </c>
      <c r="G81" s="2" t="s">
        <v>351</v>
      </c>
      <c r="H81" s="2" t="s">
        <v>27</v>
      </c>
      <c r="I81" s="2" t="s">
        <v>19</v>
      </c>
      <c r="J81" s="2" t="s">
        <v>352</v>
      </c>
      <c r="K81" s="2">
        <v>2</v>
      </c>
      <c r="M81" s="2" t="s">
        <v>45</v>
      </c>
      <c r="N81" s="2">
        <v>623.82000000000005</v>
      </c>
    </row>
    <row r="82" spans="1:14" ht="15" x14ac:dyDescent="0.25">
      <c r="A82" s="2" t="s">
        <v>353</v>
      </c>
      <c r="B82" s="3">
        <v>45104</v>
      </c>
      <c r="C82" s="2" t="s">
        <v>354</v>
      </c>
      <c r="D82" s="2" t="s">
        <v>25</v>
      </c>
      <c r="E82" s="2">
        <v>3</v>
      </c>
      <c r="F82" s="2">
        <v>589.55999999999995</v>
      </c>
      <c r="G82" s="2" t="s">
        <v>355</v>
      </c>
      <c r="H82" s="2" t="s">
        <v>27</v>
      </c>
      <c r="I82" s="2" t="s">
        <v>43</v>
      </c>
      <c r="J82" s="2" t="s">
        <v>356</v>
      </c>
      <c r="K82" s="2">
        <v>6</v>
      </c>
      <c r="M82" s="2" t="s">
        <v>45</v>
      </c>
      <c r="N82" s="2">
        <v>1768.68</v>
      </c>
    </row>
    <row r="83" spans="1:14" ht="15" x14ac:dyDescent="0.25">
      <c r="A83" s="2" t="s">
        <v>357</v>
      </c>
      <c r="B83" s="3">
        <v>45085</v>
      </c>
      <c r="C83" s="2" t="s">
        <v>358</v>
      </c>
      <c r="D83" s="2" t="s">
        <v>16</v>
      </c>
      <c r="E83" s="2">
        <v>2</v>
      </c>
      <c r="F83" s="2">
        <v>394.3</v>
      </c>
      <c r="G83" s="2" t="s">
        <v>359</v>
      </c>
      <c r="H83" s="2" t="s">
        <v>65</v>
      </c>
      <c r="I83" s="2" t="s">
        <v>19</v>
      </c>
      <c r="J83" s="2" t="s">
        <v>360</v>
      </c>
      <c r="K83" s="2">
        <v>6</v>
      </c>
      <c r="L83" s="2" t="s">
        <v>37</v>
      </c>
      <c r="M83" s="2" t="s">
        <v>38</v>
      </c>
      <c r="N83" s="2">
        <v>788.6</v>
      </c>
    </row>
    <row r="84" spans="1:14" ht="15" x14ac:dyDescent="0.25">
      <c r="A84" s="2" t="s">
        <v>361</v>
      </c>
      <c r="B84" s="3">
        <v>45296</v>
      </c>
      <c r="C84" s="2" t="s">
        <v>362</v>
      </c>
      <c r="D84" s="2" t="s">
        <v>32</v>
      </c>
      <c r="E84" s="2">
        <v>4</v>
      </c>
      <c r="F84" s="2">
        <v>565.20000000000005</v>
      </c>
      <c r="G84" s="2" t="s">
        <v>363</v>
      </c>
      <c r="H84" s="2" t="s">
        <v>18</v>
      </c>
      <c r="I84" s="2" t="s">
        <v>19</v>
      </c>
      <c r="J84" s="2" t="s">
        <v>364</v>
      </c>
      <c r="K84" s="2">
        <v>9</v>
      </c>
      <c r="L84" s="2" t="s">
        <v>21</v>
      </c>
      <c r="M84" s="2" t="s">
        <v>76</v>
      </c>
      <c r="N84" s="2">
        <v>2260.8000000000002</v>
      </c>
    </row>
    <row r="85" spans="1:14" ht="15" x14ac:dyDescent="0.25">
      <c r="A85" s="2" t="s">
        <v>365</v>
      </c>
      <c r="B85" s="3">
        <v>45160</v>
      </c>
      <c r="C85" s="2" t="s">
        <v>366</v>
      </c>
      <c r="D85" s="2" t="s">
        <v>58</v>
      </c>
      <c r="E85" s="2">
        <v>4</v>
      </c>
      <c r="F85" s="2">
        <v>540.41</v>
      </c>
      <c r="G85" s="2" t="s">
        <v>367</v>
      </c>
      <c r="H85" s="2" t="s">
        <v>34</v>
      </c>
      <c r="I85" s="2" t="s">
        <v>35</v>
      </c>
      <c r="J85" s="2" t="s">
        <v>368</v>
      </c>
      <c r="K85" s="2">
        <v>6</v>
      </c>
      <c r="M85" s="2" t="s">
        <v>29</v>
      </c>
      <c r="N85" s="2">
        <v>2161.64</v>
      </c>
    </row>
    <row r="86" spans="1:14" ht="15" x14ac:dyDescent="0.25">
      <c r="A86" s="2" t="s">
        <v>369</v>
      </c>
      <c r="B86" s="3">
        <v>45166</v>
      </c>
      <c r="C86" s="2" t="s">
        <v>370</v>
      </c>
      <c r="D86" s="2" t="s">
        <v>16</v>
      </c>
      <c r="E86" s="2">
        <v>2</v>
      </c>
      <c r="F86" s="2">
        <v>165.49</v>
      </c>
      <c r="G86" s="2" t="s">
        <v>371</v>
      </c>
      <c r="H86" s="2" t="s">
        <v>27</v>
      </c>
      <c r="I86" s="2" t="s">
        <v>19</v>
      </c>
      <c r="J86" s="2" t="s">
        <v>372</v>
      </c>
      <c r="K86" s="2">
        <v>4</v>
      </c>
      <c r="L86" s="2" t="s">
        <v>81</v>
      </c>
      <c r="M86" s="2" t="s">
        <v>22</v>
      </c>
      <c r="N86" s="2">
        <v>330.98</v>
      </c>
    </row>
    <row r="87" spans="1:14" ht="15" x14ac:dyDescent="0.25">
      <c r="A87" s="2" t="s">
        <v>373</v>
      </c>
      <c r="B87" s="3">
        <v>45544</v>
      </c>
      <c r="C87" s="2" t="s">
        <v>374</v>
      </c>
      <c r="D87" s="2" t="s">
        <v>32</v>
      </c>
      <c r="E87" s="2">
        <v>3</v>
      </c>
      <c r="F87" s="2">
        <v>146.72999999999999</v>
      </c>
      <c r="G87" s="2" t="s">
        <v>375</v>
      </c>
      <c r="H87" s="2" t="s">
        <v>65</v>
      </c>
      <c r="I87" s="2" t="s">
        <v>50</v>
      </c>
      <c r="J87" s="2" t="s">
        <v>376</v>
      </c>
      <c r="K87" s="2">
        <v>8</v>
      </c>
      <c r="L87" s="2" t="s">
        <v>37</v>
      </c>
      <c r="M87" s="2" t="s">
        <v>38</v>
      </c>
      <c r="N87" s="2">
        <v>440.18999999999988</v>
      </c>
    </row>
    <row r="88" spans="1:14" ht="15" x14ac:dyDescent="0.25">
      <c r="A88" s="2" t="s">
        <v>377</v>
      </c>
      <c r="B88" s="3">
        <v>45462</v>
      </c>
      <c r="C88" s="2" t="s">
        <v>378</v>
      </c>
      <c r="D88" s="2" t="s">
        <v>48</v>
      </c>
      <c r="E88" s="2">
        <v>5</v>
      </c>
      <c r="F88" s="2">
        <v>643.03</v>
      </c>
      <c r="G88" s="2" t="s">
        <v>379</v>
      </c>
      <c r="H88" s="2" t="s">
        <v>27</v>
      </c>
      <c r="I88" s="2" t="s">
        <v>35</v>
      </c>
      <c r="J88" s="2" t="s">
        <v>380</v>
      </c>
      <c r="K88" s="2">
        <v>5</v>
      </c>
      <c r="L88" s="2" t="s">
        <v>37</v>
      </c>
      <c r="M88" s="2" t="s">
        <v>29</v>
      </c>
      <c r="N88" s="2">
        <v>3215.15</v>
      </c>
    </row>
    <row r="89" spans="1:14" ht="15" x14ac:dyDescent="0.25">
      <c r="A89" s="2" t="s">
        <v>381</v>
      </c>
      <c r="B89" s="3">
        <v>45575</v>
      </c>
      <c r="C89" s="2" t="s">
        <v>382</v>
      </c>
      <c r="D89" s="2" t="s">
        <v>32</v>
      </c>
      <c r="E89" s="2">
        <v>3</v>
      </c>
      <c r="F89" s="2">
        <v>225.11</v>
      </c>
      <c r="G89" s="2" t="s">
        <v>383</v>
      </c>
      <c r="H89" s="2" t="s">
        <v>65</v>
      </c>
      <c r="I89" s="2" t="s">
        <v>19</v>
      </c>
      <c r="J89" s="2" t="s">
        <v>384</v>
      </c>
      <c r="K89" s="2">
        <v>4</v>
      </c>
      <c r="L89" s="2" t="s">
        <v>21</v>
      </c>
      <c r="M89" s="2" t="s">
        <v>45</v>
      </c>
      <c r="N89" s="2">
        <v>675.33</v>
      </c>
    </row>
    <row r="90" spans="1:14" ht="15" x14ac:dyDescent="0.25">
      <c r="A90" s="2" t="s">
        <v>385</v>
      </c>
      <c r="B90" s="3">
        <v>45813</v>
      </c>
      <c r="C90" s="2" t="s">
        <v>386</v>
      </c>
      <c r="D90" s="2" t="s">
        <v>73</v>
      </c>
      <c r="E90" s="2">
        <v>3</v>
      </c>
      <c r="F90" s="2">
        <v>114.81</v>
      </c>
      <c r="G90" s="2" t="s">
        <v>387</v>
      </c>
      <c r="H90" s="2" t="s">
        <v>60</v>
      </c>
      <c r="I90" s="2" t="s">
        <v>35</v>
      </c>
      <c r="J90" s="2" t="s">
        <v>388</v>
      </c>
      <c r="K90" s="2">
        <v>7</v>
      </c>
      <c r="M90" s="2" t="s">
        <v>76</v>
      </c>
      <c r="N90" s="2">
        <v>344.43</v>
      </c>
    </row>
    <row r="91" spans="1:14" ht="15" x14ac:dyDescent="0.25">
      <c r="A91" s="2" t="s">
        <v>389</v>
      </c>
      <c r="B91" s="3">
        <v>45713</v>
      </c>
      <c r="C91" s="2" t="s">
        <v>390</v>
      </c>
      <c r="D91" s="2" t="s">
        <v>48</v>
      </c>
      <c r="E91" s="2">
        <v>5</v>
      </c>
      <c r="F91" s="2">
        <v>455.33</v>
      </c>
      <c r="G91" s="2" t="s">
        <v>391</v>
      </c>
      <c r="H91" s="2" t="s">
        <v>34</v>
      </c>
      <c r="I91" s="2" t="s">
        <v>35</v>
      </c>
      <c r="J91" s="2" t="s">
        <v>392</v>
      </c>
      <c r="K91" s="2">
        <v>8</v>
      </c>
      <c r="L91" s="2" t="s">
        <v>37</v>
      </c>
      <c r="M91" s="2" t="s">
        <v>76</v>
      </c>
      <c r="N91" s="2">
        <v>2276.65</v>
      </c>
    </row>
    <row r="92" spans="1:14" ht="15" x14ac:dyDescent="0.25">
      <c r="A92" s="2" t="s">
        <v>393</v>
      </c>
      <c r="B92" s="3">
        <v>45187</v>
      </c>
      <c r="C92" s="2" t="s">
        <v>394</v>
      </c>
      <c r="D92" s="2" t="s">
        <v>41</v>
      </c>
      <c r="E92" s="2">
        <v>4</v>
      </c>
      <c r="F92" s="2">
        <v>182.08</v>
      </c>
      <c r="G92" s="2" t="s">
        <v>395</v>
      </c>
      <c r="H92" s="2" t="s">
        <v>60</v>
      </c>
      <c r="I92" s="2" t="s">
        <v>50</v>
      </c>
      <c r="J92" s="2" t="s">
        <v>396</v>
      </c>
      <c r="K92" s="2">
        <v>4</v>
      </c>
      <c r="L92" s="2" t="s">
        <v>21</v>
      </c>
      <c r="M92" s="2" t="s">
        <v>38</v>
      </c>
      <c r="N92" s="2">
        <v>728.32</v>
      </c>
    </row>
    <row r="93" spans="1:14" ht="15" x14ac:dyDescent="0.25">
      <c r="A93" s="2" t="s">
        <v>397</v>
      </c>
      <c r="B93" s="3">
        <v>45000</v>
      </c>
      <c r="C93" s="2" t="s">
        <v>398</v>
      </c>
      <c r="D93" s="2" t="s">
        <v>58</v>
      </c>
      <c r="E93" s="2">
        <v>5</v>
      </c>
      <c r="F93" s="2">
        <v>492.75</v>
      </c>
      <c r="G93" s="2" t="s">
        <v>399</v>
      </c>
      <c r="H93" s="2" t="s">
        <v>65</v>
      </c>
      <c r="I93" s="2" t="s">
        <v>19</v>
      </c>
      <c r="J93" s="2" t="s">
        <v>400</v>
      </c>
      <c r="K93" s="2">
        <v>6</v>
      </c>
      <c r="L93" s="2" t="s">
        <v>81</v>
      </c>
      <c r="M93" s="2" t="s">
        <v>29</v>
      </c>
      <c r="N93" s="2">
        <v>2463.75</v>
      </c>
    </row>
    <row r="94" spans="1:14" ht="15" x14ac:dyDescent="0.25">
      <c r="A94" s="2" t="s">
        <v>401</v>
      </c>
      <c r="B94" s="3">
        <v>45453</v>
      </c>
      <c r="C94" s="2" t="s">
        <v>402</v>
      </c>
      <c r="D94" s="2" t="s">
        <v>48</v>
      </c>
      <c r="E94" s="2">
        <v>4</v>
      </c>
      <c r="F94" s="2">
        <v>48.61</v>
      </c>
      <c r="G94" s="2" t="s">
        <v>403</v>
      </c>
      <c r="H94" s="2" t="s">
        <v>27</v>
      </c>
      <c r="I94" s="2" t="s">
        <v>19</v>
      </c>
      <c r="J94" s="2" t="s">
        <v>404</v>
      </c>
      <c r="K94" s="2">
        <v>7</v>
      </c>
      <c r="L94" s="2" t="s">
        <v>37</v>
      </c>
      <c r="M94" s="2" t="s">
        <v>45</v>
      </c>
      <c r="N94" s="2">
        <v>194.44</v>
      </c>
    </row>
    <row r="95" spans="1:14" ht="15" x14ac:dyDescent="0.25">
      <c r="A95" s="2" t="s">
        <v>405</v>
      </c>
      <c r="B95" s="3">
        <v>44940</v>
      </c>
      <c r="C95" s="2" t="s">
        <v>406</v>
      </c>
      <c r="D95" s="2" t="s">
        <v>73</v>
      </c>
      <c r="E95" s="2">
        <v>4</v>
      </c>
      <c r="F95" s="2">
        <v>431.01</v>
      </c>
      <c r="G95" s="2" t="s">
        <v>407</v>
      </c>
      <c r="H95" s="2" t="s">
        <v>34</v>
      </c>
      <c r="I95" s="2" t="s">
        <v>43</v>
      </c>
      <c r="J95" s="2" t="s">
        <v>408</v>
      </c>
      <c r="K95" s="2">
        <v>7</v>
      </c>
      <c r="M95" s="2" t="s">
        <v>29</v>
      </c>
      <c r="N95" s="2">
        <v>1724.04</v>
      </c>
    </row>
    <row r="96" spans="1:14" ht="15" x14ac:dyDescent="0.25">
      <c r="A96" s="2" t="s">
        <v>409</v>
      </c>
      <c r="B96" s="3">
        <v>44968</v>
      </c>
      <c r="C96" s="2" t="s">
        <v>410</v>
      </c>
      <c r="D96" s="2" t="s">
        <v>41</v>
      </c>
      <c r="E96" s="2">
        <v>1</v>
      </c>
      <c r="F96" s="2">
        <v>531.17999999999995</v>
      </c>
      <c r="G96" s="2" t="s">
        <v>411</v>
      </c>
      <c r="H96" s="2" t="s">
        <v>60</v>
      </c>
      <c r="I96" s="2" t="s">
        <v>43</v>
      </c>
      <c r="J96" s="2" t="s">
        <v>412</v>
      </c>
      <c r="K96" s="2">
        <v>6</v>
      </c>
      <c r="L96" s="2" t="s">
        <v>81</v>
      </c>
      <c r="M96" s="2" t="s">
        <v>22</v>
      </c>
      <c r="N96" s="2">
        <v>531.17999999999995</v>
      </c>
    </row>
    <row r="97" spans="1:14" ht="15" x14ac:dyDescent="0.25">
      <c r="A97" s="2" t="s">
        <v>413</v>
      </c>
      <c r="B97" s="3">
        <v>45009</v>
      </c>
      <c r="C97" s="2" t="s">
        <v>414</v>
      </c>
      <c r="D97" s="2" t="s">
        <v>48</v>
      </c>
      <c r="E97" s="2">
        <v>4</v>
      </c>
      <c r="F97" s="2">
        <v>117.51</v>
      </c>
      <c r="G97" s="2" t="s">
        <v>415</v>
      </c>
      <c r="H97" s="2" t="s">
        <v>18</v>
      </c>
      <c r="I97" s="2" t="s">
        <v>43</v>
      </c>
      <c r="J97" s="2" t="s">
        <v>416</v>
      </c>
      <c r="K97" s="2">
        <v>7</v>
      </c>
      <c r="M97" s="2" t="s">
        <v>29</v>
      </c>
      <c r="N97" s="2">
        <v>470.04</v>
      </c>
    </row>
    <row r="98" spans="1:14" ht="15" x14ac:dyDescent="0.25">
      <c r="A98" s="2" t="s">
        <v>417</v>
      </c>
      <c r="B98" s="3">
        <v>45444</v>
      </c>
      <c r="C98" s="2" t="s">
        <v>418</v>
      </c>
      <c r="D98" s="2" t="s">
        <v>25</v>
      </c>
      <c r="E98" s="2">
        <v>2</v>
      </c>
      <c r="F98" s="2">
        <v>232.83</v>
      </c>
      <c r="G98" s="2" t="s">
        <v>351</v>
      </c>
      <c r="H98" s="2" t="s">
        <v>60</v>
      </c>
      <c r="I98" s="2" t="s">
        <v>50</v>
      </c>
      <c r="J98" s="2" t="s">
        <v>419</v>
      </c>
      <c r="K98" s="2">
        <v>7</v>
      </c>
      <c r="M98" s="2" t="s">
        <v>22</v>
      </c>
      <c r="N98" s="2">
        <v>465.66</v>
      </c>
    </row>
    <row r="99" spans="1:14" ht="15" x14ac:dyDescent="0.25">
      <c r="A99" s="2" t="s">
        <v>420</v>
      </c>
      <c r="B99" s="3">
        <v>45678</v>
      </c>
      <c r="C99" s="2" t="s">
        <v>421</v>
      </c>
      <c r="D99" s="2" t="s">
        <v>32</v>
      </c>
      <c r="E99" s="2">
        <v>5</v>
      </c>
      <c r="F99" s="2">
        <v>619.52</v>
      </c>
      <c r="G99" s="2" t="s">
        <v>422</v>
      </c>
      <c r="H99" s="2" t="s">
        <v>18</v>
      </c>
      <c r="I99" s="2" t="s">
        <v>89</v>
      </c>
      <c r="J99" s="2" t="s">
        <v>423</v>
      </c>
      <c r="K99" s="2">
        <v>9</v>
      </c>
      <c r="M99" s="2" t="s">
        <v>38</v>
      </c>
      <c r="N99" s="2">
        <v>3097.6</v>
      </c>
    </row>
    <row r="100" spans="1:14" ht="15" x14ac:dyDescent="0.25">
      <c r="A100" s="2" t="s">
        <v>424</v>
      </c>
      <c r="B100" s="3">
        <v>44940</v>
      </c>
      <c r="C100" s="2" t="s">
        <v>425</v>
      </c>
      <c r="D100" s="2" t="s">
        <v>48</v>
      </c>
      <c r="E100" s="2">
        <v>2</v>
      </c>
      <c r="F100" s="2">
        <v>228.54</v>
      </c>
      <c r="G100" s="2" t="s">
        <v>426</v>
      </c>
      <c r="H100" s="2" t="s">
        <v>18</v>
      </c>
      <c r="I100" s="2" t="s">
        <v>89</v>
      </c>
      <c r="J100" s="2" t="s">
        <v>427</v>
      </c>
      <c r="K100" s="2">
        <v>3</v>
      </c>
      <c r="M100" s="2" t="s">
        <v>38</v>
      </c>
      <c r="N100" s="2">
        <v>457.08</v>
      </c>
    </row>
    <row r="101" spans="1:14" ht="15" x14ac:dyDescent="0.25">
      <c r="A101" s="2" t="s">
        <v>428</v>
      </c>
      <c r="B101" s="3">
        <v>45759</v>
      </c>
      <c r="C101" s="2" t="s">
        <v>429</v>
      </c>
      <c r="D101" s="2" t="s">
        <v>48</v>
      </c>
      <c r="E101" s="2">
        <v>1</v>
      </c>
      <c r="F101" s="2">
        <v>201.58</v>
      </c>
      <c r="G101" s="2" t="s">
        <v>430</v>
      </c>
      <c r="H101" s="2" t="s">
        <v>18</v>
      </c>
      <c r="I101" s="2" t="s">
        <v>35</v>
      </c>
      <c r="J101" s="2" t="s">
        <v>431</v>
      </c>
      <c r="K101" s="2">
        <v>2</v>
      </c>
      <c r="L101" s="2" t="s">
        <v>81</v>
      </c>
      <c r="M101" s="2" t="s">
        <v>38</v>
      </c>
      <c r="N101" s="2">
        <v>201.58</v>
      </c>
    </row>
    <row r="102" spans="1:14" ht="15" x14ac:dyDescent="0.25">
      <c r="A102" s="2" t="s">
        <v>432</v>
      </c>
      <c r="B102" s="3">
        <v>44974</v>
      </c>
      <c r="C102" s="2" t="s">
        <v>433</v>
      </c>
      <c r="D102" s="2" t="s">
        <v>25</v>
      </c>
      <c r="E102" s="2">
        <v>3</v>
      </c>
      <c r="F102" s="2">
        <v>664.79</v>
      </c>
      <c r="G102" s="2" t="s">
        <v>434</v>
      </c>
      <c r="H102" s="2" t="s">
        <v>27</v>
      </c>
      <c r="I102" s="2" t="s">
        <v>50</v>
      </c>
      <c r="J102" s="2" t="s">
        <v>435</v>
      </c>
      <c r="K102" s="2">
        <v>6</v>
      </c>
      <c r="M102" s="2" t="s">
        <v>45</v>
      </c>
      <c r="N102" s="2">
        <v>1994.37</v>
      </c>
    </row>
    <row r="103" spans="1:14" ht="15" x14ac:dyDescent="0.25">
      <c r="A103" s="2" t="s">
        <v>436</v>
      </c>
      <c r="B103" s="3">
        <v>45255</v>
      </c>
      <c r="C103" s="2" t="s">
        <v>437</v>
      </c>
      <c r="D103" s="2" t="s">
        <v>48</v>
      </c>
      <c r="E103" s="2">
        <v>1</v>
      </c>
      <c r="F103" s="2">
        <v>381.02</v>
      </c>
      <c r="G103" s="2" t="s">
        <v>438</v>
      </c>
      <c r="H103" s="2" t="s">
        <v>65</v>
      </c>
      <c r="I103" s="2" t="s">
        <v>19</v>
      </c>
      <c r="J103" s="2" t="s">
        <v>439</v>
      </c>
      <c r="K103" s="2">
        <v>6</v>
      </c>
      <c r="M103" s="2" t="s">
        <v>76</v>
      </c>
      <c r="N103" s="2">
        <v>381.02</v>
      </c>
    </row>
    <row r="104" spans="1:14" ht="15" x14ac:dyDescent="0.25">
      <c r="A104" s="2" t="s">
        <v>440</v>
      </c>
      <c r="B104" s="3">
        <v>44993</v>
      </c>
      <c r="C104" s="2" t="s">
        <v>441</v>
      </c>
      <c r="D104" s="2" t="s">
        <v>58</v>
      </c>
      <c r="E104" s="2">
        <v>2</v>
      </c>
      <c r="F104" s="2">
        <v>70.34</v>
      </c>
      <c r="G104" s="2" t="s">
        <v>442</v>
      </c>
      <c r="H104" s="2" t="s">
        <v>60</v>
      </c>
      <c r="I104" s="2" t="s">
        <v>35</v>
      </c>
      <c r="J104" s="2" t="s">
        <v>443</v>
      </c>
      <c r="K104" s="2">
        <v>3</v>
      </c>
      <c r="L104" s="2" t="s">
        <v>37</v>
      </c>
      <c r="M104" s="2" t="s">
        <v>38</v>
      </c>
      <c r="N104" s="2">
        <v>140.68</v>
      </c>
    </row>
    <row r="105" spans="1:14" ht="15" x14ac:dyDescent="0.25">
      <c r="A105" s="2" t="s">
        <v>444</v>
      </c>
      <c r="B105" s="3">
        <v>45682</v>
      </c>
      <c r="C105" s="2" t="s">
        <v>445</v>
      </c>
      <c r="D105" s="2" t="s">
        <v>25</v>
      </c>
      <c r="E105" s="2">
        <v>4</v>
      </c>
      <c r="F105" s="2">
        <v>218.43</v>
      </c>
      <c r="G105" s="2" t="s">
        <v>446</v>
      </c>
      <c r="H105" s="2" t="s">
        <v>34</v>
      </c>
      <c r="I105" s="2" t="s">
        <v>35</v>
      </c>
      <c r="J105" s="2" t="s">
        <v>447</v>
      </c>
      <c r="K105" s="2">
        <v>9</v>
      </c>
      <c r="L105" s="2" t="s">
        <v>21</v>
      </c>
      <c r="M105" s="2" t="s">
        <v>38</v>
      </c>
      <c r="N105" s="2">
        <v>873.72</v>
      </c>
    </row>
    <row r="106" spans="1:14" ht="15" x14ac:dyDescent="0.25">
      <c r="A106" s="2" t="s">
        <v>448</v>
      </c>
      <c r="B106" s="3">
        <v>45503</v>
      </c>
      <c r="C106" s="2" t="s">
        <v>449</v>
      </c>
      <c r="D106" s="2" t="s">
        <v>25</v>
      </c>
      <c r="E106" s="2">
        <v>1</v>
      </c>
      <c r="F106" s="2">
        <v>582.04</v>
      </c>
      <c r="G106" s="2" t="s">
        <v>450</v>
      </c>
      <c r="H106" s="2" t="s">
        <v>60</v>
      </c>
      <c r="I106" s="2" t="s">
        <v>50</v>
      </c>
      <c r="J106" s="2" t="s">
        <v>451</v>
      </c>
      <c r="K106" s="2">
        <v>1</v>
      </c>
      <c r="L106" s="2" t="s">
        <v>37</v>
      </c>
      <c r="M106" s="2" t="s">
        <v>38</v>
      </c>
      <c r="N106" s="2">
        <v>582.04</v>
      </c>
    </row>
    <row r="107" spans="1:14" ht="15" x14ac:dyDescent="0.25">
      <c r="A107" s="2" t="s">
        <v>452</v>
      </c>
      <c r="B107" s="3">
        <v>45589</v>
      </c>
      <c r="C107" s="2" t="s">
        <v>453</v>
      </c>
      <c r="D107" s="2" t="s">
        <v>48</v>
      </c>
      <c r="E107" s="2">
        <v>3</v>
      </c>
      <c r="F107" s="2">
        <v>185.4</v>
      </c>
      <c r="G107" s="2" t="s">
        <v>454</v>
      </c>
      <c r="H107" s="2" t="s">
        <v>60</v>
      </c>
      <c r="I107" s="2" t="s">
        <v>35</v>
      </c>
      <c r="J107" s="2" t="s">
        <v>455</v>
      </c>
      <c r="K107" s="2">
        <v>7</v>
      </c>
      <c r="M107" s="2" t="s">
        <v>45</v>
      </c>
      <c r="N107" s="2">
        <v>556.20000000000005</v>
      </c>
    </row>
    <row r="108" spans="1:14" ht="15" x14ac:dyDescent="0.25">
      <c r="A108" s="2" t="s">
        <v>456</v>
      </c>
      <c r="B108" s="3">
        <v>45177</v>
      </c>
      <c r="C108" s="2" t="s">
        <v>457</v>
      </c>
      <c r="D108" s="2" t="s">
        <v>73</v>
      </c>
      <c r="E108" s="2">
        <v>3</v>
      </c>
      <c r="F108" s="2">
        <v>465.05</v>
      </c>
      <c r="G108" s="2" t="s">
        <v>458</v>
      </c>
      <c r="H108" s="2" t="s">
        <v>34</v>
      </c>
      <c r="I108" s="2" t="s">
        <v>35</v>
      </c>
      <c r="J108" s="2" t="s">
        <v>459</v>
      </c>
      <c r="K108" s="2">
        <v>3</v>
      </c>
      <c r="L108" s="2" t="s">
        <v>21</v>
      </c>
      <c r="M108" s="2" t="s">
        <v>38</v>
      </c>
      <c r="N108" s="2">
        <v>1395.15</v>
      </c>
    </row>
    <row r="109" spans="1:14" ht="15" x14ac:dyDescent="0.25">
      <c r="A109" s="2" t="s">
        <v>460</v>
      </c>
      <c r="B109" s="3">
        <v>45012</v>
      </c>
      <c r="C109" s="2" t="s">
        <v>461</v>
      </c>
      <c r="D109" s="2" t="s">
        <v>48</v>
      </c>
      <c r="E109" s="2">
        <v>5</v>
      </c>
      <c r="F109" s="2">
        <v>670.75</v>
      </c>
      <c r="G109" s="2" t="s">
        <v>462</v>
      </c>
      <c r="H109" s="2" t="s">
        <v>60</v>
      </c>
      <c r="I109" s="2" t="s">
        <v>19</v>
      </c>
      <c r="J109" s="2" t="s">
        <v>463</v>
      </c>
      <c r="K109" s="2">
        <v>8</v>
      </c>
      <c r="L109" s="2" t="s">
        <v>37</v>
      </c>
      <c r="M109" s="2" t="s">
        <v>22</v>
      </c>
      <c r="N109" s="2">
        <v>3353.75</v>
      </c>
    </row>
    <row r="110" spans="1:14" ht="15" x14ac:dyDescent="0.25">
      <c r="A110" s="2" t="s">
        <v>464</v>
      </c>
      <c r="B110" s="3">
        <v>45654</v>
      </c>
      <c r="C110" s="2" t="s">
        <v>465</v>
      </c>
      <c r="D110" s="2" t="s">
        <v>58</v>
      </c>
      <c r="E110" s="2">
        <v>5</v>
      </c>
      <c r="F110" s="2">
        <v>48.38</v>
      </c>
      <c r="G110" s="2" t="s">
        <v>466</v>
      </c>
      <c r="H110" s="2" t="s">
        <v>60</v>
      </c>
      <c r="I110" s="2" t="s">
        <v>50</v>
      </c>
      <c r="J110" s="2" t="s">
        <v>467</v>
      </c>
      <c r="K110" s="2">
        <v>9</v>
      </c>
      <c r="L110" s="2" t="s">
        <v>81</v>
      </c>
      <c r="M110" s="2" t="s">
        <v>38</v>
      </c>
      <c r="N110" s="2">
        <v>241.9</v>
      </c>
    </row>
    <row r="111" spans="1:14" ht="15" x14ac:dyDescent="0.25">
      <c r="A111" s="2" t="s">
        <v>468</v>
      </c>
      <c r="B111" s="3">
        <v>45186</v>
      </c>
      <c r="C111" s="2" t="s">
        <v>469</v>
      </c>
      <c r="D111" s="2" t="s">
        <v>73</v>
      </c>
      <c r="E111" s="2">
        <v>3</v>
      </c>
      <c r="F111" s="2">
        <v>592.87</v>
      </c>
      <c r="G111" s="2" t="s">
        <v>470</v>
      </c>
      <c r="H111" s="2" t="s">
        <v>60</v>
      </c>
      <c r="I111" s="2" t="s">
        <v>19</v>
      </c>
      <c r="J111" s="2" t="s">
        <v>471</v>
      </c>
      <c r="K111" s="2">
        <v>3</v>
      </c>
      <c r="L111" s="2" t="s">
        <v>37</v>
      </c>
      <c r="M111" s="2" t="s">
        <v>29</v>
      </c>
      <c r="N111" s="2">
        <v>1778.61</v>
      </c>
    </row>
    <row r="112" spans="1:14" ht="15" x14ac:dyDescent="0.25">
      <c r="A112" s="2" t="s">
        <v>472</v>
      </c>
      <c r="B112" s="3">
        <v>45403</v>
      </c>
      <c r="C112" s="2" t="s">
        <v>473</v>
      </c>
      <c r="D112" s="2" t="s">
        <v>32</v>
      </c>
      <c r="E112" s="2">
        <v>1</v>
      </c>
      <c r="F112" s="2">
        <v>220.77</v>
      </c>
      <c r="G112" s="2" t="s">
        <v>474</v>
      </c>
      <c r="H112" s="2" t="s">
        <v>60</v>
      </c>
      <c r="I112" s="2" t="s">
        <v>89</v>
      </c>
      <c r="J112" s="2" t="s">
        <v>475</v>
      </c>
      <c r="K112" s="2">
        <v>5</v>
      </c>
      <c r="L112" s="2" t="s">
        <v>37</v>
      </c>
      <c r="M112" s="2" t="s">
        <v>22</v>
      </c>
      <c r="N112" s="2">
        <v>220.77</v>
      </c>
    </row>
    <row r="113" spans="1:14" ht="15" x14ac:dyDescent="0.25">
      <c r="A113" s="2" t="s">
        <v>476</v>
      </c>
      <c r="B113" s="3">
        <v>45784</v>
      </c>
      <c r="C113" s="2" t="s">
        <v>477</v>
      </c>
      <c r="D113" s="2" t="s">
        <v>73</v>
      </c>
      <c r="E113" s="2">
        <v>3</v>
      </c>
      <c r="F113" s="2">
        <v>309.22000000000003</v>
      </c>
      <c r="G113" s="2" t="s">
        <v>478</v>
      </c>
      <c r="H113" s="2" t="s">
        <v>27</v>
      </c>
      <c r="I113" s="2" t="s">
        <v>35</v>
      </c>
      <c r="J113" s="2" t="s">
        <v>479</v>
      </c>
      <c r="K113" s="2">
        <v>7</v>
      </c>
      <c r="L113" s="2" t="s">
        <v>37</v>
      </c>
      <c r="M113" s="2" t="s">
        <v>76</v>
      </c>
      <c r="N113" s="2">
        <v>927.66000000000008</v>
      </c>
    </row>
    <row r="114" spans="1:14" ht="15" x14ac:dyDescent="0.25">
      <c r="A114" s="2" t="s">
        <v>480</v>
      </c>
      <c r="B114" s="3">
        <v>44927</v>
      </c>
      <c r="C114" s="2" t="s">
        <v>481</v>
      </c>
      <c r="D114" s="2" t="s">
        <v>16</v>
      </c>
      <c r="E114" s="2">
        <v>1</v>
      </c>
      <c r="F114" s="2">
        <v>410.6</v>
      </c>
      <c r="G114" s="2" t="s">
        <v>482</v>
      </c>
      <c r="H114" s="2" t="s">
        <v>27</v>
      </c>
      <c r="I114" s="2" t="s">
        <v>35</v>
      </c>
      <c r="J114" s="2" t="s">
        <v>483</v>
      </c>
      <c r="K114" s="2">
        <v>2</v>
      </c>
      <c r="L114" s="2" t="s">
        <v>81</v>
      </c>
      <c r="M114" s="2" t="s">
        <v>29</v>
      </c>
      <c r="N114" s="2">
        <v>410.6</v>
      </c>
    </row>
    <row r="115" spans="1:14" ht="15" x14ac:dyDescent="0.25">
      <c r="A115" s="2" t="s">
        <v>484</v>
      </c>
      <c r="B115" s="3">
        <v>45308</v>
      </c>
      <c r="C115" s="2" t="s">
        <v>485</v>
      </c>
      <c r="D115" s="2" t="s">
        <v>58</v>
      </c>
      <c r="E115" s="2">
        <v>5</v>
      </c>
      <c r="F115" s="2">
        <v>190.08</v>
      </c>
      <c r="G115" s="2" t="s">
        <v>486</v>
      </c>
      <c r="H115" s="2" t="s">
        <v>65</v>
      </c>
      <c r="I115" s="2" t="s">
        <v>19</v>
      </c>
      <c r="J115" s="2" t="s">
        <v>487</v>
      </c>
      <c r="K115" s="2">
        <v>9</v>
      </c>
      <c r="L115" s="2" t="s">
        <v>37</v>
      </c>
      <c r="M115" s="2" t="s">
        <v>22</v>
      </c>
      <c r="N115" s="2">
        <v>950.40000000000009</v>
      </c>
    </row>
    <row r="116" spans="1:14" ht="15" x14ac:dyDescent="0.25">
      <c r="A116" s="2" t="s">
        <v>488</v>
      </c>
      <c r="B116" s="3">
        <v>45684</v>
      </c>
      <c r="C116" s="2" t="s">
        <v>489</v>
      </c>
      <c r="D116" s="2" t="s">
        <v>16</v>
      </c>
      <c r="E116" s="2">
        <v>5</v>
      </c>
      <c r="F116" s="2">
        <v>498.48</v>
      </c>
      <c r="G116" s="2" t="s">
        <v>490</v>
      </c>
      <c r="H116" s="2" t="s">
        <v>27</v>
      </c>
      <c r="I116" s="2" t="s">
        <v>89</v>
      </c>
      <c r="J116" s="2" t="s">
        <v>491</v>
      </c>
      <c r="K116" s="2">
        <v>8</v>
      </c>
      <c r="L116" s="2" t="s">
        <v>21</v>
      </c>
      <c r="M116" s="2" t="s">
        <v>76</v>
      </c>
      <c r="N116" s="2">
        <v>2492.4</v>
      </c>
    </row>
    <row r="117" spans="1:14" ht="15" x14ac:dyDescent="0.25">
      <c r="A117" s="2" t="s">
        <v>492</v>
      </c>
      <c r="B117" s="3">
        <v>45257</v>
      </c>
      <c r="C117" s="2" t="s">
        <v>493</v>
      </c>
      <c r="D117" s="2" t="s">
        <v>25</v>
      </c>
      <c r="E117" s="2">
        <v>5</v>
      </c>
      <c r="F117" s="2">
        <v>374.99</v>
      </c>
      <c r="G117" s="2" t="s">
        <v>494</v>
      </c>
      <c r="H117" s="2" t="s">
        <v>27</v>
      </c>
      <c r="I117" s="2" t="s">
        <v>19</v>
      </c>
      <c r="J117" s="2" t="s">
        <v>495</v>
      </c>
      <c r="K117" s="2">
        <v>9</v>
      </c>
      <c r="L117" s="2" t="s">
        <v>21</v>
      </c>
      <c r="M117" s="2" t="s">
        <v>45</v>
      </c>
      <c r="N117" s="2">
        <v>1874.95</v>
      </c>
    </row>
    <row r="118" spans="1:14" ht="15" x14ac:dyDescent="0.25">
      <c r="A118" s="2" t="s">
        <v>496</v>
      </c>
      <c r="B118" s="3">
        <v>45004</v>
      </c>
      <c r="C118" s="2" t="s">
        <v>497</v>
      </c>
      <c r="D118" s="2" t="s">
        <v>48</v>
      </c>
      <c r="E118" s="2">
        <v>4</v>
      </c>
      <c r="F118" s="2">
        <v>291.35000000000002</v>
      </c>
      <c r="G118" s="2" t="s">
        <v>498</v>
      </c>
      <c r="H118" s="2" t="s">
        <v>34</v>
      </c>
      <c r="I118" s="2" t="s">
        <v>35</v>
      </c>
      <c r="J118" s="2" t="s">
        <v>499</v>
      </c>
      <c r="K118" s="2">
        <v>6</v>
      </c>
      <c r="L118" s="2" t="s">
        <v>81</v>
      </c>
      <c r="M118" s="2" t="s">
        <v>45</v>
      </c>
      <c r="N118" s="2">
        <v>1165.4000000000001</v>
      </c>
    </row>
    <row r="119" spans="1:14" ht="15" x14ac:dyDescent="0.25">
      <c r="A119" s="2" t="s">
        <v>500</v>
      </c>
      <c r="B119" s="3">
        <v>44993</v>
      </c>
      <c r="C119" s="2" t="s">
        <v>501</v>
      </c>
      <c r="D119" s="2" t="s">
        <v>32</v>
      </c>
      <c r="E119" s="2">
        <v>1</v>
      </c>
      <c r="F119" s="2">
        <v>535.5</v>
      </c>
      <c r="G119" s="2" t="s">
        <v>502</v>
      </c>
      <c r="H119" s="2" t="s">
        <v>60</v>
      </c>
      <c r="I119" s="2" t="s">
        <v>35</v>
      </c>
      <c r="J119" s="2" t="s">
        <v>503</v>
      </c>
      <c r="K119" s="2">
        <v>5</v>
      </c>
      <c r="L119" s="2" t="s">
        <v>81</v>
      </c>
      <c r="M119" s="2" t="s">
        <v>29</v>
      </c>
      <c r="N119" s="2">
        <v>535.5</v>
      </c>
    </row>
    <row r="120" spans="1:14" ht="15" x14ac:dyDescent="0.25">
      <c r="A120" s="2" t="s">
        <v>504</v>
      </c>
      <c r="B120" s="3">
        <v>45208</v>
      </c>
      <c r="C120" s="2" t="s">
        <v>505</v>
      </c>
      <c r="D120" s="2" t="s">
        <v>48</v>
      </c>
      <c r="E120" s="2">
        <v>5</v>
      </c>
      <c r="F120" s="2">
        <v>502.71</v>
      </c>
      <c r="G120" s="2" t="s">
        <v>506</v>
      </c>
      <c r="H120" s="2" t="s">
        <v>60</v>
      </c>
      <c r="I120" s="2" t="s">
        <v>19</v>
      </c>
      <c r="J120" s="2" t="s">
        <v>507</v>
      </c>
      <c r="K120" s="2">
        <v>7</v>
      </c>
      <c r="L120" s="2" t="s">
        <v>37</v>
      </c>
      <c r="M120" s="2" t="s">
        <v>76</v>
      </c>
      <c r="N120" s="2">
        <v>2513.5500000000002</v>
      </c>
    </row>
    <row r="121" spans="1:14" ht="15" x14ac:dyDescent="0.25">
      <c r="A121" s="2" t="s">
        <v>508</v>
      </c>
      <c r="B121" s="3">
        <v>45819</v>
      </c>
      <c r="C121" s="2" t="s">
        <v>509</v>
      </c>
      <c r="D121" s="2" t="s">
        <v>73</v>
      </c>
      <c r="E121" s="2">
        <v>2</v>
      </c>
      <c r="F121" s="2">
        <v>534.66999999999996</v>
      </c>
      <c r="G121" s="2" t="s">
        <v>510</v>
      </c>
      <c r="H121" s="2" t="s">
        <v>18</v>
      </c>
      <c r="I121" s="2" t="s">
        <v>19</v>
      </c>
      <c r="J121" s="2" t="s">
        <v>511</v>
      </c>
      <c r="K121" s="2">
        <v>7</v>
      </c>
      <c r="L121" s="2" t="s">
        <v>37</v>
      </c>
      <c r="M121" s="2" t="s">
        <v>29</v>
      </c>
      <c r="N121" s="2">
        <v>1069.3399999999999</v>
      </c>
    </row>
    <row r="122" spans="1:14" ht="15" x14ac:dyDescent="0.25">
      <c r="A122" s="2" t="s">
        <v>512</v>
      </c>
      <c r="B122" s="3">
        <v>45027</v>
      </c>
      <c r="C122" s="2" t="s">
        <v>513</v>
      </c>
      <c r="D122" s="2" t="s">
        <v>32</v>
      </c>
      <c r="E122" s="2">
        <v>4</v>
      </c>
      <c r="F122" s="2">
        <v>629.34</v>
      </c>
      <c r="G122" s="2" t="s">
        <v>59</v>
      </c>
      <c r="H122" s="2" t="s">
        <v>65</v>
      </c>
      <c r="I122" s="2" t="s">
        <v>35</v>
      </c>
      <c r="J122" s="2" t="s">
        <v>514</v>
      </c>
      <c r="K122" s="2">
        <v>4</v>
      </c>
      <c r="L122" s="2" t="s">
        <v>81</v>
      </c>
      <c r="M122" s="2" t="s">
        <v>22</v>
      </c>
      <c r="N122" s="2">
        <v>2517.36</v>
      </c>
    </row>
    <row r="123" spans="1:14" ht="15" x14ac:dyDescent="0.25">
      <c r="A123" s="2" t="s">
        <v>515</v>
      </c>
      <c r="B123" s="3">
        <v>45260</v>
      </c>
      <c r="C123" s="2" t="s">
        <v>516</v>
      </c>
      <c r="D123" s="2" t="s">
        <v>73</v>
      </c>
      <c r="E123" s="2">
        <v>1</v>
      </c>
      <c r="F123" s="2">
        <v>410.78</v>
      </c>
      <c r="G123" s="2" t="s">
        <v>517</v>
      </c>
      <c r="H123" s="2" t="s">
        <v>65</v>
      </c>
      <c r="I123" s="2" t="s">
        <v>35</v>
      </c>
      <c r="J123" s="2" t="s">
        <v>518</v>
      </c>
      <c r="K123" s="2">
        <v>1</v>
      </c>
      <c r="L123" s="2" t="s">
        <v>37</v>
      </c>
      <c r="M123" s="2" t="s">
        <v>22</v>
      </c>
      <c r="N123" s="2">
        <v>410.78</v>
      </c>
    </row>
    <row r="124" spans="1:14" ht="15" x14ac:dyDescent="0.25">
      <c r="A124" s="2" t="s">
        <v>519</v>
      </c>
      <c r="B124" s="3">
        <v>45397</v>
      </c>
      <c r="C124" s="2" t="s">
        <v>520</v>
      </c>
      <c r="D124" s="2" t="s">
        <v>58</v>
      </c>
      <c r="E124" s="2">
        <v>2</v>
      </c>
      <c r="F124" s="2">
        <v>533.02</v>
      </c>
      <c r="G124" s="2" t="s">
        <v>521</v>
      </c>
      <c r="H124" s="2" t="s">
        <v>60</v>
      </c>
      <c r="I124" s="2" t="s">
        <v>19</v>
      </c>
      <c r="J124" s="2" t="s">
        <v>522</v>
      </c>
      <c r="K124" s="2">
        <v>2</v>
      </c>
      <c r="M124" s="2" t="s">
        <v>45</v>
      </c>
      <c r="N124" s="2">
        <v>1066.04</v>
      </c>
    </row>
    <row r="125" spans="1:14" ht="15" x14ac:dyDescent="0.25">
      <c r="A125" s="2" t="s">
        <v>523</v>
      </c>
      <c r="B125" s="3">
        <v>45113</v>
      </c>
      <c r="C125" s="2" t="s">
        <v>524</v>
      </c>
      <c r="D125" s="2" t="s">
        <v>73</v>
      </c>
      <c r="E125" s="2">
        <v>3</v>
      </c>
      <c r="F125" s="2">
        <v>278.04000000000002</v>
      </c>
      <c r="G125" s="2" t="s">
        <v>525</v>
      </c>
      <c r="H125" s="2" t="s">
        <v>27</v>
      </c>
      <c r="I125" s="2" t="s">
        <v>50</v>
      </c>
      <c r="J125" s="2" t="s">
        <v>526</v>
      </c>
      <c r="K125" s="2">
        <v>5</v>
      </c>
      <c r="M125" s="2" t="s">
        <v>22</v>
      </c>
      <c r="N125" s="2">
        <v>834.12000000000012</v>
      </c>
    </row>
    <row r="126" spans="1:14" ht="15" x14ac:dyDescent="0.25">
      <c r="A126" s="2" t="s">
        <v>527</v>
      </c>
      <c r="B126" s="3">
        <v>45501</v>
      </c>
      <c r="C126" s="2" t="s">
        <v>528</v>
      </c>
      <c r="D126" s="2" t="s">
        <v>48</v>
      </c>
      <c r="E126" s="2">
        <v>4</v>
      </c>
      <c r="F126" s="2">
        <v>283.79000000000002</v>
      </c>
      <c r="G126" s="2" t="s">
        <v>529</v>
      </c>
      <c r="H126" s="2" t="s">
        <v>27</v>
      </c>
      <c r="I126" s="2" t="s">
        <v>89</v>
      </c>
      <c r="J126" s="2" t="s">
        <v>530</v>
      </c>
      <c r="K126" s="2">
        <v>8</v>
      </c>
      <c r="M126" s="2" t="s">
        <v>76</v>
      </c>
      <c r="N126" s="2">
        <v>1135.1600000000001</v>
      </c>
    </row>
    <row r="127" spans="1:14" ht="15" x14ac:dyDescent="0.25">
      <c r="A127" s="2" t="s">
        <v>531</v>
      </c>
      <c r="B127" s="3">
        <v>45602</v>
      </c>
      <c r="C127" s="2" t="s">
        <v>532</v>
      </c>
      <c r="D127" s="2" t="s">
        <v>25</v>
      </c>
      <c r="E127" s="2">
        <v>2</v>
      </c>
      <c r="F127" s="2">
        <v>512.65</v>
      </c>
      <c r="G127" s="2" t="s">
        <v>533</v>
      </c>
      <c r="H127" s="2" t="s">
        <v>34</v>
      </c>
      <c r="I127" s="2" t="s">
        <v>19</v>
      </c>
      <c r="J127" s="2" t="s">
        <v>534</v>
      </c>
      <c r="K127" s="2">
        <v>5</v>
      </c>
      <c r="L127" s="2" t="s">
        <v>21</v>
      </c>
      <c r="M127" s="2" t="s">
        <v>38</v>
      </c>
      <c r="N127" s="2">
        <v>1025.3</v>
      </c>
    </row>
    <row r="128" spans="1:14" ht="15" x14ac:dyDescent="0.25">
      <c r="A128" s="2" t="s">
        <v>535</v>
      </c>
      <c r="B128" s="3">
        <v>45780</v>
      </c>
      <c r="C128" s="2" t="s">
        <v>536</v>
      </c>
      <c r="D128" s="2" t="s">
        <v>73</v>
      </c>
      <c r="E128" s="2">
        <v>4</v>
      </c>
      <c r="F128" s="2">
        <v>275.5</v>
      </c>
      <c r="G128" s="2" t="s">
        <v>537</v>
      </c>
      <c r="H128" s="2" t="s">
        <v>60</v>
      </c>
      <c r="I128" s="2" t="s">
        <v>19</v>
      </c>
      <c r="J128" s="2" t="s">
        <v>538</v>
      </c>
      <c r="K128" s="2">
        <v>8</v>
      </c>
      <c r="L128" s="2" t="s">
        <v>37</v>
      </c>
      <c r="M128" s="2" t="s">
        <v>76</v>
      </c>
      <c r="N128" s="2">
        <v>1102</v>
      </c>
    </row>
    <row r="129" spans="1:14" ht="15" x14ac:dyDescent="0.25">
      <c r="A129" s="2" t="s">
        <v>539</v>
      </c>
      <c r="B129" s="3">
        <v>45148</v>
      </c>
      <c r="C129" s="2" t="s">
        <v>540</v>
      </c>
      <c r="D129" s="2" t="s">
        <v>73</v>
      </c>
      <c r="E129" s="2">
        <v>3</v>
      </c>
      <c r="F129" s="2">
        <v>469.32</v>
      </c>
      <c r="G129" s="2" t="s">
        <v>541</v>
      </c>
      <c r="H129" s="2" t="s">
        <v>18</v>
      </c>
      <c r="I129" s="2" t="s">
        <v>19</v>
      </c>
      <c r="J129" s="2" t="s">
        <v>542</v>
      </c>
      <c r="K129" s="2">
        <v>3</v>
      </c>
      <c r="M129" s="2" t="s">
        <v>76</v>
      </c>
      <c r="N129" s="2">
        <v>1407.96</v>
      </c>
    </row>
    <row r="130" spans="1:14" ht="15" x14ac:dyDescent="0.25">
      <c r="A130" s="2" t="s">
        <v>543</v>
      </c>
      <c r="B130" s="3">
        <v>44974</v>
      </c>
      <c r="C130" s="2" t="s">
        <v>544</v>
      </c>
      <c r="D130" s="2" t="s">
        <v>32</v>
      </c>
      <c r="E130" s="2">
        <v>4</v>
      </c>
      <c r="F130" s="2">
        <v>21.07</v>
      </c>
      <c r="G130" s="2" t="s">
        <v>545</v>
      </c>
      <c r="H130" s="2" t="s">
        <v>60</v>
      </c>
      <c r="I130" s="2" t="s">
        <v>50</v>
      </c>
      <c r="J130" s="2" t="s">
        <v>546</v>
      </c>
      <c r="K130" s="2">
        <v>4</v>
      </c>
      <c r="L130" s="2" t="s">
        <v>37</v>
      </c>
      <c r="M130" s="2" t="s">
        <v>76</v>
      </c>
      <c r="N130" s="2">
        <v>84.28</v>
      </c>
    </row>
    <row r="131" spans="1:14" ht="15" x14ac:dyDescent="0.25">
      <c r="A131" s="2" t="s">
        <v>547</v>
      </c>
      <c r="B131" s="3">
        <v>45226</v>
      </c>
      <c r="C131" s="2" t="s">
        <v>548</v>
      </c>
      <c r="D131" s="2" t="s">
        <v>58</v>
      </c>
      <c r="E131" s="2">
        <v>4</v>
      </c>
      <c r="F131" s="2">
        <v>263.93</v>
      </c>
      <c r="G131" s="2" t="s">
        <v>549</v>
      </c>
      <c r="H131" s="2" t="s">
        <v>18</v>
      </c>
      <c r="I131" s="2" t="s">
        <v>19</v>
      </c>
      <c r="J131" s="2" t="s">
        <v>550</v>
      </c>
      <c r="K131" s="2">
        <v>4</v>
      </c>
      <c r="L131" s="2" t="s">
        <v>37</v>
      </c>
      <c r="M131" s="2" t="s">
        <v>45</v>
      </c>
      <c r="N131" s="2">
        <v>1055.72</v>
      </c>
    </row>
    <row r="132" spans="1:14" ht="15" x14ac:dyDescent="0.25">
      <c r="A132" s="2" t="s">
        <v>551</v>
      </c>
      <c r="B132" s="3">
        <v>45679</v>
      </c>
      <c r="C132" s="2" t="s">
        <v>552</v>
      </c>
      <c r="D132" s="2" t="s">
        <v>73</v>
      </c>
      <c r="E132" s="2">
        <v>3</v>
      </c>
      <c r="F132" s="2">
        <v>501.3</v>
      </c>
      <c r="G132" s="2" t="s">
        <v>553</v>
      </c>
      <c r="H132" s="2" t="s">
        <v>27</v>
      </c>
      <c r="I132" s="2" t="s">
        <v>35</v>
      </c>
      <c r="J132" s="2" t="s">
        <v>554</v>
      </c>
      <c r="K132" s="2">
        <v>3</v>
      </c>
      <c r="L132" s="2" t="s">
        <v>81</v>
      </c>
      <c r="M132" s="2" t="s">
        <v>45</v>
      </c>
      <c r="N132" s="2">
        <v>1503.9</v>
      </c>
    </row>
    <row r="133" spans="1:14" ht="15" x14ac:dyDescent="0.25">
      <c r="A133" s="2" t="s">
        <v>555</v>
      </c>
      <c r="B133" s="3">
        <v>44934</v>
      </c>
      <c r="C133" s="2" t="s">
        <v>556</v>
      </c>
      <c r="D133" s="2" t="s">
        <v>32</v>
      </c>
      <c r="E133" s="2">
        <v>1</v>
      </c>
      <c r="F133" s="2">
        <v>84.8</v>
      </c>
      <c r="G133" s="2" t="s">
        <v>557</v>
      </c>
      <c r="H133" s="2" t="s">
        <v>60</v>
      </c>
      <c r="I133" s="2" t="s">
        <v>89</v>
      </c>
      <c r="J133" s="2" t="s">
        <v>558</v>
      </c>
      <c r="K133" s="2">
        <v>5</v>
      </c>
      <c r="M133" s="2" t="s">
        <v>22</v>
      </c>
      <c r="N133" s="2">
        <v>84.8</v>
      </c>
    </row>
    <row r="134" spans="1:14" ht="15" x14ac:dyDescent="0.25">
      <c r="A134" s="2" t="s">
        <v>559</v>
      </c>
      <c r="B134" s="3">
        <v>45013</v>
      </c>
      <c r="C134" s="2" t="s">
        <v>560</v>
      </c>
      <c r="D134" s="2" t="s">
        <v>32</v>
      </c>
      <c r="E134" s="2">
        <v>4</v>
      </c>
      <c r="F134" s="2">
        <v>450.75</v>
      </c>
      <c r="G134" s="2" t="s">
        <v>561</v>
      </c>
      <c r="H134" s="2" t="s">
        <v>34</v>
      </c>
      <c r="I134" s="2" t="s">
        <v>19</v>
      </c>
      <c r="J134" s="2" t="s">
        <v>562</v>
      </c>
      <c r="K134" s="2">
        <v>6</v>
      </c>
      <c r="L134" s="2" t="s">
        <v>81</v>
      </c>
      <c r="M134" s="2" t="s">
        <v>38</v>
      </c>
      <c r="N134" s="2">
        <v>1803</v>
      </c>
    </row>
    <row r="135" spans="1:14" ht="15" x14ac:dyDescent="0.25">
      <c r="A135" s="2" t="s">
        <v>563</v>
      </c>
      <c r="B135" s="3">
        <v>45828</v>
      </c>
      <c r="C135" s="2" t="s">
        <v>564</v>
      </c>
      <c r="D135" s="2" t="s">
        <v>41</v>
      </c>
      <c r="E135" s="2">
        <v>4</v>
      </c>
      <c r="F135" s="2">
        <v>302.05</v>
      </c>
      <c r="G135" s="2" t="s">
        <v>565</v>
      </c>
      <c r="H135" s="2" t="s">
        <v>18</v>
      </c>
      <c r="I135" s="2" t="s">
        <v>35</v>
      </c>
      <c r="J135" s="2" t="s">
        <v>566</v>
      </c>
      <c r="K135" s="2">
        <v>6</v>
      </c>
      <c r="L135" s="2" t="s">
        <v>21</v>
      </c>
      <c r="M135" s="2" t="s">
        <v>76</v>
      </c>
      <c r="N135" s="2">
        <v>1208.2</v>
      </c>
    </row>
    <row r="136" spans="1:14" ht="15" x14ac:dyDescent="0.25">
      <c r="A136" s="2" t="s">
        <v>567</v>
      </c>
      <c r="B136" s="3">
        <v>45831</v>
      </c>
      <c r="C136" s="2" t="s">
        <v>568</v>
      </c>
      <c r="D136" s="2" t="s">
        <v>58</v>
      </c>
      <c r="E136" s="2">
        <v>2</v>
      </c>
      <c r="F136" s="2">
        <v>199.7</v>
      </c>
      <c r="G136" s="2" t="s">
        <v>561</v>
      </c>
      <c r="H136" s="2" t="s">
        <v>65</v>
      </c>
      <c r="I136" s="2" t="s">
        <v>89</v>
      </c>
      <c r="J136" s="2" t="s">
        <v>569</v>
      </c>
      <c r="K136" s="2">
        <v>4</v>
      </c>
      <c r="M136" s="2" t="s">
        <v>38</v>
      </c>
      <c r="N136" s="2">
        <v>399.4</v>
      </c>
    </row>
    <row r="137" spans="1:14" ht="15" x14ac:dyDescent="0.25">
      <c r="A137" s="2" t="s">
        <v>570</v>
      </c>
      <c r="B137" s="3">
        <v>45142</v>
      </c>
      <c r="C137" s="2" t="s">
        <v>571</v>
      </c>
      <c r="D137" s="2" t="s">
        <v>48</v>
      </c>
      <c r="E137" s="2">
        <v>2</v>
      </c>
      <c r="F137" s="2">
        <v>68.81</v>
      </c>
      <c r="G137" s="2" t="s">
        <v>572</v>
      </c>
      <c r="H137" s="2" t="s">
        <v>60</v>
      </c>
      <c r="I137" s="2" t="s">
        <v>19</v>
      </c>
      <c r="J137" s="2" t="s">
        <v>573</v>
      </c>
      <c r="K137" s="2">
        <v>5</v>
      </c>
      <c r="L137" s="2" t="s">
        <v>21</v>
      </c>
      <c r="M137" s="2" t="s">
        <v>29</v>
      </c>
      <c r="N137" s="2">
        <v>137.62</v>
      </c>
    </row>
    <row r="138" spans="1:14" ht="15" x14ac:dyDescent="0.25">
      <c r="A138" s="2" t="s">
        <v>574</v>
      </c>
      <c r="B138" s="3">
        <v>45409</v>
      </c>
      <c r="C138" s="2" t="s">
        <v>575</v>
      </c>
      <c r="D138" s="2" t="s">
        <v>58</v>
      </c>
      <c r="E138" s="2">
        <v>1</v>
      </c>
      <c r="F138" s="2">
        <v>44.35</v>
      </c>
      <c r="G138" s="2" t="s">
        <v>576</v>
      </c>
      <c r="H138" s="2" t="s">
        <v>60</v>
      </c>
      <c r="I138" s="2" t="s">
        <v>35</v>
      </c>
      <c r="J138" s="2" t="s">
        <v>577</v>
      </c>
      <c r="K138" s="2">
        <v>1</v>
      </c>
      <c r="L138" s="2" t="s">
        <v>21</v>
      </c>
      <c r="M138" s="2" t="s">
        <v>22</v>
      </c>
      <c r="N138" s="2">
        <v>44.35</v>
      </c>
    </row>
    <row r="139" spans="1:14" ht="15" x14ac:dyDescent="0.25">
      <c r="A139" s="2" t="s">
        <v>578</v>
      </c>
      <c r="B139" s="3">
        <v>45622</v>
      </c>
      <c r="C139" s="2" t="s">
        <v>579</v>
      </c>
      <c r="D139" s="2" t="s">
        <v>16</v>
      </c>
      <c r="E139" s="2">
        <v>2</v>
      </c>
      <c r="F139" s="2">
        <v>250.98</v>
      </c>
      <c r="G139" s="2" t="s">
        <v>580</v>
      </c>
      <c r="H139" s="2" t="s">
        <v>34</v>
      </c>
      <c r="I139" s="2" t="s">
        <v>50</v>
      </c>
      <c r="J139" s="2" t="s">
        <v>581</v>
      </c>
      <c r="K139" s="2">
        <v>5</v>
      </c>
      <c r="M139" s="2" t="s">
        <v>76</v>
      </c>
      <c r="N139" s="2">
        <v>501.96</v>
      </c>
    </row>
    <row r="140" spans="1:14" ht="15" x14ac:dyDescent="0.25">
      <c r="A140" s="2" t="s">
        <v>582</v>
      </c>
      <c r="B140" s="3">
        <v>45281</v>
      </c>
      <c r="C140" s="2" t="s">
        <v>583</v>
      </c>
      <c r="D140" s="2" t="s">
        <v>32</v>
      </c>
      <c r="E140" s="2">
        <v>1</v>
      </c>
      <c r="F140" s="2">
        <v>298.06</v>
      </c>
      <c r="G140" s="2" t="s">
        <v>584</v>
      </c>
      <c r="H140" s="2" t="s">
        <v>18</v>
      </c>
      <c r="I140" s="2" t="s">
        <v>89</v>
      </c>
      <c r="J140" s="2" t="s">
        <v>585</v>
      </c>
      <c r="K140" s="2">
        <v>3</v>
      </c>
      <c r="L140" s="2" t="s">
        <v>81</v>
      </c>
      <c r="M140" s="2" t="s">
        <v>76</v>
      </c>
      <c r="N140" s="2">
        <v>298.06</v>
      </c>
    </row>
    <row r="141" spans="1:14" ht="15" x14ac:dyDescent="0.25">
      <c r="A141" s="2" t="s">
        <v>586</v>
      </c>
      <c r="B141" s="3">
        <v>45026</v>
      </c>
      <c r="C141" s="2" t="s">
        <v>587</v>
      </c>
      <c r="D141" s="2" t="s">
        <v>25</v>
      </c>
      <c r="E141" s="2">
        <v>1</v>
      </c>
      <c r="F141" s="2">
        <v>583.9</v>
      </c>
      <c r="G141" s="2" t="s">
        <v>588</v>
      </c>
      <c r="H141" s="2" t="s">
        <v>65</v>
      </c>
      <c r="I141" s="2" t="s">
        <v>43</v>
      </c>
      <c r="J141" s="2" t="s">
        <v>589</v>
      </c>
      <c r="K141" s="2">
        <v>1</v>
      </c>
      <c r="M141" s="2" t="s">
        <v>38</v>
      </c>
      <c r="N141" s="2">
        <v>583.9</v>
      </c>
    </row>
    <row r="142" spans="1:14" ht="15" x14ac:dyDescent="0.25">
      <c r="A142" s="2" t="s">
        <v>590</v>
      </c>
      <c r="B142" s="3">
        <v>45808</v>
      </c>
      <c r="C142" s="2" t="s">
        <v>591</v>
      </c>
      <c r="D142" s="2" t="s">
        <v>41</v>
      </c>
      <c r="E142" s="2">
        <v>3</v>
      </c>
      <c r="F142" s="2">
        <v>528.14</v>
      </c>
      <c r="G142" s="2" t="s">
        <v>474</v>
      </c>
      <c r="H142" s="2" t="s">
        <v>27</v>
      </c>
      <c r="I142" s="2" t="s">
        <v>50</v>
      </c>
      <c r="J142" s="2" t="s">
        <v>592</v>
      </c>
      <c r="K142" s="2">
        <v>3</v>
      </c>
      <c r="L142" s="2" t="s">
        <v>37</v>
      </c>
      <c r="M142" s="2" t="s">
        <v>38</v>
      </c>
      <c r="N142" s="2">
        <v>1584.42</v>
      </c>
    </row>
    <row r="143" spans="1:14" ht="15" x14ac:dyDescent="0.25">
      <c r="A143" s="2" t="s">
        <v>593</v>
      </c>
      <c r="B143" s="3">
        <v>45248</v>
      </c>
      <c r="C143" s="2" t="s">
        <v>594</v>
      </c>
      <c r="D143" s="2" t="s">
        <v>48</v>
      </c>
      <c r="E143" s="2">
        <v>3</v>
      </c>
      <c r="F143" s="2">
        <v>684.14</v>
      </c>
      <c r="G143" s="2" t="s">
        <v>595</v>
      </c>
      <c r="H143" s="2" t="s">
        <v>65</v>
      </c>
      <c r="I143" s="2" t="s">
        <v>35</v>
      </c>
      <c r="J143" s="2" t="s">
        <v>596</v>
      </c>
      <c r="K143" s="2">
        <v>3</v>
      </c>
      <c r="L143" s="2" t="s">
        <v>81</v>
      </c>
      <c r="M143" s="2" t="s">
        <v>22</v>
      </c>
      <c r="N143" s="2">
        <v>2052.42</v>
      </c>
    </row>
    <row r="144" spans="1:14" ht="15" x14ac:dyDescent="0.25">
      <c r="A144" s="2" t="s">
        <v>597</v>
      </c>
      <c r="B144" s="3">
        <v>45175</v>
      </c>
      <c r="C144" s="2" t="s">
        <v>598</v>
      </c>
      <c r="D144" s="2" t="s">
        <v>73</v>
      </c>
      <c r="E144" s="2">
        <v>5</v>
      </c>
      <c r="F144" s="2">
        <v>272.77</v>
      </c>
      <c r="G144" s="2" t="s">
        <v>599</v>
      </c>
      <c r="H144" s="2" t="s">
        <v>65</v>
      </c>
      <c r="I144" s="2" t="s">
        <v>89</v>
      </c>
      <c r="J144" s="2" t="s">
        <v>600</v>
      </c>
      <c r="K144" s="2">
        <v>7</v>
      </c>
      <c r="L144" s="2" t="s">
        <v>81</v>
      </c>
      <c r="M144" s="2" t="s">
        <v>38</v>
      </c>
      <c r="N144" s="2">
        <v>1363.85</v>
      </c>
    </row>
    <row r="145" spans="1:14" ht="15" x14ac:dyDescent="0.25">
      <c r="A145" s="2" t="s">
        <v>601</v>
      </c>
      <c r="B145" s="3">
        <v>45456</v>
      </c>
      <c r="C145" s="2" t="s">
        <v>602</v>
      </c>
      <c r="D145" s="2" t="s">
        <v>41</v>
      </c>
      <c r="E145" s="2">
        <v>4</v>
      </c>
      <c r="F145" s="2">
        <v>400.07</v>
      </c>
      <c r="G145" s="2" t="s">
        <v>603</v>
      </c>
      <c r="H145" s="2" t="s">
        <v>27</v>
      </c>
      <c r="I145" s="2" t="s">
        <v>19</v>
      </c>
      <c r="J145" s="2" t="s">
        <v>604</v>
      </c>
      <c r="K145" s="2">
        <v>5</v>
      </c>
      <c r="M145" s="2" t="s">
        <v>29</v>
      </c>
      <c r="N145" s="2">
        <v>1600.28</v>
      </c>
    </row>
    <row r="146" spans="1:14" ht="15" x14ac:dyDescent="0.25">
      <c r="A146" s="2" t="s">
        <v>605</v>
      </c>
      <c r="B146" s="3">
        <v>45142</v>
      </c>
      <c r="C146" s="2" t="s">
        <v>606</v>
      </c>
      <c r="D146" s="2" t="s">
        <v>73</v>
      </c>
      <c r="E146" s="2">
        <v>5</v>
      </c>
      <c r="F146" s="2">
        <v>219.78</v>
      </c>
      <c r="G146" s="2" t="s">
        <v>161</v>
      </c>
      <c r="H146" s="2" t="s">
        <v>34</v>
      </c>
      <c r="I146" s="2" t="s">
        <v>89</v>
      </c>
      <c r="J146" s="2" t="s">
        <v>607</v>
      </c>
      <c r="K146" s="2">
        <v>8</v>
      </c>
      <c r="M146" s="2" t="s">
        <v>45</v>
      </c>
      <c r="N146" s="2">
        <v>1098.9000000000001</v>
      </c>
    </row>
    <row r="147" spans="1:14" ht="15" x14ac:dyDescent="0.25">
      <c r="A147" s="2" t="s">
        <v>608</v>
      </c>
      <c r="B147" s="3">
        <v>45353</v>
      </c>
      <c r="C147" s="2" t="s">
        <v>609</v>
      </c>
      <c r="D147" s="2" t="s">
        <v>48</v>
      </c>
      <c r="E147" s="2">
        <v>3</v>
      </c>
      <c r="F147" s="2">
        <v>146.91</v>
      </c>
      <c r="G147" s="2" t="s">
        <v>610</v>
      </c>
      <c r="H147" s="2" t="s">
        <v>34</v>
      </c>
      <c r="I147" s="2" t="s">
        <v>50</v>
      </c>
      <c r="J147" s="2" t="s">
        <v>611</v>
      </c>
      <c r="K147" s="2">
        <v>6</v>
      </c>
      <c r="L147" s="2" t="s">
        <v>37</v>
      </c>
      <c r="M147" s="2" t="s">
        <v>76</v>
      </c>
      <c r="N147" s="2">
        <v>440.73</v>
      </c>
    </row>
    <row r="148" spans="1:14" ht="15" x14ac:dyDescent="0.25">
      <c r="A148" s="2" t="s">
        <v>612</v>
      </c>
      <c r="B148" s="3">
        <v>45777</v>
      </c>
      <c r="C148" s="2" t="s">
        <v>613</v>
      </c>
      <c r="D148" s="2" t="s">
        <v>32</v>
      </c>
      <c r="E148" s="2">
        <v>2</v>
      </c>
      <c r="F148" s="2">
        <v>411.49</v>
      </c>
      <c r="G148" s="2" t="s">
        <v>614</v>
      </c>
      <c r="H148" s="2" t="s">
        <v>34</v>
      </c>
      <c r="I148" s="2" t="s">
        <v>43</v>
      </c>
      <c r="J148" s="2" t="s">
        <v>615</v>
      </c>
      <c r="K148" s="2">
        <v>4</v>
      </c>
      <c r="M148" s="2" t="s">
        <v>22</v>
      </c>
      <c r="N148" s="2">
        <v>822.98</v>
      </c>
    </row>
    <row r="149" spans="1:14" ht="15" x14ac:dyDescent="0.25">
      <c r="A149" s="2" t="s">
        <v>616</v>
      </c>
      <c r="B149" s="3">
        <v>45783</v>
      </c>
      <c r="C149" s="2" t="s">
        <v>617</v>
      </c>
      <c r="D149" s="2" t="s">
        <v>58</v>
      </c>
      <c r="E149" s="2">
        <v>2</v>
      </c>
      <c r="F149" s="2">
        <v>465.18</v>
      </c>
      <c r="G149" s="2" t="s">
        <v>618</v>
      </c>
      <c r="H149" s="2" t="s">
        <v>34</v>
      </c>
      <c r="I149" s="2" t="s">
        <v>35</v>
      </c>
      <c r="J149" s="2" t="s">
        <v>619</v>
      </c>
      <c r="K149" s="2">
        <v>2</v>
      </c>
      <c r="L149" s="2" t="s">
        <v>21</v>
      </c>
      <c r="M149" s="2" t="s">
        <v>76</v>
      </c>
      <c r="N149" s="2">
        <v>930.36</v>
      </c>
    </row>
    <row r="150" spans="1:14" ht="15" x14ac:dyDescent="0.25">
      <c r="A150" s="2" t="s">
        <v>620</v>
      </c>
      <c r="B150" s="3">
        <v>45641</v>
      </c>
      <c r="C150" s="2" t="s">
        <v>621</v>
      </c>
      <c r="D150" s="2" t="s">
        <v>25</v>
      </c>
      <c r="E150" s="2">
        <v>2</v>
      </c>
      <c r="F150" s="2">
        <v>319.91000000000003</v>
      </c>
      <c r="G150" s="2" t="s">
        <v>622</v>
      </c>
      <c r="H150" s="2" t="s">
        <v>34</v>
      </c>
      <c r="I150" s="2" t="s">
        <v>35</v>
      </c>
      <c r="J150" s="2" t="s">
        <v>623</v>
      </c>
      <c r="K150" s="2">
        <v>3</v>
      </c>
      <c r="L150" s="2" t="s">
        <v>81</v>
      </c>
      <c r="M150" s="2" t="s">
        <v>76</v>
      </c>
      <c r="N150" s="2">
        <v>639.82000000000005</v>
      </c>
    </row>
    <row r="151" spans="1:14" ht="15" x14ac:dyDescent="0.25">
      <c r="A151" s="2" t="s">
        <v>624</v>
      </c>
      <c r="B151" s="3">
        <v>45287</v>
      </c>
      <c r="C151" s="2" t="s">
        <v>625</v>
      </c>
      <c r="D151" s="2" t="s">
        <v>58</v>
      </c>
      <c r="E151" s="2">
        <v>1</v>
      </c>
      <c r="F151" s="2">
        <v>217.56</v>
      </c>
      <c r="G151" s="2" t="s">
        <v>626</v>
      </c>
      <c r="H151" s="2" t="s">
        <v>18</v>
      </c>
      <c r="I151" s="2" t="s">
        <v>50</v>
      </c>
      <c r="J151" s="2" t="s">
        <v>627</v>
      </c>
      <c r="K151" s="2">
        <v>3</v>
      </c>
      <c r="M151" s="2" t="s">
        <v>45</v>
      </c>
      <c r="N151" s="2">
        <v>217.56</v>
      </c>
    </row>
    <row r="152" spans="1:14" ht="15" x14ac:dyDescent="0.25">
      <c r="A152" s="2" t="s">
        <v>628</v>
      </c>
      <c r="B152" s="3">
        <v>45273</v>
      </c>
      <c r="C152" s="2" t="s">
        <v>629</v>
      </c>
      <c r="D152" s="2" t="s">
        <v>25</v>
      </c>
      <c r="E152" s="2">
        <v>2</v>
      </c>
      <c r="F152" s="2">
        <v>105.57</v>
      </c>
      <c r="G152" s="2" t="s">
        <v>630</v>
      </c>
      <c r="H152" s="2" t="s">
        <v>18</v>
      </c>
      <c r="I152" s="2" t="s">
        <v>43</v>
      </c>
      <c r="J152" s="2" t="s">
        <v>631</v>
      </c>
      <c r="K152" s="2">
        <v>5</v>
      </c>
      <c r="L152" s="2" t="s">
        <v>81</v>
      </c>
      <c r="M152" s="2" t="s">
        <v>76</v>
      </c>
      <c r="N152" s="2">
        <v>211.14</v>
      </c>
    </row>
    <row r="153" spans="1:14" ht="15" x14ac:dyDescent="0.25">
      <c r="A153" s="2" t="s">
        <v>632</v>
      </c>
      <c r="B153" s="3">
        <v>45261</v>
      </c>
      <c r="C153" s="2" t="s">
        <v>633</v>
      </c>
      <c r="D153" s="2" t="s">
        <v>48</v>
      </c>
      <c r="E153" s="2">
        <v>5</v>
      </c>
      <c r="F153" s="2">
        <v>444.76</v>
      </c>
      <c r="G153" s="2" t="s">
        <v>634</v>
      </c>
      <c r="H153" s="2" t="s">
        <v>18</v>
      </c>
      <c r="I153" s="2" t="s">
        <v>43</v>
      </c>
      <c r="J153" s="2" t="s">
        <v>635</v>
      </c>
      <c r="K153" s="2">
        <v>7</v>
      </c>
      <c r="M153" s="2" t="s">
        <v>38</v>
      </c>
      <c r="N153" s="2">
        <v>2223.8000000000002</v>
      </c>
    </row>
    <row r="154" spans="1:14" ht="15" x14ac:dyDescent="0.25">
      <c r="A154" s="2" t="s">
        <v>636</v>
      </c>
      <c r="B154" s="3">
        <v>45659</v>
      </c>
      <c r="C154" s="2" t="s">
        <v>637</v>
      </c>
      <c r="D154" s="2" t="s">
        <v>41</v>
      </c>
      <c r="E154" s="2">
        <v>2</v>
      </c>
      <c r="F154" s="2">
        <v>399.04</v>
      </c>
      <c r="G154" s="2" t="s">
        <v>638</v>
      </c>
      <c r="H154" s="2" t="s">
        <v>65</v>
      </c>
      <c r="I154" s="2" t="s">
        <v>35</v>
      </c>
      <c r="J154" s="2" t="s">
        <v>639</v>
      </c>
      <c r="K154" s="2">
        <v>3</v>
      </c>
      <c r="L154" s="2" t="s">
        <v>37</v>
      </c>
      <c r="M154" s="2" t="s">
        <v>29</v>
      </c>
      <c r="N154" s="2">
        <v>798.08</v>
      </c>
    </row>
    <row r="155" spans="1:14" ht="15" x14ac:dyDescent="0.25">
      <c r="A155" s="2" t="s">
        <v>640</v>
      </c>
      <c r="B155" s="3">
        <v>45644</v>
      </c>
      <c r="C155" s="2" t="s">
        <v>641</v>
      </c>
      <c r="D155" s="2" t="s">
        <v>41</v>
      </c>
      <c r="E155" s="2">
        <v>4</v>
      </c>
      <c r="F155" s="2">
        <v>534.48</v>
      </c>
      <c r="G155" s="2" t="s">
        <v>642</v>
      </c>
      <c r="H155" s="2" t="s">
        <v>27</v>
      </c>
      <c r="I155" s="2" t="s">
        <v>43</v>
      </c>
      <c r="J155" s="2" t="s">
        <v>643</v>
      </c>
      <c r="K155" s="2">
        <v>9</v>
      </c>
      <c r="L155" s="2" t="s">
        <v>81</v>
      </c>
      <c r="M155" s="2" t="s">
        <v>22</v>
      </c>
      <c r="N155" s="2">
        <v>2137.92</v>
      </c>
    </row>
    <row r="156" spans="1:14" ht="15" x14ac:dyDescent="0.25">
      <c r="A156" s="2" t="s">
        <v>644</v>
      </c>
      <c r="B156" s="3">
        <v>45127</v>
      </c>
      <c r="C156" s="2" t="s">
        <v>645</v>
      </c>
      <c r="D156" s="2" t="s">
        <v>25</v>
      </c>
      <c r="E156" s="2">
        <v>4</v>
      </c>
      <c r="F156" s="2">
        <v>408.21</v>
      </c>
      <c r="G156" s="2" t="s">
        <v>525</v>
      </c>
      <c r="H156" s="2" t="s">
        <v>34</v>
      </c>
      <c r="I156" s="2" t="s">
        <v>89</v>
      </c>
      <c r="J156" s="2" t="s">
        <v>646</v>
      </c>
      <c r="K156" s="2">
        <v>9</v>
      </c>
      <c r="M156" s="2" t="s">
        <v>22</v>
      </c>
      <c r="N156" s="2">
        <v>1632.84</v>
      </c>
    </row>
    <row r="157" spans="1:14" ht="15" x14ac:dyDescent="0.25">
      <c r="A157" s="2" t="s">
        <v>647</v>
      </c>
      <c r="B157" s="3">
        <v>44984</v>
      </c>
      <c r="C157" s="2" t="s">
        <v>648</v>
      </c>
      <c r="D157" s="2" t="s">
        <v>25</v>
      </c>
      <c r="E157" s="2">
        <v>1</v>
      </c>
      <c r="F157" s="2">
        <v>424.4</v>
      </c>
      <c r="G157" s="2" t="s">
        <v>238</v>
      </c>
      <c r="H157" s="2" t="s">
        <v>27</v>
      </c>
      <c r="I157" s="2" t="s">
        <v>19</v>
      </c>
      <c r="J157" s="2" t="s">
        <v>649</v>
      </c>
      <c r="K157" s="2">
        <v>6</v>
      </c>
      <c r="L157" s="2" t="s">
        <v>81</v>
      </c>
      <c r="M157" s="2" t="s">
        <v>29</v>
      </c>
      <c r="N157" s="2">
        <v>424.4</v>
      </c>
    </row>
    <row r="158" spans="1:14" ht="15" x14ac:dyDescent="0.25">
      <c r="A158" s="2" t="s">
        <v>650</v>
      </c>
      <c r="B158" s="3">
        <v>45604</v>
      </c>
      <c r="C158" s="2" t="s">
        <v>651</v>
      </c>
      <c r="D158" s="2" t="s">
        <v>41</v>
      </c>
      <c r="E158" s="2">
        <v>2</v>
      </c>
      <c r="F158" s="2">
        <v>269.83</v>
      </c>
      <c r="G158" s="2" t="s">
        <v>652</v>
      </c>
      <c r="H158" s="2" t="s">
        <v>27</v>
      </c>
      <c r="I158" s="2" t="s">
        <v>50</v>
      </c>
      <c r="J158" s="2" t="s">
        <v>653</v>
      </c>
      <c r="K158" s="2">
        <v>4</v>
      </c>
      <c r="L158" s="2" t="s">
        <v>21</v>
      </c>
      <c r="M158" s="2" t="s">
        <v>38</v>
      </c>
      <c r="N158" s="2">
        <v>539.66</v>
      </c>
    </row>
    <row r="159" spans="1:14" ht="15" x14ac:dyDescent="0.25">
      <c r="A159" s="2" t="s">
        <v>654</v>
      </c>
      <c r="B159" s="3">
        <v>45709</v>
      </c>
      <c r="C159" s="2" t="s">
        <v>655</v>
      </c>
      <c r="D159" s="2" t="s">
        <v>16</v>
      </c>
      <c r="E159" s="2">
        <v>2</v>
      </c>
      <c r="F159" s="2">
        <v>564.58000000000004</v>
      </c>
      <c r="G159" s="2" t="s">
        <v>565</v>
      </c>
      <c r="H159" s="2" t="s">
        <v>27</v>
      </c>
      <c r="I159" s="2" t="s">
        <v>43</v>
      </c>
      <c r="J159" s="2" t="s">
        <v>656</v>
      </c>
      <c r="K159" s="2">
        <v>4</v>
      </c>
      <c r="L159" s="2" t="s">
        <v>81</v>
      </c>
      <c r="M159" s="2" t="s">
        <v>45</v>
      </c>
      <c r="N159" s="2">
        <v>1129.1600000000001</v>
      </c>
    </row>
    <row r="160" spans="1:14" ht="15" x14ac:dyDescent="0.25">
      <c r="A160" s="2" t="s">
        <v>657</v>
      </c>
      <c r="B160" s="3">
        <v>45428</v>
      </c>
      <c r="C160" s="2" t="s">
        <v>658</v>
      </c>
      <c r="D160" s="2" t="s">
        <v>32</v>
      </c>
      <c r="E160" s="2">
        <v>1</v>
      </c>
      <c r="F160" s="2">
        <v>331.06</v>
      </c>
      <c r="G160" s="2" t="s">
        <v>659</v>
      </c>
      <c r="H160" s="2" t="s">
        <v>34</v>
      </c>
      <c r="I160" s="2" t="s">
        <v>89</v>
      </c>
      <c r="J160" s="2" t="s">
        <v>660</v>
      </c>
      <c r="K160" s="2">
        <v>5</v>
      </c>
      <c r="L160" s="2" t="s">
        <v>81</v>
      </c>
      <c r="M160" s="2" t="s">
        <v>22</v>
      </c>
      <c r="N160" s="2">
        <v>331.06</v>
      </c>
    </row>
    <row r="161" spans="1:14" ht="15" x14ac:dyDescent="0.25">
      <c r="A161" s="2" t="s">
        <v>661</v>
      </c>
      <c r="B161" s="3">
        <v>45230</v>
      </c>
      <c r="C161" s="2" t="s">
        <v>662</v>
      </c>
      <c r="D161" s="2" t="s">
        <v>48</v>
      </c>
      <c r="E161" s="2">
        <v>1</v>
      </c>
      <c r="F161" s="2">
        <v>299.35000000000002</v>
      </c>
      <c r="G161" s="2" t="s">
        <v>663</v>
      </c>
      <c r="H161" s="2" t="s">
        <v>34</v>
      </c>
      <c r="I161" s="2" t="s">
        <v>35</v>
      </c>
      <c r="J161" s="2" t="s">
        <v>664</v>
      </c>
      <c r="K161" s="2">
        <v>5</v>
      </c>
      <c r="L161" s="2" t="s">
        <v>81</v>
      </c>
      <c r="M161" s="2" t="s">
        <v>38</v>
      </c>
      <c r="N161" s="2">
        <v>299.35000000000002</v>
      </c>
    </row>
    <row r="162" spans="1:14" ht="15" x14ac:dyDescent="0.25">
      <c r="A162" s="2" t="s">
        <v>665</v>
      </c>
      <c r="B162" s="3">
        <v>44974</v>
      </c>
      <c r="C162" s="2" t="s">
        <v>666</v>
      </c>
      <c r="D162" s="2" t="s">
        <v>16</v>
      </c>
      <c r="E162" s="2">
        <v>4</v>
      </c>
      <c r="F162" s="2">
        <v>101.32</v>
      </c>
      <c r="G162" s="2" t="s">
        <v>667</v>
      </c>
      <c r="H162" s="2" t="s">
        <v>65</v>
      </c>
      <c r="I162" s="2" t="s">
        <v>89</v>
      </c>
      <c r="J162" s="2" t="s">
        <v>668</v>
      </c>
      <c r="K162" s="2">
        <v>7</v>
      </c>
      <c r="M162" s="2" t="s">
        <v>29</v>
      </c>
      <c r="N162" s="2">
        <v>405.28</v>
      </c>
    </row>
    <row r="163" spans="1:14" ht="15" x14ac:dyDescent="0.25">
      <c r="A163" s="2" t="s">
        <v>669</v>
      </c>
      <c r="B163" s="3">
        <v>45380</v>
      </c>
      <c r="C163" s="2" t="s">
        <v>670</v>
      </c>
      <c r="D163" s="2" t="s">
        <v>16</v>
      </c>
      <c r="E163" s="2">
        <v>1</v>
      </c>
      <c r="F163" s="2">
        <v>211.14</v>
      </c>
      <c r="G163" s="2" t="s">
        <v>553</v>
      </c>
      <c r="H163" s="2" t="s">
        <v>34</v>
      </c>
      <c r="I163" s="2" t="s">
        <v>35</v>
      </c>
      <c r="J163" s="2" t="s">
        <v>671</v>
      </c>
      <c r="K163" s="2">
        <v>1</v>
      </c>
      <c r="L163" s="2" t="s">
        <v>21</v>
      </c>
      <c r="M163" s="2" t="s">
        <v>45</v>
      </c>
      <c r="N163" s="2">
        <v>211.14</v>
      </c>
    </row>
    <row r="164" spans="1:14" ht="15" x14ac:dyDescent="0.25">
      <c r="A164" s="2" t="s">
        <v>672</v>
      </c>
      <c r="B164" s="3">
        <v>45134</v>
      </c>
      <c r="C164" s="2" t="s">
        <v>673</v>
      </c>
      <c r="D164" s="2" t="s">
        <v>41</v>
      </c>
      <c r="E164" s="2">
        <v>3</v>
      </c>
      <c r="F164" s="2">
        <v>65.86</v>
      </c>
      <c r="G164" s="2" t="s">
        <v>335</v>
      </c>
      <c r="H164" s="2" t="s">
        <v>27</v>
      </c>
      <c r="I164" s="2" t="s">
        <v>89</v>
      </c>
      <c r="J164" s="2" t="s">
        <v>674</v>
      </c>
      <c r="K164" s="2">
        <v>8</v>
      </c>
      <c r="L164" s="2" t="s">
        <v>81</v>
      </c>
      <c r="M164" s="2" t="s">
        <v>76</v>
      </c>
      <c r="N164" s="2">
        <v>197.58</v>
      </c>
    </row>
    <row r="165" spans="1:14" ht="15" x14ac:dyDescent="0.25">
      <c r="A165" s="2" t="s">
        <v>675</v>
      </c>
      <c r="B165" s="3">
        <v>45832</v>
      </c>
      <c r="C165" s="2" t="s">
        <v>676</v>
      </c>
      <c r="D165" s="2" t="s">
        <v>32</v>
      </c>
      <c r="E165" s="2">
        <v>1</v>
      </c>
      <c r="F165" s="2">
        <v>641.39</v>
      </c>
      <c r="G165" s="2" t="s">
        <v>677</v>
      </c>
      <c r="H165" s="2" t="s">
        <v>27</v>
      </c>
      <c r="I165" s="2" t="s">
        <v>35</v>
      </c>
      <c r="J165" s="2" t="s">
        <v>678</v>
      </c>
      <c r="K165" s="2">
        <v>1</v>
      </c>
      <c r="M165" s="2" t="s">
        <v>29</v>
      </c>
      <c r="N165" s="2">
        <v>641.39</v>
      </c>
    </row>
    <row r="166" spans="1:14" ht="15" x14ac:dyDescent="0.25">
      <c r="A166" s="2" t="s">
        <v>679</v>
      </c>
      <c r="B166" s="3">
        <v>45288</v>
      </c>
      <c r="C166" s="2" t="s">
        <v>680</v>
      </c>
      <c r="D166" s="2" t="s">
        <v>73</v>
      </c>
      <c r="E166" s="2">
        <v>5</v>
      </c>
      <c r="F166" s="2">
        <v>536.58000000000004</v>
      </c>
      <c r="G166" s="2" t="s">
        <v>681</v>
      </c>
      <c r="H166" s="2" t="s">
        <v>60</v>
      </c>
      <c r="I166" s="2" t="s">
        <v>89</v>
      </c>
      <c r="J166" s="2" t="s">
        <v>682</v>
      </c>
      <c r="K166" s="2">
        <v>5</v>
      </c>
      <c r="L166" s="2" t="s">
        <v>21</v>
      </c>
      <c r="M166" s="2" t="s">
        <v>76</v>
      </c>
      <c r="N166" s="2">
        <v>2682.9</v>
      </c>
    </row>
    <row r="167" spans="1:14" ht="15" x14ac:dyDescent="0.25">
      <c r="A167" s="2" t="s">
        <v>683</v>
      </c>
      <c r="B167" s="3">
        <v>45549</v>
      </c>
      <c r="C167" s="2" t="s">
        <v>684</v>
      </c>
      <c r="D167" s="2" t="s">
        <v>16</v>
      </c>
      <c r="E167" s="2">
        <v>2</v>
      </c>
      <c r="F167" s="2">
        <v>500.29</v>
      </c>
      <c r="G167" s="2" t="s">
        <v>685</v>
      </c>
      <c r="H167" s="2" t="s">
        <v>27</v>
      </c>
      <c r="I167" s="2" t="s">
        <v>43</v>
      </c>
      <c r="J167" s="2" t="s">
        <v>686</v>
      </c>
      <c r="K167" s="2">
        <v>7</v>
      </c>
      <c r="L167" s="2" t="s">
        <v>81</v>
      </c>
      <c r="M167" s="2" t="s">
        <v>76</v>
      </c>
      <c r="N167" s="2">
        <v>1000.58</v>
      </c>
    </row>
    <row r="168" spans="1:14" ht="15" x14ac:dyDescent="0.25">
      <c r="A168" s="2" t="s">
        <v>687</v>
      </c>
      <c r="B168" s="3">
        <v>45720</v>
      </c>
      <c r="C168" s="2" t="s">
        <v>688</v>
      </c>
      <c r="D168" s="2" t="s">
        <v>41</v>
      </c>
      <c r="E168" s="2">
        <v>3</v>
      </c>
      <c r="F168" s="2">
        <v>86.29</v>
      </c>
      <c r="G168" s="2" t="s">
        <v>257</v>
      </c>
      <c r="H168" s="2" t="s">
        <v>65</v>
      </c>
      <c r="I168" s="2" t="s">
        <v>50</v>
      </c>
      <c r="J168" s="2" t="s">
        <v>689</v>
      </c>
      <c r="K168" s="2">
        <v>6</v>
      </c>
      <c r="L168" s="2" t="s">
        <v>81</v>
      </c>
      <c r="M168" s="2" t="s">
        <v>22</v>
      </c>
      <c r="N168" s="2">
        <v>258.87</v>
      </c>
    </row>
    <row r="169" spans="1:14" ht="15" x14ac:dyDescent="0.25">
      <c r="A169" s="2" t="s">
        <v>690</v>
      </c>
      <c r="B169" s="3">
        <v>45073</v>
      </c>
      <c r="C169" s="2" t="s">
        <v>691</v>
      </c>
      <c r="D169" s="2" t="s">
        <v>41</v>
      </c>
      <c r="E169" s="2">
        <v>2</v>
      </c>
      <c r="F169" s="2">
        <v>384.14</v>
      </c>
      <c r="G169" s="2" t="s">
        <v>692</v>
      </c>
      <c r="H169" s="2" t="s">
        <v>27</v>
      </c>
      <c r="I169" s="2" t="s">
        <v>43</v>
      </c>
      <c r="J169" s="2" t="s">
        <v>693</v>
      </c>
      <c r="K169" s="2">
        <v>2</v>
      </c>
      <c r="L169" s="2" t="s">
        <v>81</v>
      </c>
      <c r="M169" s="2" t="s">
        <v>38</v>
      </c>
      <c r="N169" s="2">
        <v>768.28</v>
      </c>
    </row>
    <row r="170" spans="1:14" ht="15" x14ac:dyDescent="0.25">
      <c r="A170" s="2" t="s">
        <v>694</v>
      </c>
      <c r="B170" s="3">
        <v>45661</v>
      </c>
      <c r="C170" s="2" t="s">
        <v>695</v>
      </c>
      <c r="D170" s="2" t="s">
        <v>48</v>
      </c>
      <c r="E170" s="2">
        <v>1</v>
      </c>
      <c r="F170" s="2">
        <v>594.96</v>
      </c>
      <c r="G170" s="2" t="s">
        <v>696</v>
      </c>
      <c r="H170" s="2" t="s">
        <v>65</v>
      </c>
      <c r="I170" s="2" t="s">
        <v>43</v>
      </c>
      <c r="J170" s="2" t="s">
        <v>697</v>
      </c>
      <c r="K170" s="2">
        <v>6</v>
      </c>
      <c r="M170" s="2" t="s">
        <v>45</v>
      </c>
      <c r="N170" s="2">
        <v>594.96</v>
      </c>
    </row>
    <row r="171" spans="1:14" ht="15" x14ac:dyDescent="0.25">
      <c r="A171" s="2" t="s">
        <v>698</v>
      </c>
      <c r="B171" s="3">
        <v>45389</v>
      </c>
      <c r="C171" s="2" t="s">
        <v>699</v>
      </c>
      <c r="D171" s="2" t="s">
        <v>48</v>
      </c>
      <c r="E171" s="2">
        <v>1</v>
      </c>
      <c r="F171" s="2">
        <v>427.82</v>
      </c>
      <c r="G171" s="2" t="s">
        <v>700</v>
      </c>
      <c r="H171" s="2" t="s">
        <v>27</v>
      </c>
      <c r="I171" s="2" t="s">
        <v>50</v>
      </c>
      <c r="J171" s="2" t="s">
        <v>701</v>
      </c>
      <c r="K171" s="2">
        <v>2</v>
      </c>
      <c r="L171" s="2" t="s">
        <v>81</v>
      </c>
      <c r="M171" s="2" t="s">
        <v>38</v>
      </c>
      <c r="N171" s="2">
        <v>427.82</v>
      </c>
    </row>
    <row r="172" spans="1:14" ht="15" x14ac:dyDescent="0.25">
      <c r="A172" s="2" t="s">
        <v>702</v>
      </c>
      <c r="B172" s="3">
        <v>45751</v>
      </c>
      <c r="C172" s="2" t="s">
        <v>703</v>
      </c>
      <c r="D172" s="2" t="s">
        <v>73</v>
      </c>
      <c r="E172" s="2">
        <v>4</v>
      </c>
      <c r="F172" s="2">
        <v>662.94</v>
      </c>
      <c r="G172" s="2" t="s">
        <v>704</v>
      </c>
      <c r="H172" s="2" t="s">
        <v>65</v>
      </c>
      <c r="I172" s="2" t="s">
        <v>35</v>
      </c>
      <c r="J172" s="2" t="s">
        <v>705</v>
      </c>
      <c r="K172" s="2">
        <v>8</v>
      </c>
      <c r="L172" s="2" t="s">
        <v>21</v>
      </c>
      <c r="M172" s="2" t="s">
        <v>22</v>
      </c>
      <c r="N172" s="2">
        <v>2651.76</v>
      </c>
    </row>
    <row r="173" spans="1:14" ht="15" x14ac:dyDescent="0.25">
      <c r="A173" s="2" t="s">
        <v>706</v>
      </c>
      <c r="B173" s="3">
        <v>45153</v>
      </c>
      <c r="C173" s="2" t="s">
        <v>707</v>
      </c>
      <c r="D173" s="2" t="s">
        <v>32</v>
      </c>
      <c r="E173" s="2">
        <v>2</v>
      </c>
      <c r="F173" s="2">
        <v>148.22</v>
      </c>
      <c r="G173" s="2" t="s">
        <v>708</v>
      </c>
      <c r="H173" s="2" t="s">
        <v>34</v>
      </c>
      <c r="I173" s="2" t="s">
        <v>50</v>
      </c>
      <c r="J173" s="2" t="s">
        <v>709</v>
      </c>
      <c r="K173" s="2">
        <v>7</v>
      </c>
      <c r="L173" s="2" t="s">
        <v>81</v>
      </c>
      <c r="M173" s="2" t="s">
        <v>22</v>
      </c>
      <c r="N173" s="2">
        <v>296.44</v>
      </c>
    </row>
    <row r="174" spans="1:14" ht="15" x14ac:dyDescent="0.25">
      <c r="A174" s="2" t="s">
        <v>710</v>
      </c>
      <c r="B174" s="3">
        <v>45753</v>
      </c>
      <c r="C174" s="2" t="s">
        <v>711</v>
      </c>
      <c r="D174" s="2" t="s">
        <v>48</v>
      </c>
      <c r="E174" s="2">
        <v>1</v>
      </c>
      <c r="F174" s="2">
        <v>254.12</v>
      </c>
      <c r="G174" s="2" t="s">
        <v>541</v>
      </c>
      <c r="H174" s="2" t="s">
        <v>27</v>
      </c>
      <c r="I174" s="2" t="s">
        <v>50</v>
      </c>
      <c r="J174" s="2" t="s">
        <v>712</v>
      </c>
      <c r="K174" s="2">
        <v>1</v>
      </c>
      <c r="L174" s="2" t="s">
        <v>81</v>
      </c>
      <c r="M174" s="2" t="s">
        <v>38</v>
      </c>
      <c r="N174" s="2">
        <v>254.12</v>
      </c>
    </row>
    <row r="175" spans="1:14" ht="15" x14ac:dyDescent="0.25">
      <c r="A175" s="2" t="s">
        <v>713</v>
      </c>
      <c r="B175" s="3">
        <v>45375</v>
      </c>
      <c r="C175" s="2" t="s">
        <v>714</v>
      </c>
      <c r="D175" s="2" t="s">
        <v>25</v>
      </c>
      <c r="E175" s="2">
        <v>3</v>
      </c>
      <c r="F175" s="2">
        <v>664.46</v>
      </c>
      <c r="G175" s="2" t="s">
        <v>715</v>
      </c>
      <c r="H175" s="2" t="s">
        <v>27</v>
      </c>
      <c r="I175" s="2" t="s">
        <v>50</v>
      </c>
      <c r="J175" s="2" t="s">
        <v>716</v>
      </c>
      <c r="K175" s="2">
        <v>4</v>
      </c>
      <c r="L175" s="2" t="s">
        <v>37</v>
      </c>
      <c r="M175" s="2" t="s">
        <v>76</v>
      </c>
      <c r="N175" s="2">
        <v>1993.38</v>
      </c>
    </row>
    <row r="176" spans="1:14" ht="15" x14ac:dyDescent="0.25">
      <c r="A176" s="2" t="s">
        <v>717</v>
      </c>
      <c r="B176" s="3">
        <v>45398</v>
      </c>
      <c r="C176" s="2" t="s">
        <v>718</v>
      </c>
      <c r="D176" s="2" t="s">
        <v>48</v>
      </c>
      <c r="E176" s="2">
        <v>4</v>
      </c>
      <c r="F176" s="2">
        <v>600.80999999999995</v>
      </c>
      <c r="G176" s="2" t="s">
        <v>719</v>
      </c>
      <c r="H176" s="2" t="s">
        <v>18</v>
      </c>
      <c r="I176" s="2" t="s">
        <v>50</v>
      </c>
      <c r="J176" s="2" t="s">
        <v>720</v>
      </c>
      <c r="K176" s="2">
        <v>9</v>
      </c>
      <c r="L176" s="2" t="s">
        <v>21</v>
      </c>
      <c r="M176" s="2" t="s">
        <v>38</v>
      </c>
      <c r="N176" s="2">
        <v>2403.2399999999998</v>
      </c>
    </row>
    <row r="177" spans="1:14" ht="15" x14ac:dyDescent="0.25">
      <c r="A177" s="2" t="s">
        <v>721</v>
      </c>
      <c r="B177" s="3">
        <v>45696</v>
      </c>
      <c r="C177" s="2" t="s">
        <v>722</v>
      </c>
      <c r="D177" s="2" t="s">
        <v>41</v>
      </c>
      <c r="E177" s="2">
        <v>5</v>
      </c>
      <c r="F177" s="2">
        <v>68.34</v>
      </c>
      <c r="G177" s="2" t="s">
        <v>723</v>
      </c>
      <c r="H177" s="2" t="s">
        <v>18</v>
      </c>
      <c r="I177" s="2" t="s">
        <v>89</v>
      </c>
      <c r="J177" s="2" t="s">
        <v>724</v>
      </c>
      <c r="K177" s="2">
        <v>6</v>
      </c>
      <c r="L177" s="2" t="s">
        <v>81</v>
      </c>
      <c r="M177" s="2" t="s">
        <v>29</v>
      </c>
      <c r="N177" s="2">
        <v>341.7</v>
      </c>
    </row>
    <row r="178" spans="1:14" ht="15" x14ac:dyDescent="0.25">
      <c r="A178" s="2" t="s">
        <v>725</v>
      </c>
      <c r="B178" s="3">
        <v>45836</v>
      </c>
      <c r="C178" s="2" t="s">
        <v>726</v>
      </c>
      <c r="D178" s="2" t="s">
        <v>32</v>
      </c>
      <c r="E178" s="2">
        <v>4</v>
      </c>
      <c r="F178" s="2">
        <v>430.83</v>
      </c>
      <c r="G178" s="2" t="s">
        <v>727</v>
      </c>
      <c r="H178" s="2" t="s">
        <v>60</v>
      </c>
      <c r="I178" s="2" t="s">
        <v>89</v>
      </c>
      <c r="J178" s="2" t="s">
        <v>728</v>
      </c>
      <c r="K178" s="2">
        <v>8</v>
      </c>
      <c r="L178" s="2" t="s">
        <v>81</v>
      </c>
      <c r="M178" s="2" t="s">
        <v>29</v>
      </c>
      <c r="N178" s="2">
        <v>1723.32</v>
      </c>
    </row>
    <row r="179" spans="1:14" ht="15" x14ac:dyDescent="0.25">
      <c r="A179" s="2" t="s">
        <v>729</v>
      </c>
      <c r="B179" s="3">
        <v>45143</v>
      </c>
      <c r="C179" s="2" t="s">
        <v>730</v>
      </c>
      <c r="D179" s="2" t="s">
        <v>41</v>
      </c>
      <c r="E179" s="2">
        <v>5</v>
      </c>
      <c r="F179" s="2">
        <v>431.69</v>
      </c>
      <c r="G179" s="2" t="s">
        <v>731</v>
      </c>
      <c r="H179" s="2" t="s">
        <v>34</v>
      </c>
      <c r="I179" s="2" t="s">
        <v>89</v>
      </c>
      <c r="J179" s="2" t="s">
        <v>732</v>
      </c>
      <c r="K179" s="2">
        <v>10</v>
      </c>
      <c r="M179" s="2" t="s">
        <v>45</v>
      </c>
      <c r="N179" s="2">
        <v>2158.4499999999998</v>
      </c>
    </row>
    <row r="180" spans="1:14" ht="15" x14ac:dyDescent="0.25">
      <c r="A180" s="2" t="s">
        <v>733</v>
      </c>
      <c r="B180" s="3">
        <v>45393</v>
      </c>
      <c r="C180" s="2" t="s">
        <v>734</v>
      </c>
      <c r="D180" s="2" t="s">
        <v>41</v>
      </c>
      <c r="E180" s="2">
        <v>4</v>
      </c>
      <c r="F180" s="2">
        <v>512.05999999999995</v>
      </c>
      <c r="G180" s="2" t="s">
        <v>735</v>
      </c>
      <c r="H180" s="2" t="s">
        <v>27</v>
      </c>
      <c r="I180" s="2" t="s">
        <v>50</v>
      </c>
      <c r="J180" s="2" t="s">
        <v>736</v>
      </c>
      <c r="K180" s="2">
        <v>5</v>
      </c>
      <c r="L180" s="2" t="s">
        <v>21</v>
      </c>
      <c r="M180" s="2" t="s">
        <v>76</v>
      </c>
      <c r="N180" s="2">
        <v>2048.2399999999998</v>
      </c>
    </row>
    <row r="181" spans="1:14" ht="15" x14ac:dyDescent="0.25">
      <c r="A181" s="2" t="s">
        <v>737</v>
      </c>
      <c r="B181" s="3">
        <v>45620</v>
      </c>
      <c r="C181" s="2" t="s">
        <v>738</v>
      </c>
      <c r="D181" s="2" t="s">
        <v>58</v>
      </c>
      <c r="E181" s="2">
        <v>3</v>
      </c>
      <c r="F181" s="2">
        <v>539.91</v>
      </c>
      <c r="G181" s="2" t="s">
        <v>739</v>
      </c>
      <c r="H181" s="2" t="s">
        <v>34</v>
      </c>
      <c r="I181" s="2" t="s">
        <v>50</v>
      </c>
      <c r="J181" s="2" t="s">
        <v>740</v>
      </c>
      <c r="K181" s="2">
        <v>8</v>
      </c>
      <c r="M181" s="2" t="s">
        <v>38</v>
      </c>
      <c r="N181" s="2">
        <v>1619.73</v>
      </c>
    </row>
    <row r="182" spans="1:14" ht="15" x14ac:dyDescent="0.25">
      <c r="A182" s="2" t="s">
        <v>741</v>
      </c>
      <c r="B182" s="3">
        <v>45003</v>
      </c>
      <c r="C182" s="2" t="s">
        <v>742</v>
      </c>
      <c r="D182" s="2" t="s">
        <v>32</v>
      </c>
      <c r="E182" s="2">
        <v>5</v>
      </c>
      <c r="F182" s="2">
        <v>316.07</v>
      </c>
      <c r="G182" s="2" t="s">
        <v>743</v>
      </c>
      <c r="H182" s="2" t="s">
        <v>65</v>
      </c>
      <c r="I182" s="2" t="s">
        <v>43</v>
      </c>
      <c r="J182" s="2" t="s">
        <v>744</v>
      </c>
      <c r="K182" s="2">
        <v>10</v>
      </c>
      <c r="M182" s="2" t="s">
        <v>76</v>
      </c>
      <c r="N182" s="2">
        <v>1580.35</v>
      </c>
    </row>
    <row r="183" spans="1:14" ht="15" x14ac:dyDescent="0.25">
      <c r="A183" s="2" t="s">
        <v>745</v>
      </c>
      <c r="B183" s="3">
        <v>45535</v>
      </c>
      <c r="C183" s="2" t="s">
        <v>746</v>
      </c>
      <c r="D183" s="2" t="s">
        <v>48</v>
      </c>
      <c r="E183" s="2">
        <v>5</v>
      </c>
      <c r="F183" s="2">
        <v>404.39</v>
      </c>
      <c r="G183" s="2" t="s">
        <v>747</v>
      </c>
      <c r="H183" s="2" t="s">
        <v>27</v>
      </c>
      <c r="I183" s="2" t="s">
        <v>19</v>
      </c>
      <c r="J183" s="2" t="s">
        <v>748</v>
      </c>
      <c r="K183" s="2">
        <v>10</v>
      </c>
      <c r="M183" s="2" t="s">
        <v>29</v>
      </c>
      <c r="N183" s="2">
        <v>2021.95</v>
      </c>
    </row>
    <row r="184" spans="1:14" ht="15" x14ac:dyDescent="0.25">
      <c r="A184" s="2" t="s">
        <v>749</v>
      </c>
      <c r="B184" s="3">
        <v>45735</v>
      </c>
      <c r="C184" s="2" t="s">
        <v>750</v>
      </c>
      <c r="D184" s="2" t="s">
        <v>73</v>
      </c>
      <c r="E184" s="2">
        <v>1</v>
      </c>
      <c r="F184" s="2">
        <v>600.54</v>
      </c>
      <c r="G184" s="2" t="s">
        <v>751</v>
      </c>
      <c r="H184" s="2" t="s">
        <v>18</v>
      </c>
      <c r="I184" s="2" t="s">
        <v>89</v>
      </c>
      <c r="J184" s="2" t="s">
        <v>752</v>
      </c>
      <c r="K184" s="2">
        <v>4</v>
      </c>
      <c r="L184" s="2" t="s">
        <v>81</v>
      </c>
      <c r="M184" s="2" t="s">
        <v>76</v>
      </c>
      <c r="N184" s="2">
        <v>600.54</v>
      </c>
    </row>
    <row r="185" spans="1:14" ht="15" x14ac:dyDescent="0.25">
      <c r="A185" s="2" t="s">
        <v>753</v>
      </c>
      <c r="B185" s="3">
        <v>45400</v>
      </c>
      <c r="C185" s="2" t="s">
        <v>754</v>
      </c>
      <c r="D185" s="2" t="s">
        <v>16</v>
      </c>
      <c r="E185" s="2">
        <v>5</v>
      </c>
      <c r="F185" s="2">
        <v>186.28</v>
      </c>
      <c r="G185" s="2" t="s">
        <v>755</v>
      </c>
      <c r="H185" s="2" t="s">
        <v>18</v>
      </c>
      <c r="I185" s="2" t="s">
        <v>50</v>
      </c>
      <c r="J185" s="2" t="s">
        <v>756</v>
      </c>
      <c r="K185" s="2">
        <v>8</v>
      </c>
      <c r="L185" s="2" t="s">
        <v>21</v>
      </c>
      <c r="M185" s="2" t="s">
        <v>38</v>
      </c>
      <c r="N185" s="2">
        <v>931.4</v>
      </c>
    </row>
    <row r="186" spans="1:14" ht="15" x14ac:dyDescent="0.25">
      <c r="A186" s="2" t="s">
        <v>757</v>
      </c>
      <c r="B186" s="3">
        <v>45386</v>
      </c>
      <c r="C186" s="2" t="s">
        <v>758</v>
      </c>
      <c r="D186" s="2" t="s">
        <v>32</v>
      </c>
      <c r="E186" s="2">
        <v>4</v>
      </c>
      <c r="F186" s="2">
        <v>214.54</v>
      </c>
      <c r="G186" s="2" t="s">
        <v>759</v>
      </c>
      <c r="H186" s="2" t="s">
        <v>60</v>
      </c>
      <c r="I186" s="2" t="s">
        <v>35</v>
      </c>
      <c r="J186" s="2" t="s">
        <v>760</v>
      </c>
      <c r="K186" s="2">
        <v>7</v>
      </c>
      <c r="M186" s="2" t="s">
        <v>29</v>
      </c>
      <c r="N186" s="2">
        <v>858.16</v>
      </c>
    </row>
    <row r="187" spans="1:14" ht="15" x14ac:dyDescent="0.25">
      <c r="A187" s="2" t="s">
        <v>761</v>
      </c>
      <c r="B187" s="3">
        <v>45690</v>
      </c>
      <c r="C187" s="2" t="s">
        <v>762</v>
      </c>
      <c r="D187" s="2" t="s">
        <v>58</v>
      </c>
      <c r="E187" s="2">
        <v>1</v>
      </c>
      <c r="F187" s="2">
        <v>210.7</v>
      </c>
      <c r="G187" s="2" t="s">
        <v>763</v>
      </c>
      <c r="H187" s="2" t="s">
        <v>27</v>
      </c>
      <c r="I187" s="2" t="s">
        <v>19</v>
      </c>
      <c r="J187" s="2" t="s">
        <v>764</v>
      </c>
      <c r="K187" s="2">
        <v>2</v>
      </c>
      <c r="L187" s="2" t="s">
        <v>81</v>
      </c>
      <c r="M187" s="2" t="s">
        <v>29</v>
      </c>
      <c r="N187" s="2">
        <v>210.7</v>
      </c>
    </row>
    <row r="188" spans="1:14" ht="15" x14ac:dyDescent="0.25">
      <c r="A188" s="2" t="s">
        <v>765</v>
      </c>
      <c r="B188" s="3">
        <v>45267</v>
      </c>
      <c r="C188" s="2" t="s">
        <v>766</v>
      </c>
      <c r="D188" s="2" t="s">
        <v>25</v>
      </c>
      <c r="E188" s="2">
        <v>2</v>
      </c>
      <c r="F188" s="2">
        <v>133.55000000000001</v>
      </c>
      <c r="G188" s="2" t="s">
        <v>767</v>
      </c>
      <c r="H188" s="2" t="s">
        <v>65</v>
      </c>
      <c r="I188" s="2" t="s">
        <v>89</v>
      </c>
      <c r="J188" s="2" t="s">
        <v>768</v>
      </c>
      <c r="K188" s="2">
        <v>7</v>
      </c>
      <c r="L188" s="2" t="s">
        <v>37</v>
      </c>
      <c r="M188" s="2" t="s">
        <v>45</v>
      </c>
      <c r="N188" s="2">
        <v>267.10000000000002</v>
      </c>
    </row>
    <row r="189" spans="1:14" ht="15" x14ac:dyDescent="0.25">
      <c r="A189" s="2" t="s">
        <v>769</v>
      </c>
      <c r="B189" s="3">
        <v>44965</v>
      </c>
      <c r="C189" s="2" t="s">
        <v>770</v>
      </c>
      <c r="D189" s="2" t="s">
        <v>41</v>
      </c>
      <c r="E189" s="2">
        <v>1</v>
      </c>
      <c r="F189" s="2">
        <v>590.87</v>
      </c>
      <c r="G189" s="2" t="s">
        <v>771</v>
      </c>
      <c r="H189" s="2" t="s">
        <v>60</v>
      </c>
      <c r="I189" s="2" t="s">
        <v>43</v>
      </c>
      <c r="J189" s="2" t="s">
        <v>772</v>
      </c>
      <c r="K189" s="2">
        <v>6</v>
      </c>
      <c r="L189" s="2" t="s">
        <v>37</v>
      </c>
      <c r="M189" s="2" t="s">
        <v>29</v>
      </c>
      <c r="N189" s="2">
        <v>590.87</v>
      </c>
    </row>
    <row r="190" spans="1:14" ht="15" x14ac:dyDescent="0.25">
      <c r="A190" s="2" t="s">
        <v>773</v>
      </c>
      <c r="B190" s="3">
        <v>45731</v>
      </c>
      <c r="C190" s="2" t="s">
        <v>774</v>
      </c>
      <c r="D190" s="2" t="s">
        <v>41</v>
      </c>
      <c r="E190" s="2">
        <v>2</v>
      </c>
      <c r="F190" s="2">
        <v>363.91</v>
      </c>
      <c r="G190" s="2" t="s">
        <v>775</v>
      </c>
      <c r="H190" s="2" t="s">
        <v>60</v>
      </c>
      <c r="I190" s="2" t="s">
        <v>19</v>
      </c>
      <c r="J190" s="2" t="s">
        <v>776</v>
      </c>
      <c r="K190" s="2">
        <v>2</v>
      </c>
      <c r="L190" s="2" t="s">
        <v>37</v>
      </c>
      <c r="M190" s="2" t="s">
        <v>29</v>
      </c>
      <c r="N190" s="2">
        <v>727.82</v>
      </c>
    </row>
    <row r="191" spans="1:14" ht="15" x14ac:dyDescent="0.25">
      <c r="A191" s="2" t="s">
        <v>777</v>
      </c>
      <c r="B191" s="3">
        <v>45112</v>
      </c>
      <c r="C191" s="2" t="s">
        <v>778</v>
      </c>
      <c r="D191" s="2" t="s">
        <v>48</v>
      </c>
      <c r="E191" s="2">
        <v>5</v>
      </c>
      <c r="F191" s="2">
        <v>429.45</v>
      </c>
      <c r="G191" s="2" t="s">
        <v>779</v>
      </c>
      <c r="H191" s="2" t="s">
        <v>60</v>
      </c>
      <c r="I191" s="2" t="s">
        <v>35</v>
      </c>
      <c r="J191" s="2" t="s">
        <v>780</v>
      </c>
      <c r="K191" s="2">
        <v>5</v>
      </c>
      <c r="L191" s="2" t="s">
        <v>81</v>
      </c>
      <c r="M191" s="2" t="s">
        <v>38</v>
      </c>
      <c r="N191" s="2">
        <v>2147.25</v>
      </c>
    </row>
    <row r="192" spans="1:14" ht="15" x14ac:dyDescent="0.25">
      <c r="A192" s="2" t="s">
        <v>781</v>
      </c>
      <c r="B192" s="3">
        <v>45535</v>
      </c>
      <c r="C192" s="2" t="s">
        <v>782</v>
      </c>
      <c r="D192" s="2" t="s">
        <v>48</v>
      </c>
      <c r="E192" s="2">
        <v>3</v>
      </c>
      <c r="F192" s="2">
        <v>223.7</v>
      </c>
      <c r="G192" s="2" t="s">
        <v>783</v>
      </c>
      <c r="H192" s="2" t="s">
        <v>65</v>
      </c>
      <c r="I192" s="2" t="s">
        <v>43</v>
      </c>
      <c r="J192" s="2" t="s">
        <v>784</v>
      </c>
      <c r="K192" s="2">
        <v>3</v>
      </c>
      <c r="L192" s="2" t="s">
        <v>21</v>
      </c>
      <c r="M192" s="2" t="s">
        <v>38</v>
      </c>
      <c r="N192" s="2">
        <v>671.09999999999991</v>
      </c>
    </row>
    <row r="193" spans="1:14" ht="15" x14ac:dyDescent="0.25">
      <c r="A193" s="2" t="s">
        <v>785</v>
      </c>
      <c r="B193" s="3">
        <v>45724</v>
      </c>
      <c r="C193" s="2" t="s">
        <v>786</v>
      </c>
      <c r="D193" s="2" t="s">
        <v>58</v>
      </c>
      <c r="E193" s="2">
        <v>2</v>
      </c>
      <c r="F193" s="2">
        <v>488.87</v>
      </c>
      <c r="G193" s="2" t="s">
        <v>787</v>
      </c>
      <c r="H193" s="2" t="s">
        <v>27</v>
      </c>
      <c r="I193" s="2" t="s">
        <v>35</v>
      </c>
      <c r="J193" s="2" t="s">
        <v>788</v>
      </c>
      <c r="K193" s="2">
        <v>4</v>
      </c>
      <c r="L193" s="2" t="s">
        <v>37</v>
      </c>
      <c r="M193" s="2" t="s">
        <v>76</v>
      </c>
      <c r="N193" s="2">
        <v>977.74</v>
      </c>
    </row>
    <row r="194" spans="1:14" ht="15" x14ac:dyDescent="0.25">
      <c r="A194" s="2" t="s">
        <v>789</v>
      </c>
      <c r="B194" s="3">
        <v>45149</v>
      </c>
      <c r="C194" s="2" t="s">
        <v>790</v>
      </c>
      <c r="D194" s="2" t="s">
        <v>73</v>
      </c>
      <c r="E194" s="2">
        <v>1</v>
      </c>
      <c r="F194" s="2">
        <v>645.46</v>
      </c>
      <c r="G194" s="2" t="s">
        <v>595</v>
      </c>
      <c r="H194" s="2" t="s">
        <v>60</v>
      </c>
      <c r="I194" s="2" t="s">
        <v>35</v>
      </c>
      <c r="J194" s="2" t="s">
        <v>791</v>
      </c>
      <c r="K194" s="2">
        <v>5</v>
      </c>
      <c r="L194" s="2" t="s">
        <v>21</v>
      </c>
      <c r="M194" s="2" t="s">
        <v>76</v>
      </c>
      <c r="N194" s="2">
        <v>645.46</v>
      </c>
    </row>
    <row r="195" spans="1:14" ht="15" x14ac:dyDescent="0.25">
      <c r="A195" s="2" t="s">
        <v>792</v>
      </c>
      <c r="B195" s="3">
        <v>45128</v>
      </c>
      <c r="C195" s="2" t="s">
        <v>793</v>
      </c>
      <c r="D195" s="2" t="s">
        <v>48</v>
      </c>
      <c r="E195" s="2">
        <v>1</v>
      </c>
      <c r="F195" s="2">
        <v>46.66</v>
      </c>
      <c r="G195" s="2" t="s">
        <v>794</v>
      </c>
      <c r="H195" s="2" t="s">
        <v>65</v>
      </c>
      <c r="I195" s="2" t="s">
        <v>35</v>
      </c>
      <c r="J195" s="2" t="s">
        <v>795</v>
      </c>
      <c r="K195" s="2">
        <v>6</v>
      </c>
      <c r="M195" s="2" t="s">
        <v>76</v>
      </c>
      <c r="N195" s="2">
        <v>46.66</v>
      </c>
    </row>
    <row r="196" spans="1:14" ht="15" x14ac:dyDescent="0.25">
      <c r="A196" s="2" t="s">
        <v>796</v>
      </c>
      <c r="B196" s="3">
        <v>45451</v>
      </c>
      <c r="C196" s="2" t="s">
        <v>797</v>
      </c>
      <c r="D196" s="2" t="s">
        <v>16</v>
      </c>
      <c r="E196" s="2">
        <v>1</v>
      </c>
      <c r="F196" s="2">
        <v>249.57</v>
      </c>
      <c r="G196" s="2" t="s">
        <v>798</v>
      </c>
      <c r="H196" s="2" t="s">
        <v>65</v>
      </c>
      <c r="I196" s="2" t="s">
        <v>19</v>
      </c>
      <c r="J196" s="2" t="s">
        <v>799</v>
      </c>
      <c r="K196" s="2">
        <v>3</v>
      </c>
      <c r="L196" s="2" t="s">
        <v>37</v>
      </c>
      <c r="M196" s="2" t="s">
        <v>76</v>
      </c>
      <c r="N196" s="2">
        <v>249.57</v>
      </c>
    </row>
    <row r="197" spans="1:14" ht="15" x14ac:dyDescent="0.25">
      <c r="A197" s="2" t="s">
        <v>800</v>
      </c>
      <c r="B197" s="3">
        <v>45404</v>
      </c>
      <c r="C197" s="2" t="s">
        <v>801</v>
      </c>
      <c r="D197" s="2" t="s">
        <v>41</v>
      </c>
      <c r="E197" s="2">
        <v>3</v>
      </c>
      <c r="F197" s="2">
        <v>619.21</v>
      </c>
      <c r="G197" s="2" t="s">
        <v>802</v>
      </c>
      <c r="H197" s="2" t="s">
        <v>18</v>
      </c>
      <c r="I197" s="2" t="s">
        <v>35</v>
      </c>
      <c r="J197" s="2" t="s">
        <v>803</v>
      </c>
      <c r="K197" s="2">
        <v>6</v>
      </c>
      <c r="M197" s="2" t="s">
        <v>38</v>
      </c>
      <c r="N197" s="2">
        <v>1857.63</v>
      </c>
    </row>
    <row r="198" spans="1:14" ht="15" x14ac:dyDescent="0.25">
      <c r="A198" s="2" t="s">
        <v>804</v>
      </c>
      <c r="B198" s="3">
        <v>45681</v>
      </c>
      <c r="C198" s="2" t="s">
        <v>805</v>
      </c>
      <c r="D198" s="2" t="s">
        <v>73</v>
      </c>
      <c r="E198" s="2">
        <v>4</v>
      </c>
      <c r="F198" s="2">
        <v>217.13</v>
      </c>
      <c r="G198" s="2" t="s">
        <v>806</v>
      </c>
      <c r="H198" s="2" t="s">
        <v>65</v>
      </c>
      <c r="I198" s="2" t="s">
        <v>50</v>
      </c>
      <c r="J198" s="2" t="s">
        <v>807</v>
      </c>
      <c r="K198" s="2">
        <v>8</v>
      </c>
      <c r="L198" s="2" t="s">
        <v>81</v>
      </c>
      <c r="M198" s="2" t="s">
        <v>38</v>
      </c>
      <c r="N198" s="2">
        <v>868.52</v>
      </c>
    </row>
    <row r="199" spans="1:14" ht="15" x14ac:dyDescent="0.25">
      <c r="A199" s="2" t="s">
        <v>808</v>
      </c>
      <c r="B199" s="3">
        <v>45165</v>
      </c>
      <c r="C199" s="2" t="s">
        <v>809</v>
      </c>
      <c r="D199" s="2" t="s">
        <v>58</v>
      </c>
      <c r="E199" s="2">
        <v>5</v>
      </c>
      <c r="F199" s="2">
        <v>221.51</v>
      </c>
      <c r="G199" s="2" t="s">
        <v>810</v>
      </c>
      <c r="H199" s="2" t="s">
        <v>65</v>
      </c>
      <c r="I199" s="2" t="s">
        <v>43</v>
      </c>
      <c r="J199" s="2" t="s">
        <v>811</v>
      </c>
      <c r="K199" s="2">
        <v>5</v>
      </c>
      <c r="L199" s="2" t="s">
        <v>81</v>
      </c>
      <c r="M199" s="2" t="s">
        <v>29</v>
      </c>
      <c r="N199" s="2">
        <v>1107.55</v>
      </c>
    </row>
    <row r="200" spans="1:14" ht="15" x14ac:dyDescent="0.25">
      <c r="A200" s="2" t="s">
        <v>812</v>
      </c>
      <c r="B200" s="3">
        <v>45454</v>
      </c>
      <c r="C200" s="2" t="s">
        <v>813</v>
      </c>
      <c r="D200" s="2" t="s">
        <v>58</v>
      </c>
      <c r="E200" s="2">
        <v>4</v>
      </c>
      <c r="F200" s="2">
        <v>340.3</v>
      </c>
      <c r="G200" s="2" t="s">
        <v>177</v>
      </c>
      <c r="H200" s="2" t="s">
        <v>65</v>
      </c>
      <c r="I200" s="2" t="s">
        <v>35</v>
      </c>
      <c r="J200" s="2" t="s">
        <v>814</v>
      </c>
      <c r="K200" s="2">
        <v>8</v>
      </c>
      <c r="L200" s="2" t="s">
        <v>21</v>
      </c>
      <c r="M200" s="2" t="s">
        <v>29</v>
      </c>
      <c r="N200" s="2">
        <v>1361.2</v>
      </c>
    </row>
    <row r="201" spans="1:14" ht="15" x14ac:dyDescent="0.25">
      <c r="A201" s="2" t="s">
        <v>815</v>
      </c>
      <c r="B201" s="3">
        <v>45680</v>
      </c>
      <c r="C201" s="2" t="s">
        <v>816</v>
      </c>
      <c r="D201" s="2" t="s">
        <v>25</v>
      </c>
      <c r="E201" s="2">
        <v>1</v>
      </c>
      <c r="F201" s="2">
        <v>625</v>
      </c>
      <c r="G201" s="2" t="s">
        <v>817</v>
      </c>
      <c r="H201" s="2" t="s">
        <v>27</v>
      </c>
      <c r="I201" s="2" t="s">
        <v>43</v>
      </c>
      <c r="J201" s="2" t="s">
        <v>818</v>
      </c>
      <c r="K201" s="2">
        <v>5</v>
      </c>
      <c r="L201" s="2" t="s">
        <v>81</v>
      </c>
      <c r="M201" s="2" t="s">
        <v>76</v>
      </c>
      <c r="N201" s="2">
        <v>625</v>
      </c>
    </row>
    <row r="202" spans="1:14" ht="15" x14ac:dyDescent="0.25">
      <c r="A202" s="2" t="s">
        <v>819</v>
      </c>
      <c r="B202" s="3">
        <v>45815</v>
      </c>
      <c r="C202" s="2" t="s">
        <v>820</v>
      </c>
      <c r="D202" s="2" t="s">
        <v>32</v>
      </c>
      <c r="E202" s="2">
        <v>5</v>
      </c>
      <c r="F202" s="2">
        <v>433.26</v>
      </c>
      <c r="G202" s="2" t="s">
        <v>161</v>
      </c>
      <c r="H202" s="2" t="s">
        <v>34</v>
      </c>
      <c r="I202" s="2" t="s">
        <v>50</v>
      </c>
      <c r="J202" s="2" t="s">
        <v>821</v>
      </c>
      <c r="K202" s="2">
        <v>9</v>
      </c>
      <c r="L202" s="2" t="s">
        <v>21</v>
      </c>
      <c r="M202" s="2" t="s">
        <v>76</v>
      </c>
      <c r="N202" s="2">
        <v>2166.3000000000002</v>
      </c>
    </row>
    <row r="203" spans="1:14" ht="15" x14ac:dyDescent="0.25">
      <c r="A203" s="2" t="s">
        <v>822</v>
      </c>
      <c r="B203" s="3">
        <v>45095</v>
      </c>
      <c r="C203" s="2" t="s">
        <v>823</v>
      </c>
      <c r="D203" s="2" t="s">
        <v>16</v>
      </c>
      <c r="E203" s="2">
        <v>2</v>
      </c>
      <c r="F203" s="2">
        <v>674.9</v>
      </c>
      <c r="G203" s="2" t="s">
        <v>347</v>
      </c>
      <c r="H203" s="2" t="s">
        <v>27</v>
      </c>
      <c r="I203" s="2" t="s">
        <v>19</v>
      </c>
      <c r="J203" s="2" t="s">
        <v>824</v>
      </c>
      <c r="K203" s="2">
        <v>4</v>
      </c>
      <c r="L203" s="2" t="s">
        <v>21</v>
      </c>
      <c r="M203" s="2" t="s">
        <v>45</v>
      </c>
      <c r="N203" s="2">
        <v>1349.8</v>
      </c>
    </row>
    <row r="204" spans="1:14" ht="15" x14ac:dyDescent="0.25">
      <c r="A204" s="2" t="s">
        <v>825</v>
      </c>
      <c r="B204" s="3">
        <v>45694</v>
      </c>
      <c r="C204" s="2" t="s">
        <v>826</v>
      </c>
      <c r="D204" s="2" t="s">
        <v>16</v>
      </c>
      <c r="E204" s="2">
        <v>3</v>
      </c>
      <c r="F204" s="2">
        <v>253.98</v>
      </c>
      <c r="G204" s="2" t="s">
        <v>565</v>
      </c>
      <c r="H204" s="2" t="s">
        <v>34</v>
      </c>
      <c r="I204" s="2" t="s">
        <v>35</v>
      </c>
      <c r="J204" s="2" t="s">
        <v>827</v>
      </c>
      <c r="K204" s="2">
        <v>3</v>
      </c>
      <c r="L204" s="2" t="s">
        <v>37</v>
      </c>
      <c r="M204" s="2" t="s">
        <v>38</v>
      </c>
      <c r="N204" s="2">
        <v>761.93999999999994</v>
      </c>
    </row>
    <row r="205" spans="1:14" ht="15" x14ac:dyDescent="0.25">
      <c r="A205" s="2" t="s">
        <v>828</v>
      </c>
      <c r="B205" s="3">
        <v>45678</v>
      </c>
      <c r="C205" s="2" t="s">
        <v>829</v>
      </c>
      <c r="D205" s="2" t="s">
        <v>48</v>
      </c>
      <c r="E205" s="2">
        <v>3</v>
      </c>
      <c r="F205" s="2">
        <v>356.84</v>
      </c>
      <c r="G205" s="2" t="s">
        <v>830</v>
      </c>
      <c r="H205" s="2" t="s">
        <v>27</v>
      </c>
      <c r="I205" s="2" t="s">
        <v>19</v>
      </c>
      <c r="J205" s="2" t="s">
        <v>831</v>
      </c>
      <c r="K205" s="2">
        <v>5</v>
      </c>
      <c r="L205" s="2" t="s">
        <v>21</v>
      </c>
      <c r="M205" s="2" t="s">
        <v>22</v>
      </c>
      <c r="N205" s="2">
        <v>1070.52</v>
      </c>
    </row>
    <row r="206" spans="1:14" ht="15" x14ac:dyDescent="0.25">
      <c r="A206" s="2" t="s">
        <v>832</v>
      </c>
      <c r="B206" s="3">
        <v>45174</v>
      </c>
      <c r="C206" s="2" t="s">
        <v>833</v>
      </c>
      <c r="D206" s="2" t="s">
        <v>58</v>
      </c>
      <c r="E206" s="2">
        <v>4</v>
      </c>
      <c r="F206" s="2">
        <v>413.71</v>
      </c>
      <c r="G206" s="2" t="s">
        <v>584</v>
      </c>
      <c r="H206" s="2" t="s">
        <v>60</v>
      </c>
      <c r="I206" s="2" t="s">
        <v>35</v>
      </c>
      <c r="J206" s="2" t="s">
        <v>834</v>
      </c>
      <c r="K206" s="2">
        <v>9</v>
      </c>
      <c r="L206" s="2" t="s">
        <v>37</v>
      </c>
      <c r="M206" s="2" t="s">
        <v>45</v>
      </c>
      <c r="N206" s="2">
        <v>1654.84</v>
      </c>
    </row>
    <row r="207" spans="1:14" ht="15" x14ac:dyDescent="0.25">
      <c r="A207" s="2" t="s">
        <v>835</v>
      </c>
      <c r="B207" s="3">
        <v>44989</v>
      </c>
      <c r="C207" s="2" t="s">
        <v>836</v>
      </c>
      <c r="D207" s="2" t="s">
        <v>73</v>
      </c>
      <c r="E207" s="2">
        <v>3</v>
      </c>
      <c r="F207" s="2">
        <v>147.38999999999999</v>
      </c>
      <c r="G207" s="2" t="s">
        <v>837</v>
      </c>
      <c r="H207" s="2" t="s">
        <v>18</v>
      </c>
      <c r="I207" s="2" t="s">
        <v>43</v>
      </c>
      <c r="J207" s="2" t="s">
        <v>838</v>
      </c>
      <c r="K207" s="2">
        <v>3</v>
      </c>
      <c r="M207" s="2" t="s">
        <v>38</v>
      </c>
      <c r="N207" s="2">
        <v>442.17</v>
      </c>
    </row>
    <row r="208" spans="1:14" ht="15" x14ac:dyDescent="0.25">
      <c r="A208" s="2" t="s">
        <v>839</v>
      </c>
      <c r="B208" s="3">
        <v>45398</v>
      </c>
      <c r="C208" s="2" t="s">
        <v>840</v>
      </c>
      <c r="D208" s="2" t="s">
        <v>58</v>
      </c>
      <c r="E208" s="2">
        <v>4</v>
      </c>
      <c r="F208" s="2">
        <v>229.1</v>
      </c>
      <c r="G208" s="2" t="s">
        <v>841</v>
      </c>
      <c r="H208" s="2" t="s">
        <v>60</v>
      </c>
      <c r="I208" s="2" t="s">
        <v>43</v>
      </c>
      <c r="J208" s="2" t="s">
        <v>842</v>
      </c>
      <c r="K208" s="2">
        <v>8</v>
      </c>
      <c r="L208" s="2" t="s">
        <v>81</v>
      </c>
      <c r="M208" s="2" t="s">
        <v>38</v>
      </c>
      <c r="N208" s="2">
        <v>916.4</v>
      </c>
    </row>
    <row r="209" spans="1:14" ht="15" x14ac:dyDescent="0.25">
      <c r="A209" s="2" t="s">
        <v>843</v>
      </c>
      <c r="B209" s="3">
        <v>45734</v>
      </c>
      <c r="C209" s="2" t="s">
        <v>844</v>
      </c>
      <c r="D209" s="2" t="s">
        <v>25</v>
      </c>
      <c r="E209" s="2">
        <v>1</v>
      </c>
      <c r="F209" s="2">
        <v>121.96</v>
      </c>
      <c r="G209" s="2" t="s">
        <v>845</v>
      </c>
      <c r="H209" s="2" t="s">
        <v>18</v>
      </c>
      <c r="I209" s="2" t="s">
        <v>50</v>
      </c>
      <c r="J209" s="2" t="s">
        <v>846</v>
      </c>
      <c r="K209" s="2">
        <v>3</v>
      </c>
      <c r="M209" s="2" t="s">
        <v>76</v>
      </c>
      <c r="N209" s="2">
        <v>121.96</v>
      </c>
    </row>
    <row r="210" spans="1:14" ht="15" x14ac:dyDescent="0.25">
      <c r="A210" s="2" t="s">
        <v>847</v>
      </c>
      <c r="B210" s="3">
        <v>45573</v>
      </c>
      <c r="C210" s="2" t="s">
        <v>848</v>
      </c>
      <c r="D210" s="2" t="s">
        <v>73</v>
      </c>
      <c r="E210" s="2">
        <v>2</v>
      </c>
      <c r="F210" s="2">
        <v>408.32</v>
      </c>
      <c r="G210" s="2" t="s">
        <v>779</v>
      </c>
      <c r="H210" s="2" t="s">
        <v>27</v>
      </c>
      <c r="I210" s="2" t="s">
        <v>19</v>
      </c>
      <c r="J210" s="2" t="s">
        <v>849</v>
      </c>
      <c r="K210" s="2">
        <v>3</v>
      </c>
      <c r="L210" s="2" t="s">
        <v>37</v>
      </c>
      <c r="M210" s="2" t="s">
        <v>45</v>
      </c>
      <c r="N210" s="2">
        <v>816.64</v>
      </c>
    </row>
    <row r="211" spans="1:14" ht="15" x14ac:dyDescent="0.25">
      <c r="A211" s="2" t="s">
        <v>850</v>
      </c>
      <c r="B211" s="3">
        <v>45167</v>
      </c>
      <c r="C211" s="2" t="s">
        <v>851</v>
      </c>
      <c r="D211" s="2" t="s">
        <v>32</v>
      </c>
      <c r="E211" s="2">
        <v>5</v>
      </c>
      <c r="F211" s="2">
        <v>187.97</v>
      </c>
      <c r="G211" s="2" t="s">
        <v>64</v>
      </c>
      <c r="H211" s="2" t="s">
        <v>65</v>
      </c>
      <c r="I211" s="2" t="s">
        <v>43</v>
      </c>
      <c r="J211" s="2" t="s">
        <v>852</v>
      </c>
      <c r="K211" s="2">
        <v>9</v>
      </c>
      <c r="L211" s="2" t="s">
        <v>21</v>
      </c>
      <c r="M211" s="2" t="s">
        <v>76</v>
      </c>
      <c r="N211" s="2">
        <v>939.85</v>
      </c>
    </row>
    <row r="212" spans="1:14" ht="15" x14ac:dyDescent="0.25">
      <c r="A212" s="2" t="s">
        <v>853</v>
      </c>
      <c r="B212" s="3">
        <v>45631</v>
      </c>
      <c r="C212" s="2" t="s">
        <v>854</v>
      </c>
      <c r="D212" s="2" t="s">
        <v>41</v>
      </c>
      <c r="E212" s="2">
        <v>3</v>
      </c>
      <c r="F212" s="2">
        <v>358.48</v>
      </c>
      <c r="G212" s="2" t="s">
        <v>553</v>
      </c>
      <c r="H212" s="2" t="s">
        <v>60</v>
      </c>
      <c r="I212" s="2" t="s">
        <v>50</v>
      </c>
      <c r="J212" s="2" t="s">
        <v>855</v>
      </c>
      <c r="K212" s="2">
        <v>7</v>
      </c>
      <c r="L212" s="2" t="s">
        <v>37</v>
      </c>
      <c r="M212" s="2" t="s">
        <v>45</v>
      </c>
      <c r="N212" s="2">
        <v>1075.44</v>
      </c>
    </row>
    <row r="213" spans="1:14" ht="15" x14ac:dyDescent="0.25">
      <c r="A213" s="2" t="s">
        <v>856</v>
      </c>
      <c r="B213" s="3">
        <v>45660</v>
      </c>
      <c r="C213" s="2" t="s">
        <v>857</v>
      </c>
      <c r="D213" s="2" t="s">
        <v>48</v>
      </c>
      <c r="E213" s="2">
        <v>3</v>
      </c>
      <c r="F213" s="2">
        <v>193.58</v>
      </c>
      <c r="G213" s="2" t="s">
        <v>858</v>
      </c>
      <c r="H213" s="2" t="s">
        <v>60</v>
      </c>
      <c r="I213" s="2" t="s">
        <v>89</v>
      </c>
      <c r="J213" s="2" t="s">
        <v>859</v>
      </c>
      <c r="K213" s="2">
        <v>7</v>
      </c>
      <c r="L213" s="2" t="s">
        <v>37</v>
      </c>
      <c r="M213" s="2" t="s">
        <v>38</v>
      </c>
      <c r="N213" s="2">
        <v>580.74</v>
      </c>
    </row>
    <row r="214" spans="1:14" ht="15" x14ac:dyDescent="0.25">
      <c r="A214" s="2" t="s">
        <v>860</v>
      </c>
      <c r="B214" s="3">
        <v>45097</v>
      </c>
      <c r="C214" s="2" t="s">
        <v>861</v>
      </c>
      <c r="D214" s="2" t="s">
        <v>16</v>
      </c>
      <c r="E214" s="2">
        <v>1</v>
      </c>
      <c r="F214" s="2">
        <v>265.38</v>
      </c>
      <c r="G214" s="2" t="s">
        <v>862</v>
      </c>
      <c r="H214" s="2" t="s">
        <v>34</v>
      </c>
      <c r="I214" s="2" t="s">
        <v>35</v>
      </c>
      <c r="J214" s="2" t="s">
        <v>863</v>
      </c>
      <c r="K214" s="2">
        <v>6</v>
      </c>
      <c r="L214" s="2" t="s">
        <v>81</v>
      </c>
      <c r="M214" s="2" t="s">
        <v>38</v>
      </c>
      <c r="N214" s="2">
        <v>265.38</v>
      </c>
    </row>
    <row r="215" spans="1:14" ht="15" x14ac:dyDescent="0.25">
      <c r="A215" s="2" t="s">
        <v>864</v>
      </c>
      <c r="B215" s="3">
        <v>45036</v>
      </c>
      <c r="C215" s="2" t="s">
        <v>865</v>
      </c>
      <c r="D215" s="2" t="s">
        <v>58</v>
      </c>
      <c r="E215" s="2">
        <v>1</v>
      </c>
      <c r="F215" s="2">
        <v>634.4</v>
      </c>
      <c r="G215" s="2" t="s">
        <v>866</v>
      </c>
      <c r="H215" s="2" t="s">
        <v>65</v>
      </c>
      <c r="I215" s="2" t="s">
        <v>35</v>
      </c>
      <c r="J215" s="2" t="s">
        <v>867</v>
      </c>
      <c r="K215" s="2">
        <v>6</v>
      </c>
      <c r="L215" s="2" t="s">
        <v>21</v>
      </c>
      <c r="M215" s="2" t="s">
        <v>38</v>
      </c>
      <c r="N215" s="2">
        <v>634.4</v>
      </c>
    </row>
    <row r="216" spans="1:14" ht="15" x14ac:dyDescent="0.25">
      <c r="A216" s="2" t="s">
        <v>868</v>
      </c>
      <c r="B216" s="3">
        <v>45525</v>
      </c>
      <c r="C216" s="2" t="s">
        <v>869</v>
      </c>
      <c r="D216" s="2" t="s">
        <v>73</v>
      </c>
      <c r="E216" s="2">
        <v>4</v>
      </c>
      <c r="F216" s="2">
        <v>305.72000000000003</v>
      </c>
      <c r="G216" s="2" t="s">
        <v>517</v>
      </c>
      <c r="H216" s="2" t="s">
        <v>27</v>
      </c>
      <c r="I216" s="2" t="s">
        <v>50</v>
      </c>
      <c r="J216" s="2" t="s">
        <v>870</v>
      </c>
      <c r="K216" s="2">
        <v>5</v>
      </c>
      <c r="M216" s="2" t="s">
        <v>45</v>
      </c>
      <c r="N216" s="2">
        <v>1222.8800000000001</v>
      </c>
    </row>
    <row r="217" spans="1:14" ht="15" x14ac:dyDescent="0.25">
      <c r="A217" s="2" t="s">
        <v>871</v>
      </c>
      <c r="B217" s="3">
        <v>45148</v>
      </c>
      <c r="C217" s="2" t="s">
        <v>872</v>
      </c>
      <c r="D217" s="2" t="s">
        <v>48</v>
      </c>
      <c r="E217" s="2">
        <v>1</v>
      </c>
      <c r="F217" s="2">
        <v>303.60000000000002</v>
      </c>
      <c r="G217" s="2" t="s">
        <v>873</v>
      </c>
      <c r="H217" s="2" t="s">
        <v>65</v>
      </c>
      <c r="I217" s="2" t="s">
        <v>19</v>
      </c>
      <c r="J217" s="2" t="s">
        <v>874</v>
      </c>
      <c r="K217" s="2">
        <v>5</v>
      </c>
      <c r="L217" s="2" t="s">
        <v>37</v>
      </c>
      <c r="M217" s="2" t="s">
        <v>45</v>
      </c>
      <c r="N217" s="2">
        <v>303.60000000000002</v>
      </c>
    </row>
    <row r="218" spans="1:14" ht="15" x14ac:dyDescent="0.25">
      <c r="A218" s="2" t="s">
        <v>875</v>
      </c>
      <c r="B218" s="3">
        <v>45762</v>
      </c>
      <c r="C218" s="2" t="s">
        <v>876</v>
      </c>
      <c r="D218" s="2" t="s">
        <v>16</v>
      </c>
      <c r="E218" s="2">
        <v>4</v>
      </c>
      <c r="F218" s="2">
        <v>496</v>
      </c>
      <c r="G218" s="2" t="s">
        <v>273</v>
      </c>
      <c r="H218" s="2" t="s">
        <v>27</v>
      </c>
      <c r="I218" s="2" t="s">
        <v>35</v>
      </c>
      <c r="J218" s="2" t="s">
        <v>877</v>
      </c>
      <c r="K218" s="2">
        <v>8</v>
      </c>
      <c r="L218" s="2" t="s">
        <v>81</v>
      </c>
      <c r="M218" s="2" t="s">
        <v>76</v>
      </c>
      <c r="N218" s="2">
        <v>1984</v>
      </c>
    </row>
    <row r="219" spans="1:14" ht="15" x14ac:dyDescent="0.25">
      <c r="A219" s="2" t="s">
        <v>878</v>
      </c>
      <c r="B219" s="3">
        <v>45432</v>
      </c>
      <c r="C219" s="2" t="s">
        <v>879</v>
      </c>
      <c r="D219" s="2" t="s">
        <v>73</v>
      </c>
      <c r="E219" s="2">
        <v>4</v>
      </c>
      <c r="F219" s="2">
        <v>321.51</v>
      </c>
      <c r="G219" s="2" t="s">
        <v>880</v>
      </c>
      <c r="H219" s="2" t="s">
        <v>65</v>
      </c>
      <c r="I219" s="2" t="s">
        <v>43</v>
      </c>
      <c r="J219" s="2" t="s">
        <v>881</v>
      </c>
      <c r="K219" s="2">
        <v>9</v>
      </c>
      <c r="M219" s="2" t="s">
        <v>76</v>
      </c>
      <c r="N219" s="2">
        <v>1286.04</v>
      </c>
    </row>
    <row r="220" spans="1:14" ht="15" x14ac:dyDescent="0.25">
      <c r="A220" s="2" t="s">
        <v>882</v>
      </c>
      <c r="B220" s="3">
        <v>45044</v>
      </c>
      <c r="C220" s="2" t="s">
        <v>883</v>
      </c>
      <c r="D220" s="2" t="s">
        <v>32</v>
      </c>
      <c r="E220" s="2">
        <v>3</v>
      </c>
      <c r="F220" s="2">
        <v>112.46</v>
      </c>
      <c r="G220" s="2" t="s">
        <v>884</v>
      </c>
      <c r="H220" s="2" t="s">
        <v>60</v>
      </c>
      <c r="I220" s="2" t="s">
        <v>19</v>
      </c>
      <c r="J220" s="2" t="s">
        <v>885</v>
      </c>
      <c r="K220" s="2">
        <v>6</v>
      </c>
      <c r="L220" s="2" t="s">
        <v>21</v>
      </c>
      <c r="M220" s="2" t="s">
        <v>22</v>
      </c>
      <c r="N220" s="2">
        <v>337.38</v>
      </c>
    </row>
    <row r="221" spans="1:14" ht="15" x14ac:dyDescent="0.25">
      <c r="A221" s="2" t="s">
        <v>886</v>
      </c>
      <c r="B221" s="3">
        <v>45779</v>
      </c>
      <c r="C221" s="2" t="s">
        <v>887</v>
      </c>
      <c r="D221" s="2" t="s">
        <v>58</v>
      </c>
      <c r="E221" s="2">
        <v>5</v>
      </c>
      <c r="F221" s="2">
        <v>61.97</v>
      </c>
      <c r="G221" s="2" t="s">
        <v>888</v>
      </c>
      <c r="H221" s="2" t="s">
        <v>65</v>
      </c>
      <c r="I221" s="2" t="s">
        <v>50</v>
      </c>
      <c r="J221" s="2" t="s">
        <v>889</v>
      </c>
      <c r="K221" s="2">
        <v>6</v>
      </c>
      <c r="L221" s="2" t="s">
        <v>21</v>
      </c>
      <c r="M221" s="2" t="s">
        <v>38</v>
      </c>
      <c r="N221" s="2">
        <v>309.85000000000002</v>
      </c>
    </row>
    <row r="222" spans="1:14" ht="15" x14ac:dyDescent="0.25">
      <c r="A222" s="2" t="s">
        <v>890</v>
      </c>
      <c r="B222" s="3">
        <v>45125</v>
      </c>
      <c r="C222" s="2" t="s">
        <v>891</v>
      </c>
      <c r="D222" s="2" t="s">
        <v>58</v>
      </c>
      <c r="E222" s="2">
        <v>2</v>
      </c>
      <c r="F222" s="2">
        <v>373.17</v>
      </c>
      <c r="G222" s="2" t="s">
        <v>892</v>
      </c>
      <c r="H222" s="2" t="s">
        <v>34</v>
      </c>
      <c r="I222" s="2" t="s">
        <v>89</v>
      </c>
      <c r="J222" s="2" t="s">
        <v>893</v>
      </c>
      <c r="K222" s="2">
        <v>6</v>
      </c>
      <c r="L222" s="2" t="s">
        <v>21</v>
      </c>
      <c r="M222" s="2" t="s">
        <v>29</v>
      </c>
      <c r="N222" s="2">
        <v>746.34</v>
      </c>
    </row>
    <row r="223" spans="1:14" ht="15" x14ac:dyDescent="0.25">
      <c r="A223" s="2" t="s">
        <v>894</v>
      </c>
      <c r="B223" s="3">
        <v>45345</v>
      </c>
      <c r="C223" s="2" t="s">
        <v>895</v>
      </c>
      <c r="D223" s="2" t="s">
        <v>32</v>
      </c>
      <c r="E223" s="2">
        <v>5</v>
      </c>
      <c r="F223" s="2">
        <v>639.37</v>
      </c>
      <c r="G223" s="2" t="s">
        <v>312</v>
      </c>
      <c r="H223" s="2" t="s">
        <v>18</v>
      </c>
      <c r="I223" s="2" t="s">
        <v>89</v>
      </c>
      <c r="J223" s="2" t="s">
        <v>896</v>
      </c>
      <c r="K223" s="2">
        <v>6</v>
      </c>
      <c r="L223" s="2" t="s">
        <v>21</v>
      </c>
      <c r="M223" s="2" t="s">
        <v>76</v>
      </c>
      <c r="N223" s="2">
        <v>3196.85</v>
      </c>
    </row>
    <row r="224" spans="1:14" ht="15" x14ac:dyDescent="0.25">
      <c r="A224" s="2" t="s">
        <v>897</v>
      </c>
      <c r="B224" s="3">
        <v>45050</v>
      </c>
      <c r="C224" s="2" t="s">
        <v>898</v>
      </c>
      <c r="D224" s="2" t="s">
        <v>41</v>
      </c>
      <c r="E224" s="2">
        <v>4</v>
      </c>
      <c r="F224" s="2">
        <v>693.36</v>
      </c>
      <c r="G224" s="2" t="s">
        <v>899</v>
      </c>
      <c r="H224" s="2" t="s">
        <v>27</v>
      </c>
      <c r="I224" s="2" t="s">
        <v>19</v>
      </c>
      <c r="J224" s="2" t="s">
        <v>900</v>
      </c>
      <c r="K224" s="2">
        <v>8</v>
      </c>
      <c r="M224" s="2" t="s">
        <v>22</v>
      </c>
      <c r="N224" s="2">
        <v>2773.44</v>
      </c>
    </row>
    <row r="225" spans="1:14" ht="15" x14ac:dyDescent="0.25">
      <c r="A225" s="2" t="s">
        <v>901</v>
      </c>
      <c r="B225" s="3">
        <v>45546</v>
      </c>
      <c r="C225" s="2" t="s">
        <v>902</v>
      </c>
      <c r="D225" s="2" t="s">
        <v>25</v>
      </c>
      <c r="E225" s="2">
        <v>4</v>
      </c>
      <c r="F225" s="2">
        <v>692.91</v>
      </c>
      <c r="G225" s="2" t="s">
        <v>517</v>
      </c>
      <c r="H225" s="2" t="s">
        <v>34</v>
      </c>
      <c r="I225" s="2" t="s">
        <v>89</v>
      </c>
      <c r="J225" s="2" t="s">
        <v>903</v>
      </c>
      <c r="K225" s="2">
        <v>9</v>
      </c>
      <c r="L225" s="2" t="s">
        <v>21</v>
      </c>
      <c r="M225" s="2" t="s">
        <v>22</v>
      </c>
      <c r="N225" s="2">
        <v>2771.64</v>
      </c>
    </row>
    <row r="226" spans="1:14" ht="15" x14ac:dyDescent="0.25">
      <c r="A226" s="2" t="s">
        <v>904</v>
      </c>
      <c r="B226" s="3">
        <v>45192</v>
      </c>
      <c r="C226" s="2" t="s">
        <v>905</v>
      </c>
      <c r="D226" s="2" t="s">
        <v>48</v>
      </c>
      <c r="E226" s="2">
        <v>4</v>
      </c>
      <c r="F226" s="2">
        <v>91.46</v>
      </c>
      <c r="G226" s="2" t="s">
        <v>906</v>
      </c>
      <c r="H226" s="2" t="s">
        <v>65</v>
      </c>
      <c r="I226" s="2" t="s">
        <v>35</v>
      </c>
      <c r="J226" s="2" t="s">
        <v>907</v>
      </c>
      <c r="K226" s="2">
        <v>9</v>
      </c>
      <c r="L226" s="2" t="s">
        <v>21</v>
      </c>
      <c r="M226" s="2" t="s">
        <v>29</v>
      </c>
      <c r="N226" s="2">
        <v>365.84</v>
      </c>
    </row>
    <row r="227" spans="1:14" ht="15" x14ac:dyDescent="0.25">
      <c r="A227" s="2" t="s">
        <v>908</v>
      </c>
      <c r="B227" s="3">
        <v>45364</v>
      </c>
      <c r="C227" s="2" t="s">
        <v>909</v>
      </c>
      <c r="D227" s="2" t="s">
        <v>25</v>
      </c>
      <c r="E227" s="2">
        <v>3</v>
      </c>
      <c r="F227" s="2">
        <v>273.95999999999998</v>
      </c>
      <c r="G227" s="2" t="s">
        <v>910</v>
      </c>
      <c r="H227" s="2" t="s">
        <v>18</v>
      </c>
      <c r="I227" s="2" t="s">
        <v>43</v>
      </c>
      <c r="J227" s="2" t="s">
        <v>911</v>
      </c>
      <c r="K227" s="2">
        <v>8</v>
      </c>
      <c r="L227" s="2" t="s">
        <v>21</v>
      </c>
      <c r="M227" s="2" t="s">
        <v>76</v>
      </c>
      <c r="N227" s="2">
        <v>821.87999999999988</v>
      </c>
    </row>
    <row r="228" spans="1:14" ht="15" x14ac:dyDescent="0.25">
      <c r="A228" s="2" t="s">
        <v>912</v>
      </c>
      <c r="B228" s="3">
        <v>45835</v>
      </c>
      <c r="C228" s="2" t="s">
        <v>913</v>
      </c>
      <c r="D228" s="2" t="s">
        <v>73</v>
      </c>
      <c r="E228" s="2">
        <v>3</v>
      </c>
      <c r="F228" s="2">
        <v>588.04999999999995</v>
      </c>
      <c r="G228" s="2" t="s">
        <v>914</v>
      </c>
      <c r="H228" s="2" t="s">
        <v>60</v>
      </c>
      <c r="I228" s="2" t="s">
        <v>50</v>
      </c>
      <c r="J228" s="2" t="s">
        <v>915</v>
      </c>
      <c r="K228" s="2">
        <v>8</v>
      </c>
      <c r="M228" s="2" t="s">
        <v>22</v>
      </c>
      <c r="N228" s="2">
        <v>1764.15</v>
      </c>
    </row>
    <row r="229" spans="1:14" ht="15" x14ac:dyDescent="0.25">
      <c r="A229" s="2" t="s">
        <v>916</v>
      </c>
      <c r="B229" s="3">
        <v>45232</v>
      </c>
      <c r="C229" s="2" t="s">
        <v>917</v>
      </c>
      <c r="D229" s="2" t="s">
        <v>16</v>
      </c>
      <c r="E229" s="2">
        <v>2</v>
      </c>
      <c r="F229" s="2">
        <v>365.17</v>
      </c>
      <c r="G229" s="2" t="s">
        <v>537</v>
      </c>
      <c r="H229" s="2" t="s">
        <v>27</v>
      </c>
      <c r="I229" s="2" t="s">
        <v>35</v>
      </c>
      <c r="J229" s="2" t="s">
        <v>918</v>
      </c>
      <c r="K229" s="2">
        <v>4</v>
      </c>
      <c r="L229" s="2" t="s">
        <v>37</v>
      </c>
      <c r="M229" s="2" t="s">
        <v>45</v>
      </c>
      <c r="N229" s="2">
        <v>730.34</v>
      </c>
    </row>
    <row r="230" spans="1:14" ht="15" x14ac:dyDescent="0.25">
      <c r="A230" s="2" t="s">
        <v>919</v>
      </c>
      <c r="B230" s="3">
        <v>45063</v>
      </c>
      <c r="C230" s="2" t="s">
        <v>920</v>
      </c>
      <c r="D230" s="2" t="s">
        <v>41</v>
      </c>
      <c r="E230" s="2">
        <v>4</v>
      </c>
      <c r="F230" s="2">
        <v>385.92</v>
      </c>
      <c r="G230" s="2" t="s">
        <v>921</v>
      </c>
      <c r="H230" s="2" t="s">
        <v>34</v>
      </c>
      <c r="I230" s="2" t="s">
        <v>35</v>
      </c>
      <c r="J230" s="2" t="s">
        <v>922</v>
      </c>
      <c r="K230" s="2">
        <v>8</v>
      </c>
      <c r="M230" s="2" t="s">
        <v>22</v>
      </c>
      <c r="N230" s="2">
        <v>1543.68</v>
      </c>
    </row>
    <row r="231" spans="1:14" ht="15" x14ac:dyDescent="0.25">
      <c r="A231" s="2" t="s">
        <v>923</v>
      </c>
      <c r="B231" s="3">
        <v>45744</v>
      </c>
      <c r="C231" s="2" t="s">
        <v>924</v>
      </c>
      <c r="D231" s="2" t="s">
        <v>32</v>
      </c>
      <c r="E231" s="2">
        <v>1</v>
      </c>
      <c r="F231" s="2">
        <v>562.61</v>
      </c>
      <c r="G231" s="2" t="s">
        <v>925</v>
      </c>
      <c r="H231" s="2" t="s">
        <v>34</v>
      </c>
      <c r="I231" s="2" t="s">
        <v>50</v>
      </c>
      <c r="J231" s="2" t="s">
        <v>926</v>
      </c>
      <c r="K231" s="2">
        <v>3</v>
      </c>
      <c r="L231" s="2" t="s">
        <v>81</v>
      </c>
      <c r="M231" s="2" t="s">
        <v>45</v>
      </c>
      <c r="N231" s="2">
        <v>562.61</v>
      </c>
    </row>
    <row r="232" spans="1:14" ht="15" x14ac:dyDescent="0.25">
      <c r="A232" s="2" t="s">
        <v>927</v>
      </c>
      <c r="B232" s="3">
        <v>45276</v>
      </c>
      <c r="C232" s="2" t="s">
        <v>928</v>
      </c>
      <c r="D232" s="2" t="s">
        <v>73</v>
      </c>
      <c r="E232" s="2">
        <v>4</v>
      </c>
      <c r="F232" s="2">
        <v>61.91</v>
      </c>
      <c r="G232" s="2" t="s">
        <v>929</v>
      </c>
      <c r="H232" s="2" t="s">
        <v>60</v>
      </c>
      <c r="I232" s="2" t="s">
        <v>50</v>
      </c>
      <c r="J232" s="2" t="s">
        <v>930</v>
      </c>
      <c r="K232" s="2">
        <v>6</v>
      </c>
      <c r="L232" s="2" t="s">
        <v>81</v>
      </c>
      <c r="M232" s="2" t="s">
        <v>38</v>
      </c>
      <c r="N232" s="2">
        <v>247.64</v>
      </c>
    </row>
    <row r="233" spans="1:14" ht="15" x14ac:dyDescent="0.25">
      <c r="A233" s="2" t="s">
        <v>931</v>
      </c>
      <c r="B233" s="3">
        <v>45235</v>
      </c>
      <c r="C233" s="2" t="s">
        <v>932</v>
      </c>
      <c r="D233" s="2" t="s">
        <v>25</v>
      </c>
      <c r="E233" s="2">
        <v>4</v>
      </c>
      <c r="F233" s="2">
        <v>41.9</v>
      </c>
      <c r="G233" s="2" t="s">
        <v>933</v>
      </c>
      <c r="H233" s="2" t="s">
        <v>60</v>
      </c>
      <c r="I233" s="2" t="s">
        <v>89</v>
      </c>
      <c r="J233" s="2" t="s">
        <v>934</v>
      </c>
      <c r="K233" s="2">
        <v>9</v>
      </c>
      <c r="L233" s="2" t="s">
        <v>37</v>
      </c>
      <c r="M233" s="2" t="s">
        <v>22</v>
      </c>
      <c r="N233" s="2">
        <v>167.6</v>
      </c>
    </row>
    <row r="234" spans="1:14" ht="15" x14ac:dyDescent="0.25">
      <c r="A234" s="2" t="s">
        <v>935</v>
      </c>
      <c r="B234" s="3">
        <v>45065</v>
      </c>
      <c r="C234" s="2" t="s">
        <v>936</v>
      </c>
      <c r="D234" s="2" t="s">
        <v>48</v>
      </c>
      <c r="E234" s="2">
        <v>4</v>
      </c>
      <c r="F234" s="2">
        <v>444.44</v>
      </c>
      <c r="G234" s="2" t="s">
        <v>937</v>
      </c>
      <c r="H234" s="2" t="s">
        <v>18</v>
      </c>
      <c r="I234" s="2" t="s">
        <v>35</v>
      </c>
      <c r="J234" s="2" t="s">
        <v>938</v>
      </c>
      <c r="K234" s="2">
        <v>8</v>
      </c>
      <c r="L234" s="2" t="s">
        <v>81</v>
      </c>
      <c r="M234" s="2" t="s">
        <v>76</v>
      </c>
      <c r="N234" s="2">
        <v>1777.76</v>
      </c>
    </row>
    <row r="235" spans="1:14" ht="15" x14ac:dyDescent="0.25">
      <c r="A235" s="2" t="s">
        <v>939</v>
      </c>
      <c r="B235" s="3">
        <v>45528</v>
      </c>
      <c r="C235" s="2" t="s">
        <v>940</v>
      </c>
      <c r="D235" s="2" t="s">
        <v>25</v>
      </c>
      <c r="E235" s="2">
        <v>3</v>
      </c>
      <c r="F235" s="2">
        <v>311.33</v>
      </c>
      <c r="G235" s="2" t="s">
        <v>347</v>
      </c>
      <c r="H235" s="2" t="s">
        <v>65</v>
      </c>
      <c r="I235" s="2" t="s">
        <v>35</v>
      </c>
      <c r="J235" s="2" t="s">
        <v>941</v>
      </c>
      <c r="K235" s="2">
        <v>3</v>
      </c>
      <c r="L235" s="2" t="s">
        <v>81</v>
      </c>
      <c r="M235" s="2" t="s">
        <v>22</v>
      </c>
      <c r="N235" s="2">
        <v>933.99</v>
      </c>
    </row>
    <row r="236" spans="1:14" ht="15" x14ac:dyDescent="0.25">
      <c r="A236" s="2" t="s">
        <v>942</v>
      </c>
      <c r="B236" s="3">
        <v>45622</v>
      </c>
      <c r="C236" s="2" t="s">
        <v>943</v>
      </c>
      <c r="D236" s="2" t="s">
        <v>48</v>
      </c>
      <c r="E236" s="2">
        <v>4</v>
      </c>
      <c r="F236" s="2">
        <v>236.41</v>
      </c>
      <c r="G236" s="2" t="s">
        <v>944</v>
      </c>
      <c r="H236" s="2" t="s">
        <v>18</v>
      </c>
      <c r="I236" s="2" t="s">
        <v>89</v>
      </c>
      <c r="J236" s="2" t="s">
        <v>945</v>
      </c>
      <c r="K236" s="2">
        <v>7</v>
      </c>
      <c r="L236" s="2" t="s">
        <v>21</v>
      </c>
      <c r="M236" s="2" t="s">
        <v>76</v>
      </c>
      <c r="N236" s="2">
        <v>945.64</v>
      </c>
    </row>
    <row r="237" spans="1:14" ht="15" x14ac:dyDescent="0.25">
      <c r="A237" s="2" t="s">
        <v>946</v>
      </c>
      <c r="B237" s="3">
        <v>44977</v>
      </c>
      <c r="C237" s="2" t="s">
        <v>947</v>
      </c>
      <c r="D237" s="2" t="s">
        <v>73</v>
      </c>
      <c r="E237" s="2">
        <v>1</v>
      </c>
      <c r="F237" s="2">
        <v>65.45</v>
      </c>
      <c r="G237" s="2" t="s">
        <v>948</v>
      </c>
      <c r="H237" s="2" t="s">
        <v>65</v>
      </c>
      <c r="I237" s="2" t="s">
        <v>89</v>
      </c>
      <c r="J237" s="2" t="s">
        <v>949</v>
      </c>
      <c r="K237" s="2">
        <v>2</v>
      </c>
      <c r="L237" s="2" t="s">
        <v>81</v>
      </c>
      <c r="M237" s="2" t="s">
        <v>76</v>
      </c>
      <c r="N237" s="2">
        <v>65.45</v>
      </c>
    </row>
    <row r="238" spans="1:14" ht="15" x14ac:dyDescent="0.25">
      <c r="A238" s="2" t="s">
        <v>950</v>
      </c>
      <c r="B238" s="3">
        <v>44927</v>
      </c>
      <c r="C238" s="2" t="s">
        <v>951</v>
      </c>
      <c r="D238" s="2" t="s">
        <v>16</v>
      </c>
      <c r="E238" s="2">
        <v>1</v>
      </c>
      <c r="F238" s="2">
        <v>318.81</v>
      </c>
      <c r="G238" s="2" t="s">
        <v>952</v>
      </c>
      <c r="H238" s="2" t="s">
        <v>18</v>
      </c>
      <c r="I238" s="2" t="s">
        <v>89</v>
      </c>
      <c r="J238" s="2" t="s">
        <v>953</v>
      </c>
      <c r="K238" s="2">
        <v>3</v>
      </c>
      <c r="L238" s="2" t="s">
        <v>81</v>
      </c>
      <c r="M238" s="2" t="s">
        <v>38</v>
      </c>
      <c r="N238" s="2">
        <v>318.81</v>
      </c>
    </row>
    <row r="239" spans="1:14" ht="15" x14ac:dyDescent="0.25">
      <c r="A239" s="2" t="s">
        <v>954</v>
      </c>
      <c r="B239" s="3">
        <v>45365</v>
      </c>
      <c r="C239" s="2" t="s">
        <v>955</v>
      </c>
      <c r="D239" s="2" t="s">
        <v>16</v>
      </c>
      <c r="E239" s="2">
        <v>3</v>
      </c>
      <c r="F239" s="2">
        <v>583.72</v>
      </c>
      <c r="G239" s="2" t="s">
        <v>956</v>
      </c>
      <c r="H239" s="2" t="s">
        <v>34</v>
      </c>
      <c r="I239" s="2" t="s">
        <v>19</v>
      </c>
      <c r="J239" s="2" t="s">
        <v>957</v>
      </c>
      <c r="K239" s="2">
        <v>5</v>
      </c>
      <c r="L239" s="2" t="s">
        <v>37</v>
      </c>
      <c r="M239" s="2" t="s">
        <v>45</v>
      </c>
      <c r="N239" s="2">
        <v>1751.16</v>
      </c>
    </row>
    <row r="240" spans="1:14" ht="15" x14ac:dyDescent="0.25">
      <c r="A240" s="2" t="s">
        <v>958</v>
      </c>
      <c r="B240" s="3">
        <v>45639</v>
      </c>
      <c r="C240" s="2" t="s">
        <v>959</v>
      </c>
      <c r="D240" s="2" t="s">
        <v>73</v>
      </c>
      <c r="E240" s="2">
        <v>4</v>
      </c>
      <c r="F240" s="2">
        <v>384.32</v>
      </c>
      <c r="G240" s="2" t="s">
        <v>960</v>
      </c>
      <c r="H240" s="2" t="s">
        <v>34</v>
      </c>
      <c r="I240" s="2" t="s">
        <v>89</v>
      </c>
      <c r="J240" s="2" t="s">
        <v>961</v>
      </c>
      <c r="K240" s="2">
        <v>6</v>
      </c>
      <c r="L240" s="2" t="s">
        <v>81</v>
      </c>
      <c r="M240" s="2" t="s">
        <v>76</v>
      </c>
      <c r="N240" s="2">
        <v>1537.28</v>
      </c>
    </row>
    <row r="241" spans="1:14" ht="15" x14ac:dyDescent="0.25">
      <c r="A241" s="2" t="s">
        <v>962</v>
      </c>
      <c r="B241" s="3">
        <v>45637</v>
      </c>
      <c r="C241" s="2" t="s">
        <v>963</v>
      </c>
      <c r="D241" s="2" t="s">
        <v>32</v>
      </c>
      <c r="E241" s="2">
        <v>3</v>
      </c>
      <c r="F241" s="2">
        <v>538.74</v>
      </c>
      <c r="G241" s="2" t="s">
        <v>964</v>
      </c>
      <c r="H241" s="2" t="s">
        <v>27</v>
      </c>
      <c r="I241" s="2" t="s">
        <v>19</v>
      </c>
      <c r="J241" s="2" t="s">
        <v>965</v>
      </c>
      <c r="K241" s="2">
        <v>6</v>
      </c>
      <c r="L241" s="2" t="s">
        <v>37</v>
      </c>
      <c r="M241" s="2" t="s">
        <v>38</v>
      </c>
      <c r="N241" s="2">
        <v>1616.22</v>
      </c>
    </row>
    <row r="242" spans="1:14" ht="15" x14ac:dyDescent="0.25">
      <c r="A242" s="2" t="s">
        <v>966</v>
      </c>
      <c r="B242" s="3">
        <v>45119</v>
      </c>
      <c r="C242" s="2" t="s">
        <v>967</v>
      </c>
      <c r="D242" s="2" t="s">
        <v>32</v>
      </c>
      <c r="E242" s="2">
        <v>1</v>
      </c>
      <c r="F242" s="2">
        <v>17.239999999999998</v>
      </c>
      <c r="G242" s="2" t="s">
        <v>968</v>
      </c>
      <c r="H242" s="2" t="s">
        <v>27</v>
      </c>
      <c r="I242" s="2" t="s">
        <v>89</v>
      </c>
      <c r="J242" s="2" t="s">
        <v>969</v>
      </c>
      <c r="K242" s="2">
        <v>2</v>
      </c>
      <c r="L242" s="2" t="s">
        <v>37</v>
      </c>
      <c r="M242" s="2" t="s">
        <v>22</v>
      </c>
      <c r="N242" s="2">
        <v>17.239999999999998</v>
      </c>
    </row>
    <row r="243" spans="1:14" ht="15" x14ac:dyDescent="0.25">
      <c r="A243" s="2" t="s">
        <v>970</v>
      </c>
      <c r="B243" s="3">
        <v>45062</v>
      </c>
      <c r="C243" s="2" t="s">
        <v>971</v>
      </c>
      <c r="D243" s="2" t="s">
        <v>41</v>
      </c>
      <c r="E243" s="2">
        <v>5</v>
      </c>
      <c r="F243" s="2">
        <v>615.66999999999996</v>
      </c>
      <c r="G243" s="2" t="s">
        <v>972</v>
      </c>
      <c r="H243" s="2" t="s">
        <v>27</v>
      </c>
      <c r="I243" s="2" t="s">
        <v>89</v>
      </c>
      <c r="J243" s="2" t="s">
        <v>973</v>
      </c>
      <c r="K243" s="2">
        <v>6</v>
      </c>
      <c r="L243" s="2" t="s">
        <v>21</v>
      </c>
      <c r="M243" s="2" t="s">
        <v>38</v>
      </c>
      <c r="N243" s="2">
        <v>3078.35</v>
      </c>
    </row>
    <row r="244" spans="1:14" ht="15" x14ac:dyDescent="0.25">
      <c r="A244" s="2" t="s">
        <v>974</v>
      </c>
      <c r="B244" s="3">
        <v>45055</v>
      </c>
      <c r="C244" s="2" t="s">
        <v>975</v>
      </c>
      <c r="D244" s="2" t="s">
        <v>48</v>
      </c>
      <c r="E244" s="2">
        <v>2</v>
      </c>
      <c r="F244" s="2">
        <v>219.1</v>
      </c>
      <c r="G244" s="2" t="s">
        <v>976</v>
      </c>
      <c r="H244" s="2" t="s">
        <v>27</v>
      </c>
      <c r="I244" s="2" t="s">
        <v>89</v>
      </c>
      <c r="J244" s="2" t="s">
        <v>977</v>
      </c>
      <c r="K244" s="2">
        <v>4</v>
      </c>
      <c r="L244" s="2" t="s">
        <v>21</v>
      </c>
      <c r="M244" s="2" t="s">
        <v>29</v>
      </c>
      <c r="N244" s="2">
        <v>438.2</v>
      </c>
    </row>
    <row r="245" spans="1:14" ht="15" x14ac:dyDescent="0.25">
      <c r="A245" s="2" t="s">
        <v>978</v>
      </c>
      <c r="B245" s="3">
        <v>45786</v>
      </c>
      <c r="C245" s="2" t="s">
        <v>979</v>
      </c>
      <c r="D245" s="2" t="s">
        <v>41</v>
      </c>
      <c r="E245" s="2">
        <v>2</v>
      </c>
      <c r="F245" s="2">
        <v>144.66</v>
      </c>
      <c r="G245" s="2" t="s">
        <v>980</v>
      </c>
      <c r="H245" s="2" t="s">
        <v>27</v>
      </c>
      <c r="I245" s="2" t="s">
        <v>35</v>
      </c>
      <c r="J245" s="2" t="s">
        <v>981</v>
      </c>
      <c r="K245" s="2">
        <v>7</v>
      </c>
      <c r="L245" s="2" t="s">
        <v>37</v>
      </c>
      <c r="M245" s="2" t="s">
        <v>76</v>
      </c>
      <c r="N245" s="2">
        <v>289.32</v>
      </c>
    </row>
    <row r="246" spans="1:14" ht="15" x14ac:dyDescent="0.25">
      <c r="A246" s="2" t="s">
        <v>982</v>
      </c>
      <c r="B246" s="3">
        <v>44973</v>
      </c>
      <c r="C246" s="2" t="s">
        <v>983</v>
      </c>
      <c r="D246" s="2" t="s">
        <v>73</v>
      </c>
      <c r="E246" s="2">
        <v>2</v>
      </c>
      <c r="F246" s="2">
        <v>317.77</v>
      </c>
      <c r="G246" s="2" t="s">
        <v>984</v>
      </c>
      <c r="H246" s="2" t="s">
        <v>18</v>
      </c>
      <c r="I246" s="2" t="s">
        <v>35</v>
      </c>
      <c r="J246" s="2" t="s">
        <v>985</v>
      </c>
      <c r="K246" s="2">
        <v>4</v>
      </c>
      <c r="L246" s="2" t="s">
        <v>81</v>
      </c>
      <c r="M246" s="2" t="s">
        <v>45</v>
      </c>
      <c r="N246" s="2">
        <v>635.54</v>
      </c>
    </row>
    <row r="247" spans="1:14" ht="15" x14ac:dyDescent="0.25">
      <c r="A247" s="2" t="s">
        <v>986</v>
      </c>
      <c r="B247" s="3">
        <v>45767</v>
      </c>
      <c r="C247" s="2" t="s">
        <v>987</v>
      </c>
      <c r="D247" s="2" t="s">
        <v>58</v>
      </c>
      <c r="E247" s="2">
        <v>1</v>
      </c>
      <c r="F247" s="2">
        <v>223.3</v>
      </c>
      <c r="G247" s="2" t="s">
        <v>988</v>
      </c>
      <c r="H247" s="2" t="s">
        <v>27</v>
      </c>
      <c r="I247" s="2" t="s">
        <v>43</v>
      </c>
      <c r="J247" s="2" t="s">
        <v>989</v>
      </c>
      <c r="K247" s="2">
        <v>1</v>
      </c>
      <c r="M247" s="2" t="s">
        <v>45</v>
      </c>
      <c r="N247" s="2">
        <v>223.3</v>
      </c>
    </row>
    <row r="248" spans="1:14" ht="15" x14ac:dyDescent="0.25">
      <c r="A248" s="2" t="s">
        <v>990</v>
      </c>
      <c r="B248" s="3">
        <v>45534</v>
      </c>
      <c r="C248" s="2" t="s">
        <v>991</v>
      </c>
      <c r="D248" s="2" t="s">
        <v>73</v>
      </c>
      <c r="E248" s="2">
        <v>2</v>
      </c>
      <c r="F248" s="2">
        <v>342.11</v>
      </c>
      <c r="G248" s="2" t="s">
        <v>992</v>
      </c>
      <c r="H248" s="2" t="s">
        <v>60</v>
      </c>
      <c r="I248" s="2" t="s">
        <v>19</v>
      </c>
      <c r="J248" s="2" t="s">
        <v>993</v>
      </c>
      <c r="K248" s="2">
        <v>2</v>
      </c>
      <c r="L248" s="2" t="s">
        <v>81</v>
      </c>
      <c r="M248" s="2" t="s">
        <v>22</v>
      </c>
      <c r="N248" s="2">
        <v>684.22</v>
      </c>
    </row>
    <row r="249" spans="1:14" ht="15" x14ac:dyDescent="0.25">
      <c r="A249" s="2" t="s">
        <v>994</v>
      </c>
      <c r="B249" s="3">
        <v>45127</v>
      </c>
      <c r="C249" s="2" t="s">
        <v>995</v>
      </c>
      <c r="D249" s="2" t="s">
        <v>48</v>
      </c>
      <c r="E249" s="2">
        <v>2</v>
      </c>
      <c r="F249" s="2">
        <v>220.9</v>
      </c>
      <c r="G249" s="2" t="s">
        <v>996</v>
      </c>
      <c r="H249" s="2" t="s">
        <v>60</v>
      </c>
      <c r="I249" s="2" t="s">
        <v>19</v>
      </c>
      <c r="J249" s="2" t="s">
        <v>997</v>
      </c>
      <c r="K249" s="2">
        <v>4</v>
      </c>
      <c r="M249" s="2" t="s">
        <v>38</v>
      </c>
      <c r="N249" s="2">
        <v>441.8</v>
      </c>
    </row>
    <row r="250" spans="1:14" ht="15" x14ac:dyDescent="0.25">
      <c r="A250" s="2" t="s">
        <v>998</v>
      </c>
      <c r="B250" s="3">
        <v>45109</v>
      </c>
      <c r="C250" s="2" t="s">
        <v>999</v>
      </c>
      <c r="D250" s="2" t="s">
        <v>58</v>
      </c>
      <c r="E250" s="2">
        <v>1</v>
      </c>
      <c r="F250" s="2">
        <v>670.54</v>
      </c>
      <c r="G250" s="2" t="s">
        <v>1000</v>
      </c>
      <c r="H250" s="2" t="s">
        <v>65</v>
      </c>
      <c r="I250" s="2" t="s">
        <v>19</v>
      </c>
      <c r="J250" s="2" t="s">
        <v>1001</v>
      </c>
      <c r="K250" s="2">
        <v>6</v>
      </c>
      <c r="L250" s="2" t="s">
        <v>37</v>
      </c>
      <c r="M250" s="2" t="s">
        <v>29</v>
      </c>
      <c r="N250" s="2">
        <v>670.54</v>
      </c>
    </row>
    <row r="251" spans="1:14" ht="15" x14ac:dyDescent="0.25">
      <c r="A251" s="2" t="s">
        <v>1002</v>
      </c>
      <c r="B251" s="3">
        <v>45329</v>
      </c>
      <c r="C251" s="2" t="s">
        <v>1003</v>
      </c>
      <c r="D251" s="2" t="s">
        <v>48</v>
      </c>
      <c r="E251" s="2">
        <v>1</v>
      </c>
      <c r="F251" s="2">
        <v>546.19000000000005</v>
      </c>
      <c r="G251" s="2" t="s">
        <v>1004</v>
      </c>
      <c r="H251" s="2" t="s">
        <v>65</v>
      </c>
      <c r="I251" s="2" t="s">
        <v>89</v>
      </c>
      <c r="J251" s="2" t="s">
        <v>1005</v>
      </c>
      <c r="K251" s="2">
        <v>5</v>
      </c>
      <c r="L251" s="2" t="s">
        <v>37</v>
      </c>
      <c r="M251" s="2" t="s">
        <v>29</v>
      </c>
      <c r="N251" s="2">
        <v>546.19000000000005</v>
      </c>
    </row>
    <row r="252" spans="1:14" ht="15" x14ac:dyDescent="0.25">
      <c r="A252" s="2" t="s">
        <v>1006</v>
      </c>
      <c r="B252" s="3">
        <v>45021</v>
      </c>
      <c r="C252" s="2" t="s">
        <v>1007</v>
      </c>
      <c r="D252" s="2" t="s">
        <v>73</v>
      </c>
      <c r="E252" s="2">
        <v>3</v>
      </c>
      <c r="F252" s="2">
        <v>42.95</v>
      </c>
      <c r="G252" s="2" t="s">
        <v>387</v>
      </c>
      <c r="H252" s="2" t="s">
        <v>60</v>
      </c>
      <c r="I252" s="2" t="s">
        <v>43</v>
      </c>
      <c r="J252" s="2" t="s">
        <v>1008</v>
      </c>
      <c r="K252" s="2">
        <v>8</v>
      </c>
      <c r="L252" s="2" t="s">
        <v>21</v>
      </c>
      <c r="M252" s="2" t="s">
        <v>38</v>
      </c>
      <c r="N252" s="2">
        <v>128.85</v>
      </c>
    </row>
    <row r="253" spans="1:14" ht="15" x14ac:dyDescent="0.25">
      <c r="A253" s="2" t="s">
        <v>1009</v>
      </c>
      <c r="B253" s="3">
        <v>45792</v>
      </c>
      <c r="C253" s="2" t="s">
        <v>1010</v>
      </c>
      <c r="D253" s="2" t="s">
        <v>16</v>
      </c>
      <c r="E253" s="2">
        <v>4</v>
      </c>
      <c r="F253" s="2">
        <v>14.69</v>
      </c>
      <c r="G253" s="2" t="s">
        <v>1011</v>
      </c>
      <c r="H253" s="2" t="s">
        <v>65</v>
      </c>
      <c r="I253" s="2" t="s">
        <v>35</v>
      </c>
      <c r="J253" s="2" t="s">
        <v>1012</v>
      </c>
      <c r="K253" s="2">
        <v>9</v>
      </c>
      <c r="M253" s="2" t="s">
        <v>38</v>
      </c>
      <c r="N253" s="2">
        <v>58.76</v>
      </c>
    </row>
    <row r="254" spans="1:14" ht="15" x14ac:dyDescent="0.25">
      <c r="A254" s="2" t="s">
        <v>1013</v>
      </c>
      <c r="B254" s="3">
        <v>45555</v>
      </c>
      <c r="C254" s="2" t="s">
        <v>1014</v>
      </c>
      <c r="D254" s="2" t="s">
        <v>25</v>
      </c>
      <c r="E254" s="2">
        <v>4</v>
      </c>
      <c r="F254" s="2">
        <v>668.36</v>
      </c>
      <c r="G254" s="2" t="s">
        <v>1015</v>
      </c>
      <c r="H254" s="2" t="s">
        <v>60</v>
      </c>
      <c r="I254" s="2" t="s">
        <v>35</v>
      </c>
      <c r="J254" s="2" t="s">
        <v>1016</v>
      </c>
      <c r="K254" s="2">
        <v>5</v>
      </c>
      <c r="L254" s="2" t="s">
        <v>37</v>
      </c>
      <c r="M254" s="2" t="s">
        <v>45</v>
      </c>
      <c r="N254" s="2">
        <v>2673.44</v>
      </c>
    </row>
    <row r="255" spans="1:14" ht="15" x14ac:dyDescent="0.25">
      <c r="A255" s="2" t="s">
        <v>1017</v>
      </c>
      <c r="B255" s="3">
        <v>45374</v>
      </c>
      <c r="C255" s="2" t="s">
        <v>1018</v>
      </c>
      <c r="D255" s="2" t="s">
        <v>41</v>
      </c>
      <c r="E255" s="2">
        <v>4</v>
      </c>
      <c r="F255" s="2">
        <v>413.74</v>
      </c>
      <c r="G255" s="2" t="s">
        <v>434</v>
      </c>
      <c r="H255" s="2" t="s">
        <v>60</v>
      </c>
      <c r="I255" s="2" t="s">
        <v>43</v>
      </c>
      <c r="J255" s="2" t="s">
        <v>1019</v>
      </c>
      <c r="K255" s="2">
        <v>7</v>
      </c>
      <c r="L255" s="2" t="s">
        <v>37</v>
      </c>
      <c r="M255" s="2" t="s">
        <v>22</v>
      </c>
      <c r="N255" s="2">
        <v>1654.96</v>
      </c>
    </row>
    <row r="256" spans="1:14" ht="15" x14ac:dyDescent="0.25">
      <c r="A256" s="2" t="s">
        <v>1020</v>
      </c>
      <c r="B256" s="3">
        <v>45286</v>
      </c>
      <c r="C256" s="2" t="s">
        <v>1021</v>
      </c>
      <c r="D256" s="2" t="s">
        <v>16</v>
      </c>
      <c r="E256" s="2">
        <v>3</v>
      </c>
      <c r="F256" s="2">
        <v>263.19</v>
      </c>
      <c r="G256" s="2" t="s">
        <v>960</v>
      </c>
      <c r="H256" s="2" t="s">
        <v>27</v>
      </c>
      <c r="I256" s="2" t="s">
        <v>50</v>
      </c>
      <c r="J256" s="2" t="s">
        <v>1022</v>
      </c>
      <c r="K256" s="2">
        <v>5</v>
      </c>
      <c r="M256" s="2" t="s">
        <v>22</v>
      </c>
      <c r="N256" s="2">
        <v>789.56999999999994</v>
      </c>
    </row>
    <row r="257" spans="1:14" ht="15" x14ac:dyDescent="0.25">
      <c r="A257" s="2" t="s">
        <v>1023</v>
      </c>
      <c r="B257" s="3">
        <v>45425</v>
      </c>
      <c r="C257" s="2" t="s">
        <v>1024</v>
      </c>
      <c r="D257" s="2" t="s">
        <v>16</v>
      </c>
      <c r="E257" s="2">
        <v>1</v>
      </c>
      <c r="F257" s="2">
        <v>263.95999999999998</v>
      </c>
      <c r="G257" s="2" t="s">
        <v>715</v>
      </c>
      <c r="H257" s="2" t="s">
        <v>60</v>
      </c>
      <c r="I257" s="2" t="s">
        <v>43</v>
      </c>
      <c r="J257" s="2" t="s">
        <v>1025</v>
      </c>
      <c r="K257" s="2">
        <v>2</v>
      </c>
      <c r="L257" s="2" t="s">
        <v>21</v>
      </c>
      <c r="M257" s="2" t="s">
        <v>76</v>
      </c>
      <c r="N257" s="2">
        <v>263.95999999999998</v>
      </c>
    </row>
    <row r="258" spans="1:14" ht="15" x14ac:dyDescent="0.25">
      <c r="A258" s="2" t="s">
        <v>1026</v>
      </c>
      <c r="B258" s="3">
        <v>45838</v>
      </c>
      <c r="C258" s="2" t="s">
        <v>1027</v>
      </c>
      <c r="D258" s="2" t="s">
        <v>41</v>
      </c>
      <c r="E258" s="2">
        <v>5</v>
      </c>
      <c r="F258" s="2">
        <v>75.81</v>
      </c>
      <c r="G258" s="2" t="s">
        <v>1028</v>
      </c>
      <c r="H258" s="2" t="s">
        <v>60</v>
      </c>
      <c r="I258" s="2" t="s">
        <v>43</v>
      </c>
      <c r="J258" s="2" t="s">
        <v>1029</v>
      </c>
      <c r="K258" s="2">
        <v>10</v>
      </c>
      <c r="L258" s="2" t="s">
        <v>81</v>
      </c>
      <c r="M258" s="2" t="s">
        <v>22</v>
      </c>
      <c r="N258" s="2">
        <v>379.05</v>
      </c>
    </row>
    <row r="259" spans="1:14" ht="15" x14ac:dyDescent="0.25">
      <c r="A259" s="2" t="s">
        <v>1030</v>
      </c>
      <c r="B259" s="3">
        <v>45405</v>
      </c>
      <c r="C259" s="2" t="s">
        <v>1031</v>
      </c>
      <c r="D259" s="2" t="s">
        <v>25</v>
      </c>
      <c r="E259" s="2">
        <v>1</v>
      </c>
      <c r="F259" s="2">
        <v>406.22</v>
      </c>
      <c r="G259" s="2" t="s">
        <v>1032</v>
      </c>
      <c r="H259" s="2" t="s">
        <v>34</v>
      </c>
      <c r="I259" s="2" t="s">
        <v>35</v>
      </c>
      <c r="J259" s="2" t="s">
        <v>1033</v>
      </c>
      <c r="K259" s="2">
        <v>5</v>
      </c>
      <c r="L259" s="2" t="s">
        <v>21</v>
      </c>
      <c r="M259" s="2" t="s">
        <v>29</v>
      </c>
      <c r="N259" s="2">
        <v>406.22</v>
      </c>
    </row>
    <row r="260" spans="1:14" ht="15" x14ac:dyDescent="0.25">
      <c r="A260" s="2" t="s">
        <v>1034</v>
      </c>
      <c r="B260" s="3">
        <v>45348</v>
      </c>
      <c r="C260" s="2" t="s">
        <v>1035</v>
      </c>
      <c r="D260" s="2" t="s">
        <v>32</v>
      </c>
      <c r="E260" s="2">
        <v>2</v>
      </c>
      <c r="F260" s="2">
        <v>103.41</v>
      </c>
      <c r="G260" s="2" t="s">
        <v>1036</v>
      </c>
      <c r="H260" s="2" t="s">
        <v>27</v>
      </c>
      <c r="I260" s="2" t="s">
        <v>19</v>
      </c>
      <c r="J260" s="2" t="s">
        <v>1037</v>
      </c>
      <c r="K260" s="2">
        <v>2</v>
      </c>
      <c r="L260" s="2" t="s">
        <v>37</v>
      </c>
      <c r="M260" s="2" t="s">
        <v>29</v>
      </c>
      <c r="N260" s="2">
        <v>206.82</v>
      </c>
    </row>
    <row r="261" spans="1:14" ht="15" x14ac:dyDescent="0.25">
      <c r="A261" s="2" t="s">
        <v>1038</v>
      </c>
      <c r="B261" s="3">
        <v>45088</v>
      </c>
      <c r="C261" s="2" t="s">
        <v>1039</v>
      </c>
      <c r="D261" s="2" t="s">
        <v>41</v>
      </c>
      <c r="E261" s="2">
        <v>4</v>
      </c>
      <c r="F261" s="2">
        <v>435.12</v>
      </c>
      <c r="G261" s="2" t="s">
        <v>565</v>
      </c>
      <c r="H261" s="2" t="s">
        <v>34</v>
      </c>
      <c r="I261" s="2" t="s">
        <v>50</v>
      </c>
      <c r="J261" s="2" t="s">
        <v>1040</v>
      </c>
      <c r="K261" s="2">
        <v>9</v>
      </c>
      <c r="L261" s="2" t="s">
        <v>21</v>
      </c>
      <c r="M261" s="2" t="s">
        <v>22</v>
      </c>
      <c r="N261" s="2">
        <v>1740.48</v>
      </c>
    </row>
    <row r="262" spans="1:14" ht="15" x14ac:dyDescent="0.25">
      <c r="A262" s="2" t="s">
        <v>1041</v>
      </c>
      <c r="B262" s="3">
        <v>45063</v>
      </c>
      <c r="C262" s="2" t="s">
        <v>1042</v>
      </c>
      <c r="D262" s="2" t="s">
        <v>16</v>
      </c>
      <c r="E262" s="2">
        <v>2</v>
      </c>
      <c r="F262" s="2">
        <v>407.79</v>
      </c>
      <c r="G262" s="2" t="s">
        <v>1043</v>
      </c>
      <c r="H262" s="2" t="s">
        <v>18</v>
      </c>
      <c r="I262" s="2" t="s">
        <v>19</v>
      </c>
      <c r="J262" s="2" t="s">
        <v>1044</v>
      </c>
      <c r="K262" s="2">
        <v>3</v>
      </c>
      <c r="M262" s="2" t="s">
        <v>76</v>
      </c>
      <c r="N262" s="2">
        <v>815.58</v>
      </c>
    </row>
    <row r="263" spans="1:14" ht="15" x14ac:dyDescent="0.25">
      <c r="A263" s="2" t="s">
        <v>1045</v>
      </c>
      <c r="B263" s="3">
        <v>45805</v>
      </c>
      <c r="C263" s="2" t="s">
        <v>1046</v>
      </c>
      <c r="D263" s="2" t="s">
        <v>25</v>
      </c>
      <c r="E263" s="2">
        <v>5</v>
      </c>
      <c r="F263" s="2">
        <v>173.65</v>
      </c>
      <c r="G263" s="2" t="s">
        <v>1047</v>
      </c>
      <c r="H263" s="2" t="s">
        <v>60</v>
      </c>
      <c r="I263" s="2" t="s">
        <v>50</v>
      </c>
      <c r="J263" s="2" t="s">
        <v>1048</v>
      </c>
      <c r="K263" s="2">
        <v>9</v>
      </c>
      <c r="L263" s="2" t="s">
        <v>21</v>
      </c>
      <c r="M263" s="2" t="s">
        <v>38</v>
      </c>
      <c r="N263" s="2">
        <v>868.25</v>
      </c>
    </row>
    <row r="264" spans="1:14" ht="15" x14ac:dyDescent="0.25">
      <c r="A264" s="2" t="s">
        <v>1049</v>
      </c>
      <c r="B264" s="3">
        <v>44936</v>
      </c>
      <c r="C264" s="2" t="s">
        <v>1050</v>
      </c>
      <c r="D264" s="2" t="s">
        <v>25</v>
      </c>
      <c r="E264" s="2">
        <v>4</v>
      </c>
      <c r="F264" s="2">
        <v>249.07</v>
      </c>
      <c r="G264" s="2" t="s">
        <v>572</v>
      </c>
      <c r="H264" s="2" t="s">
        <v>34</v>
      </c>
      <c r="I264" s="2" t="s">
        <v>43</v>
      </c>
      <c r="J264" s="2" t="s">
        <v>1051</v>
      </c>
      <c r="K264" s="2">
        <v>5</v>
      </c>
      <c r="L264" s="2" t="s">
        <v>81</v>
      </c>
      <c r="M264" s="2" t="s">
        <v>29</v>
      </c>
      <c r="N264" s="2">
        <v>996.28</v>
      </c>
    </row>
    <row r="265" spans="1:14" ht="15" x14ac:dyDescent="0.25">
      <c r="A265" s="2" t="s">
        <v>1052</v>
      </c>
      <c r="B265" s="3">
        <v>45010</v>
      </c>
      <c r="C265" s="2" t="s">
        <v>1053</v>
      </c>
      <c r="D265" s="2" t="s">
        <v>25</v>
      </c>
      <c r="E265" s="2">
        <v>4</v>
      </c>
      <c r="F265" s="2">
        <v>434.85</v>
      </c>
      <c r="G265" s="2" t="s">
        <v>1054</v>
      </c>
      <c r="H265" s="2" t="s">
        <v>34</v>
      </c>
      <c r="I265" s="2" t="s">
        <v>89</v>
      </c>
      <c r="J265" s="2" t="s">
        <v>1055</v>
      </c>
      <c r="K265" s="2">
        <v>4</v>
      </c>
      <c r="L265" s="2" t="s">
        <v>81</v>
      </c>
      <c r="M265" s="2" t="s">
        <v>76</v>
      </c>
      <c r="N265" s="2">
        <v>1739.4</v>
      </c>
    </row>
    <row r="266" spans="1:14" ht="15" x14ac:dyDescent="0.25">
      <c r="A266" s="2" t="s">
        <v>1056</v>
      </c>
      <c r="B266" s="3">
        <v>45507</v>
      </c>
      <c r="C266" s="2" t="s">
        <v>1057</v>
      </c>
      <c r="D266" s="2" t="s">
        <v>32</v>
      </c>
      <c r="E266" s="2">
        <v>1</v>
      </c>
      <c r="F266" s="2">
        <v>436.77</v>
      </c>
      <c r="G266" s="2" t="s">
        <v>1058</v>
      </c>
      <c r="H266" s="2" t="s">
        <v>65</v>
      </c>
      <c r="I266" s="2" t="s">
        <v>43</v>
      </c>
      <c r="J266" s="2" t="s">
        <v>1059</v>
      </c>
      <c r="K266" s="2">
        <v>5</v>
      </c>
      <c r="L266" s="2" t="s">
        <v>37</v>
      </c>
      <c r="M266" s="2" t="s">
        <v>76</v>
      </c>
      <c r="N266" s="2">
        <v>436.77</v>
      </c>
    </row>
    <row r="267" spans="1:14" ht="15" x14ac:dyDescent="0.25">
      <c r="A267" s="2" t="s">
        <v>1060</v>
      </c>
      <c r="B267" s="3">
        <v>45282</v>
      </c>
      <c r="C267" s="2" t="s">
        <v>1061</v>
      </c>
      <c r="D267" s="2" t="s">
        <v>48</v>
      </c>
      <c r="E267" s="2">
        <v>1</v>
      </c>
      <c r="F267" s="2">
        <v>572.13</v>
      </c>
      <c r="G267" s="2" t="s">
        <v>1062</v>
      </c>
      <c r="H267" s="2" t="s">
        <v>18</v>
      </c>
      <c r="I267" s="2" t="s">
        <v>35</v>
      </c>
      <c r="J267" s="2" t="s">
        <v>1063</v>
      </c>
      <c r="K267" s="2">
        <v>4</v>
      </c>
      <c r="L267" s="2" t="s">
        <v>21</v>
      </c>
      <c r="M267" s="2" t="s">
        <v>76</v>
      </c>
      <c r="N267" s="2">
        <v>572.13</v>
      </c>
    </row>
    <row r="268" spans="1:14" ht="15" x14ac:dyDescent="0.25">
      <c r="A268" s="2" t="s">
        <v>1064</v>
      </c>
      <c r="B268" s="3">
        <v>45451</v>
      </c>
      <c r="C268" s="2" t="s">
        <v>1065</v>
      </c>
      <c r="D268" s="2" t="s">
        <v>41</v>
      </c>
      <c r="E268" s="2">
        <v>4</v>
      </c>
      <c r="F268" s="2">
        <v>583.07000000000005</v>
      </c>
      <c r="G268" s="2" t="s">
        <v>1066</v>
      </c>
      <c r="H268" s="2" t="s">
        <v>34</v>
      </c>
      <c r="I268" s="2" t="s">
        <v>35</v>
      </c>
      <c r="J268" s="2" t="s">
        <v>1067</v>
      </c>
      <c r="K268" s="2">
        <v>6</v>
      </c>
      <c r="L268" s="2" t="s">
        <v>37</v>
      </c>
      <c r="M268" s="2" t="s">
        <v>29</v>
      </c>
      <c r="N268" s="2">
        <v>2332.2800000000002</v>
      </c>
    </row>
    <row r="269" spans="1:14" ht="15" x14ac:dyDescent="0.25">
      <c r="A269" s="2" t="s">
        <v>1068</v>
      </c>
      <c r="B269" s="3">
        <v>45764</v>
      </c>
      <c r="C269" s="2" t="s">
        <v>1069</v>
      </c>
      <c r="D269" s="2" t="s">
        <v>41</v>
      </c>
      <c r="E269" s="2">
        <v>5</v>
      </c>
      <c r="F269" s="2">
        <v>468.51</v>
      </c>
      <c r="G269" s="2" t="s">
        <v>1070</v>
      </c>
      <c r="H269" s="2" t="s">
        <v>18</v>
      </c>
      <c r="I269" s="2" t="s">
        <v>50</v>
      </c>
      <c r="J269" s="2" t="s">
        <v>1071</v>
      </c>
      <c r="K269" s="2">
        <v>9</v>
      </c>
      <c r="M269" s="2" t="s">
        <v>45</v>
      </c>
      <c r="N269" s="2">
        <v>2342.5500000000002</v>
      </c>
    </row>
    <row r="270" spans="1:14" ht="15" x14ac:dyDescent="0.25">
      <c r="A270" s="2" t="s">
        <v>1072</v>
      </c>
      <c r="B270" s="3">
        <v>45149</v>
      </c>
      <c r="C270" s="2" t="s">
        <v>1073</v>
      </c>
      <c r="D270" s="2" t="s">
        <v>25</v>
      </c>
      <c r="E270" s="2">
        <v>2</v>
      </c>
      <c r="F270" s="2">
        <v>423.88</v>
      </c>
      <c r="G270" s="2" t="s">
        <v>1074</v>
      </c>
      <c r="H270" s="2" t="s">
        <v>18</v>
      </c>
      <c r="I270" s="2" t="s">
        <v>50</v>
      </c>
      <c r="J270" s="2" t="s">
        <v>1075</v>
      </c>
      <c r="K270" s="2">
        <v>7</v>
      </c>
      <c r="L270" s="2" t="s">
        <v>21</v>
      </c>
      <c r="M270" s="2" t="s">
        <v>29</v>
      </c>
      <c r="N270" s="2">
        <v>847.76</v>
      </c>
    </row>
    <row r="271" spans="1:14" ht="15" x14ac:dyDescent="0.25">
      <c r="A271" s="2" t="s">
        <v>1076</v>
      </c>
      <c r="B271" s="3">
        <v>45255</v>
      </c>
      <c r="C271" s="2" t="s">
        <v>1077</v>
      </c>
      <c r="D271" s="2" t="s">
        <v>32</v>
      </c>
      <c r="E271" s="2">
        <v>4</v>
      </c>
      <c r="F271" s="2">
        <v>663.67</v>
      </c>
      <c r="G271" s="2" t="s">
        <v>327</v>
      </c>
      <c r="H271" s="2" t="s">
        <v>34</v>
      </c>
      <c r="I271" s="2" t="s">
        <v>89</v>
      </c>
      <c r="J271" s="2" t="s">
        <v>1078</v>
      </c>
      <c r="K271" s="2">
        <v>7</v>
      </c>
      <c r="L271" s="2" t="s">
        <v>37</v>
      </c>
      <c r="M271" s="2" t="s">
        <v>76</v>
      </c>
      <c r="N271" s="2">
        <v>2654.68</v>
      </c>
    </row>
    <row r="272" spans="1:14" ht="15" x14ac:dyDescent="0.25">
      <c r="A272" s="2" t="s">
        <v>1079</v>
      </c>
      <c r="B272" s="3">
        <v>45081</v>
      </c>
      <c r="C272" s="2" t="s">
        <v>1080</v>
      </c>
      <c r="D272" s="2" t="s">
        <v>48</v>
      </c>
      <c r="E272" s="2">
        <v>4</v>
      </c>
      <c r="F272" s="2">
        <v>309.91000000000003</v>
      </c>
      <c r="G272" s="2" t="s">
        <v>1081</v>
      </c>
      <c r="H272" s="2" t="s">
        <v>18</v>
      </c>
      <c r="I272" s="2" t="s">
        <v>19</v>
      </c>
      <c r="J272" s="2" t="s">
        <v>1082</v>
      </c>
      <c r="K272" s="2">
        <v>5</v>
      </c>
      <c r="L272" s="2" t="s">
        <v>81</v>
      </c>
      <c r="M272" s="2" t="s">
        <v>76</v>
      </c>
      <c r="N272" s="2">
        <v>1239.6400000000001</v>
      </c>
    </row>
    <row r="273" spans="1:14" ht="15" x14ac:dyDescent="0.25">
      <c r="A273" s="2" t="s">
        <v>1083</v>
      </c>
      <c r="B273" s="3">
        <v>45013</v>
      </c>
      <c r="C273" s="2" t="s">
        <v>1084</v>
      </c>
      <c r="D273" s="2" t="s">
        <v>16</v>
      </c>
      <c r="E273" s="2">
        <v>1</v>
      </c>
      <c r="F273" s="2">
        <v>542.07000000000005</v>
      </c>
      <c r="G273" s="2" t="s">
        <v>1085</v>
      </c>
      <c r="H273" s="2" t="s">
        <v>65</v>
      </c>
      <c r="I273" s="2" t="s">
        <v>19</v>
      </c>
      <c r="J273" s="2" t="s">
        <v>1086</v>
      </c>
      <c r="K273" s="2">
        <v>6</v>
      </c>
      <c r="L273" s="2" t="s">
        <v>81</v>
      </c>
      <c r="M273" s="2" t="s">
        <v>29</v>
      </c>
      <c r="N273" s="2">
        <v>542.07000000000005</v>
      </c>
    </row>
    <row r="274" spans="1:14" ht="15" x14ac:dyDescent="0.25">
      <c r="A274" s="2" t="s">
        <v>1087</v>
      </c>
      <c r="B274" s="3">
        <v>45188</v>
      </c>
      <c r="C274" s="2" t="s">
        <v>1088</v>
      </c>
      <c r="D274" s="2" t="s">
        <v>41</v>
      </c>
      <c r="E274" s="2">
        <v>2</v>
      </c>
      <c r="F274" s="2">
        <v>399.32</v>
      </c>
      <c r="G274" s="2" t="s">
        <v>1089</v>
      </c>
      <c r="H274" s="2" t="s">
        <v>27</v>
      </c>
      <c r="I274" s="2" t="s">
        <v>89</v>
      </c>
      <c r="J274" s="2" t="s">
        <v>1090</v>
      </c>
      <c r="K274" s="2">
        <v>6</v>
      </c>
      <c r="L274" s="2" t="s">
        <v>81</v>
      </c>
      <c r="M274" s="2" t="s">
        <v>22</v>
      </c>
      <c r="N274" s="2">
        <v>798.64</v>
      </c>
    </row>
    <row r="275" spans="1:14" ht="15" x14ac:dyDescent="0.25">
      <c r="A275" s="2" t="s">
        <v>1091</v>
      </c>
      <c r="B275" s="3">
        <v>45592</v>
      </c>
      <c r="C275" s="2" t="s">
        <v>1092</v>
      </c>
      <c r="D275" s="2" t="s">
        <v>32</v>
      </c>
      <c r="E275" s="2">
        <v>2</v>
      </c>
      <c r="F275" s="2">
        <v>238.25</v>
      </c>
      <c r="G275" s="2" t="s">
        <v>1093</v>
      </c>
      <c r="H275" s="2" t="s">
        <v>27</v>
      </c>
      <c r="I275" s="2" t="s">
        <v>35</v>
      </c>
      <c r="J275" s="2" t="s">
        <v>1094</v>
      </c>
      <c r="K275" s="2">
        <v>7</v>
      </c>
      <c r="L275" s="2" t="s">
        <v>37</v>
      </c>
      <c r="M275" s="2" t="s">
        <v>38</v>
      </c>
      <c r="N275" s="2">
        <v>476.5</v>
      </c>
    </row>
    <row r="276" spans="1:14" ht="15" x14ac:dyDescent="0.25">
      <c r="A276" s="2" t="s">
        <v>1095</v>
      </c>
      <c r="B276" s="3">
        <v>44961</v>
      </c>
      <c r="C276" s="2" t="s">
        <v>1096</v>
      </c>
      <c r="D276" s="2" t="s">
        <v>25</v>
      </c>
      <c r="E276" s="2">
        <v>2</v>
      </c>
      <c r="F276" s="2">
        <v>182.4</v>
      </c>
      <c r="G276" s="2" t="s">
        <v>1097</v>
      </c>
      <c r="H276" s="2" t="s">
        <v>60</v>
      </c>
      <c r="I276" s="2" t="s">
        <v>35</v>
      </c>
      <c r="J276" s="2" t="s">
        <v>1098</v>
      </c>
      <c r="K276" s="2">
        <v>5</v>
      </c>
      <c r="L276" s="2" t="s">
        <v>21</v>
      </c>
      <c r="M276" s="2" t="s">
        <v>29</v>
      </c>
      <c r="N276" s="2">
        <v>364.8</v>
      </c>
    </row>
    <row r="277" spans="1:14" ht="15" x14ac:dyDescent="0.25">
      <c r="A277" s="2" t="s">
        <v>1099</v>
      </c>
      <c r="B277" s="3">
        <v>45234</v>
      </c>
      <c r="C277" s="2" t="s">
        <v>1100</v>
      </c>
      <c r="D277" s="2" t="s">
        <v>41</v>
      </c>
      <c r="E277" s="2">
        <v>2</v>
      </c>
      <c r="F277" s="2">
        <v>65.069999999999993</v>
      </c>
      <c r="G277" s="2" t="s">
        <v>1101</v>
      </c>
      <c r="H277" s="2" t="s">
        <v>34</v>
      </c>
      <c r="I277" s="2" t="s">
        <v>35</v>
      </c>
      <c r="J277" s="2" t="s">
        <v>1102</v>
      </c>
      <c r="K277" s="2">
        <v>4</v>
      </c>
      <c r="L277" s="2" t="s">
        <v>21</v>
      </c>
      <c r="M277" s="2" t="s">
        <v>76</v>
      </c>
      <c r="N277" s="2">
        <v>130.13999999999999</v>
      </c>
    </row>
    <row r="278" spans="1:14" ht="15" x14ac:dyDescent="0.25">
      <c r="A278" s="2" t="s">
        <v>1103</v>
      </c>
      <c r="B278" s="3">
        <v>45745</v>
      </c>
      <c r="C278" s="2" t="s">
        <v>1104</v>
      </c>
      <c r="D278" s="2" t="s">
        <v>48</v>
      </c>
      <c r="E278" s="2">
        <v>2</v>
      </c>
      <c r="F278" s="2">
        <v>600.57000000000005</v>
      </c>
      <c r="G278" s="2" t="s">
        <v>1105</v>
      </c>
      <c r="H278" s="2" t="s">
        <v>18</v>
      </c>
      <c r="I278" s="2" t="s">
        <v>43</v>
      </c>
      <c r="J278" s="2" t="s">
        <v>1106</v>
      </c>
      <c r="K278" s="2">
        <v>3</v>
      </c>
      <c r="L278" s="2" t="s">
        <v>81</v>
      </c>
      <c r="M278" s="2" t="s">
        <v>22</v>
      </c>
      <c r="N278" s="2">
        <v>1201.1400000000001</v>
      </c>
    </row>
    <row r="279" spans="1:14" ht="15" x14ac:dyDescent="0.25">
      <c r="A279" s="2" t="s">
        <v>1107</v>
      </c>
      <c r="B279" s="3">
        <v>45544</v>
      </c>
      <c r="C279" s="2" t="s">
        <v>1108</v>
      </c>
      <c r="D279" s="2" t="s">
        <v>41</v>
      </c>
      <c r="E279" s="2">
        <v>5</v>
      </c>
      <c r="F279" s="2">
        <v>90.92</v>
      </c>
      <c r="G279" s="2" t="s">
        <v>1109</v>
      </c>
      <c r="H279" s="2" t="s">
        <v>34</v>
      </c>
      <c r="I279" s="2" t="s">
        <v>50</v>
      </c>
      <c r="J279" s="2" t="s">
        <v>1110</v>
      </c>
      <c r="K279" s="2">
        <v>9</v>
      </c>
      <c r="L279" s="2" t="s">
        <v>21</v>
      </c>
      <c r="M279" s="2" t="s">
        <v>45</v>
      </c>
      <c r="N279" s="2">
        <v>454.6</v>
      </c>
    </row>
    <row r="280" spans="1:14" ht="15" x14ac:dyDescent="0.25">
      <c r="A280" s="2" t="s">
        <v>1111</v>
      </c>
      <c r="B280" s="3">
        <v>45614</v>
      </c>
      <c r="C280" s="2" t="s">
        <v>1112</v>
      </c>
      <c r="D280" s="2" t="s">
        <v>58</v>
      </c>
      <c r="E280" s="2">
        <v>5</v>
      </c>
      <c r="F280" s="2">
        <v>362.46</v>
      </c>
      <c r="G280" s="2" t="s">
        <v>1113</v>
      </c>
      <c r="H280" s="2" t="s">
        <v>65</v>
      </c>
      <c r="I280" s="2" t="s">
        <v>50</v>
      </c>
      <c r="J280" s="2" t="s">
        <v>1114</v>
      </c>
      <c r="K280" s="2">
        <v>6</v>
      </c>
      <c r="L280" s="2" t="s">
        <v>37</v>
      </c>
      <c r="M280" s="2" t="s">
        <v>22</v>
      </c>
      <c r="N280" s="2">
        <v>1812.3</v>
      </c>
    </row>
    <row r="281" spans="1:14" ht="15" x14ac:dyDescent="0.25">
      <c r="A281" s="2" t="s">
        <v>1115</v>
      </c>
      <c r="B281" s="3">
        <v>45219</v>
      </c>
      <c r="C281" s="2" t="s">
        <v>1116</v>
      </c>
      <c r="D281" s="2" t="s">
        <v>41</v>
      </c>
      <c r="E281" s="2">
        <v>3</v>
      </c>
      <c r="F281" s="2">
        <v>55.01</v>
      </c>
      <c r="G281" s="2" t="s">
        <v>1117</v>
      </c>
      <c r="H281" s="2" t="s">
        <v>27</v>
      </c>
      <c r="I281" s="2" t="s">
        <v>89</v>
      </c>
      <c r="J281" s="2" t="s">
        <v>1118</v>
      </c>
      <c r="K281" s="2">
        <v>7</v>
      </c>
      <c r="L281" s="2" t="s">
        <v>81</v>
      </c>
      <c r="M281" s="2" t="s">
        <v>38</v>
      </c>
      <c r="N281" s="2">
        <v>165.03</v>
      </c>
    </row>
    <row r="282" spans="1:14" ht="15" x14ac:dyDescent="0.25">
      <c r="A282" s="2" t="s">
        <v>1119</v>
      </c>
      <c r="B282" s="3">
        <v>45012</v>
      </c>
      <c r="C282" s="2" t="s">
        <v>1120</v>
      </c>
      <c r="D282" s="2" t="s">
        <v>32</v>
      </c>
      <c r="E282" s="2">
        <v>3</v>
      </c>
      <c r="F282" s="2">
        <v>404.62</v>
      </c>
      <c r="G282" s="2" t="s">
        <v>1121</v>
      </c>
      <c r="H282" s="2" t="s">
        <v>60</v>
      </c>
      <c r="I282" s="2" t="s">
        <v>50</v>
      </c>
      <c r="J282" s="2" t="s">
        <v>1122</v>
      </c>
      <c r="K282" s="2">
        <v>6</v>
      </c>
      <c r="L282" s="2" t="s">
        <v>37</v>
      </c>
      <c r="M282" s="2" t="s">
        <v>22</v>
      </c>
      <c r="N282" s="2">
        <v>1213.8599999999999</v>
      </c>
    </row>
    <row r="283" spans="1:14" ht="15" x14ac:dyDescent="0.25">
      <c r="A283" s="2" t="s">
        <v>1123</v>
      </c>
      <c r="B283" s="3">
        <v>45134</v>
      </c>
      <c r="C283" s="2" t="s">
        <v>1124</v>
      </c>
      <c r="D283" s="2" t="s">
        <v>73</v>
      </c>
      <c r="E283" s="2">
        <v>4</v>
      </c>
      <c r="F283" s="2">
        <v>654.79</v>
      </c>
      <c r="G283" s="2" t="s">
        <v>1125</v>
      </c>
      <c r="H283" s="2" t="s">
        <v>65</v>
      </c>
      <c r="I283" s="2" t="s">
        <v>89</v>
      </c>
      <c r="J283" s="2" t="s">
        <v>1126</v>
      </c>
      <c r="K283" s="2">
        <v>9</v>
      </c>
      <c r="M283" s="2" t="s">
        <v>29</v>
      </c>
      <c r="N283" s="2">
        <v>2619.16</v>
      </c>
    </row>
    <row r="284" spans="1:14" ht="15" x14ac:dyDescent="0.25">
      <c r="A284" s="2" t="s">
        <v>1127</v>
      </c>
      <c r="B284" s="3">
        <v>45769</v>
      </c>
      <c r="C284" s="2" t="s">
        <v>1128</v>
      </c>
      <c r="D284" s="2" t="s">
        <v>48</v>
      </c>
      <c r="E284" s="2">
        <v>4</v>
      </c>
      <c r="F284" s="2">
        <v>637.79</v>
      </c>
      <c r="G284" s="2" t="s">
        <v>1129</v>
      </c>
      <c r="H284" s="2" t="s">
        <v>60</v>
      </c>
      <c r="I284" s="2" t="s">
        <v>35</v>
      </c>
      <c r="J284" s="2" t="s">
        <v>1130</v>
      </c>
      <c r="K284" s="2">
        <v>9</v>
      </c>
      <c r="L284" s="2" t="s">
        <v>37</v>
      </c>
      <c r="M284" s="2" t="s">
        <v>76</v>
      </c>
      <c r="N284" s="2">
        <v>2551.16</v>
      </c>
    </row>
    <row r="285" spans="1:14" ht="15" x14ac:dyDescent="0.25">
      <c r="A285" s="2" t="s">
        <v>1131</v>
      </c>
      <c r="B285" s="3">
        <v>45716</v>
      </c>
      <c r="C285" s="2" t="s">
        <v>1132</v>
      </c>
      <c r="D285" s="2" t="s">
        <v>58</v>
      </c>
      <c r="E285" s="2">
        <v>4</v>
      </c>
      <c r="F285" s="2">
        <v>540.33000000000004</v>
      </c>
      <c r="G285" s="2" t="s">
        <v>1133</v>
      </c>
      <c r="H285" s="2" t="s">
        <v>65</v>
      </c>
      <c r="I285" s="2" t="s">
        <v>19</v>
      </c>
      <c r="J285" s="2" t="s">
        <v>1134</v>
      </c>
      <c r="K285" s="2">
        <v>6</v>
      </c>
      <c r="M285" s="2" t="s">
        <v>76</v>
      </c>
      <c r="N285" s="2">
        <v>2161.3200000000002</v>
      </c>
    </row>
    <row r="286" spans="1:14" ht="15" x14ac:dyDescent="0.25">
      <c r="A286" s="2" t="s">
        <v>1135</v>
      </c>
      <c r="B286" s="3">
        <v>44973</v>
      </c>
      <c r="C286" s="2" t="s">
        <v>1136</v>
      </c>
      <c r="D286" s="2" t="s">
        <v>58</v>
      </c>
      <c r="E286" s="2">
        <v>5</v>
      </c>
      <c r="F286" s="2">
        <v>208.17</v>
      </c>
      <c r="G286" s="2" t="s">
        <v>1137</v>
      </c>
      <c r="H286" s="2" t="s">
        <v>34</v>
      </c>
      <c r="I286" s="2" t="s">
        <v>43</v>
      </c>
      <c r="J286" s="2" t="s">
        <v>1138</v>
      </c>
      <c r="K286" s="2">
        <v>6</v>
      </c>
      <c r="L286" s="2" t="s">
        <v>21</v>
      </c>
      <c r="M286" s="2" t="s">
        <v>45</v>
      </c>
      <c r="N286" s="2">
        <v>1040.8499999999999</v>
      </c>
    </row>
    <row r="287" spans="1:14" ht="15" x14ac:dyDescent="0.25">
      <c r="A287" s="2" t="s">
        <v>1139</v>
      </c>
      <c r="B287" s="3">
        <v>45818</v>
      </c>
      <c r="C287" s="2" t="s">
        <v>1140</v>
      </c>
      <c r="D287" s="2" t="s">
        <v>25</v>
      </c>
      <c r="E287" s="2">
        <v>1</v>
      </c>
      <c r="F287" s="2">
        <v>338.31</v>
      </c>
      <c r="G287" s="2" t="s">
        <v>1093</v>
      </c>
      <c r="H287" s="2" t="s">
        <v>27</v>
      </c>
      <c r="I287" s="2" t="s">
        <v>50</v>
      </c>
      <c r="J287" s="2" t="s">
        <v>1141</v>
      </c>
      <c r="K287" s="2">
        <v>3</v>
      </c>
      <c r="M287" s="2" t="s">
        <v>76</v>
      </c>
      <c r="N287" s="2">
        <v>338.31</v>
      </c>
    </row>
    <row r="288" spans="1:14" ht="15" x14ac:dyDescent="0.25">
      <c r="A288" s="2" t="s">
        <v>1142</v>
      </c>
      <c r="B288" s="3">
        <v>45754</v>
      </c>
      <c r="C288" s="2" t="s">
        <v>1143</v>
      </c>
      <c r="D288" s="2" t="s">
        <v>16</v>
      </c>
      <c r="E288" s="2">
        <v>3</v>
      </c>
      <c r="F288" s="2">
        <v>139.44999999999999</v>
      </c>
      <c r="G288" s="2" t="s">
        <v>510</v>
      </c>
      <c r="H288" s="2" t="s">
        <v>60</v>
      </c>
      <c r="I288" s="2" t="s">
        <v>43</v>
      </c>
      <c r="J288" s="2" t="s">
        <v>1144</v>
      </c>
      <c r="K288" s="2">
        <v>8</v>
      </c>
      <c r="L288" s="2" t="s">
        <v>81</v>
      </c>
      <c r="M288" s="2" t="s">
        <v>76</v>
      </c>
      <c r="N288" s="2">
        <v>418.35</v>
      </c>
    </row>
    <row r="289" spans="1:14" ht="15" x14ac:dyDescent="0.25">
      <c r="A289" s="2" t="s">
        <v>1145</v>
      </c>
      <c r="B289" s="3">
        <v>45254</v>
      </c>
      <c r="C289" s="2" t="s">
        <v>1146</v>
      </c>
      <c r="D289" s="2" t="s">
        <v>41</v>
      </c>
      <c r="E289" s="2">
        <v>4</v>
      </c>
      <c r="F289" s="2">
        <v>655.17999999999995</v>
      </c>
      <c r="G289" s="2" t="s">
        <v>1147</v>
      </c>
      <c r="H289" s="2" t="s">
        <v>27</v>
      </c>
      <c r="I289" s="2" t="s">
        <v>19</v>
      </c>
      <c r="J289" s="2" t="s">
        <v>1148</v>
      </c>
      <c r="K289" s="2">
        <v>5</v>
      </c>
      <c r="M289" s="2" t="s">
        <v>45</v>
      </c>
      <c r="N289" s="2">
        <v>2620.7199999999998</v>
      </c>
    </row>
    <row r="290" spans="1:14" ht="15" x14ac:dyDescent="0.25">
      <c r="A290" s="2" t="s">
        <v>1149</v>
      </c>
      <c r="B290" s="3">
        <v>44997</v>
      </c>
      <c r="C290" s="2" t="s">
        <v>1150</v>
      </c>
      <c r="D290" s="2" t="s">
        <v>58</v>
      </c>
      <c r="E290" s="2">
        <v>4</v>
      </c>
      <c r="F290" s="2">
        <v>512.75</v>
      </c>
      <c r="G290" s="2" t="s">
        <v>1151</v>
      </c>
      <c r="H290" s="2" t="s">
        <v>18</v>
      </c>
      <c r="I290" s="2" t="s">
        <v>43</v>
      </c>
      <c r="J290" s="2" t="s">
        <v>1152</v>
      </c>
      <c r="K290" s="2">
        <v>8</v>
      </c>
      <c r="L290" s="2" t="s">
        <v>81</v>
      </c>
      <c r="M290" s="2" t="s">
        <v>76</v>
      </c>
      <c r="N290" s="2">
        <v>2051</v>
      </c>
    </row>
    <row r="291" spans="1:14" ht="15" x14ac:dyDescent="0.25">
      <c r="A291" s="2" t="s">
        <v>1153</v>
      </c>
      <c r="B291" s="3">
        <v>45133</v>
      </c>
      <c r="C291" s="2" t="s">
        <v>1154</v>
      </c>
      <c r="D291" s="2" t="s">
        <v>41</v>
      </c>
      <c r="E291" s="2">
        <v>4</v>
      </c>
      <c r="F291" s="2">
        <v>160.49</v>
      </c>
      <c r="G291" s="2" t="s">
        <v>79</v>
      </c>
      <c r="H291" s="2" t="s">
        <v>34</v>
      </c>
      <c r="I291" s="2" t="s">
        <v>19</v>
      </c>
      <c r="J291" s="2" t="s">
        <v>1155</v>
      </c>
      <c r="K291" s="2">
        <v>8</v>
      </c>
      <c r="L291" s="2" t="s">
        <v>81</v>
      </c>
      <c r="M291" s="2" t="s">
        <v>29</v>
      </c>
      <c r="N291" s="2">
        <v>641.96</v>
      </c>
    </row>
    <row r="292" spans="1:14" ht="15" x14ac:dyDescent="0.25">
      <c r="A292" s="2" t="s">
        <v>1156</v>
      </c>
      <c r="B292" s="3">
        <v>45051</v>
      </c>
      <c r="C292" s="2" t="s">
        <v>1157</v>
      </c>
      <c r="D292" s="2" t="s">
        <v>41</v>
      </c>
      <c r="E292" s="2">
        <v>3</v>
      </c>
      <c r="F292" s="2">
        <v>99.9</v>
      </c>
      <c r="G292" s="2" t="s">
        <v>755</v>
      </c>
      <c r="H292" s="2" t="s">
        <v>65</v>
      </c>
      <c r="I292" s="2" t="s">
        <v>50</v>
      </c>
      <c r="J292" s="2" t="s">
        <v>1158</v>
      </c>
      <c r="K292" s="2">
        <v>8</v>
      </c>
      <c r="L292" s="2" t="s">
        <v>37</v>
      </c>
      <c r="M292" s="2" t="s">
        <v>45</v>
      </c>
      <c r="N292" s="2">
        <v>299.7</v>
      </c>
    </row>
    <row r="293" spans="1:14" ht="15" x14ac:dyDescent="0.25">
      <c r="A293" s="2" t="s">
        <v>1159</v>
      </c>
      <c r="B293" s="3">
        <v>45424</v>
      </c>
      <c r="C293" s="2" t="s">
        <v>1160</v>
      </c>
      <c r="D293" s="2" t="s">
        <v>25</v>
      </c>
      <c r="E293" s="2">
        <v>2</v>
      </c>
      <c r="F293" s="2">
        <v>345.01</v>
      </c>
      <c r="G293" s="2" t="s">
        <v>1161</v>
      </c>
      <c r="H293" s="2" t="s">
        <v>34</v>
      </c>
      <c r="I293" s="2" t="s">
        <v>50</v>
      </c>
      <c r="J293" s="2" t="s">
        <v>1162</v>
      </c>
      <c r="K293" s="2">
        <v>6</v>
      </c>
      <c r="L293" s="2" t="s">
        <v>37</v>
      </c>
      <c r="M293" s="2" t="s">
        <v>76</v>
      </c>
      <c r="N293" s="2">
        <v>690.02</v>
      </c>
    </row>
    <row r="294" spans="1:14" ht="15" x14ac:dyDescent="0.25">
      <c r="A294" s="2" t="s">
        <v>1163</v>
      </c>
      <c r="B294" s="3">
        <v>45672</v>
      </c>
      <c r="C294" s="2" t="s">
        <v>1164</v>
      </c>
      <c r="D294" s="2" t="s">
        <v>16</v>
      </c>
      <c r="E294" s="2">
        <v>1</v>
      </c>
      <c r="F294" s="2">
        <v>65.95</v>
      </c>
      <c r="G294" s="2" t="s">
        <v>858</v>
      </c>
      <c r="H294" s="2" t="s">
        <v>34</v>
      </c>
      <c r="I294" s="2" t="s">
        <v>50</v>
      </c>
      <c r="J294" s="2" t="s">
        <v>1165</v>
      </c>
      <c r="K294" s="2">
        <v>5</v>
      </c>
      <c r="M294" s="2" t="s">
        <v>45</v>
      </c>
      <c r="N294" s="2">
        <v>65.95</v>
      </c>
    </row>
    <row r="295" spans="1:14" ht="15" x14ac:dyDescent="0.25">
      <c r="A295" s="2" t="s">
        <v>1166</v>
      </c>
      <c r="B295" s="3">
        <v>44973</v>
      </c>
      <c r="C295" s="2" t="s">
        <v>1167</v>
      </c>
      <c r="D295" s="2" t="s">
        <v>32</v>
      </c>
      <c r="E295" s="2">
        <v>4</v>
      </c>
      <c r="F295" s="2">
        <v>463.04</v>
      </c>
      <c r="G295" s="2" t="s">
        <v>1168</v>
      </c>
      <c r="H295" s="2" t="s">
        <v>60</v>
      </c>
      <c r="I295" s="2" t="s">
        <v>43</v>
      </c>
      <c r="J295" s="2" t="s">
        <v>1169</v>
      </c>
      <c r="K295" s="2">
        <v>9</v>
      </c>
      <c r="M295" s="2" t="s">
        <v>22</v>
      </c>
      <c r="N295" s="2">
        <v>1852.16</v>
      </c>
    </row>
    <row r="296" spans="1:14" ht="15" x14ac:dyDescent="0.25">
      <c r="A296" s="2" t="s">
        <v>1170</v>
      </c>
      <c r="B296" s="3">
        <v>45748</v>
      </c>
      <c r="C296" s="2" t="s">
        <v>1171</v>
      </c>
      <c r="D296" s="2" t="s">
        <v>25</v>
      </c>
      <c r="E296" s="2">
        <v>2</v>
      </c>
      <c r="F296" s="2">
        <v>297.70999999999998</v>
      </c>
      <c r="G296" s="2" t="s">
        <v>1172</v>
      </c>
      <c r="H296" s="2" t="s">
        <v>27</v>
      </c>
      <c r="I296" s="2" t="s">
        <v>19</v>
      </c>
      <c r="J296" s="2" t="s">
        <v>1173</v>
      </c>
      <c r="K296" s="2">
        <v>7</v>
      </c>
      <c r="L296" s="2" t="s">
        <v>21</v>
      </c>
      <c r="M296" s="2" t="s">
        <v>29</v>
      </c>
      <c r="N296" s="2">
        <v>595.41999999999996</v>
      </c>
    </row>
    <row r="297" spans="1:14" ht="15" x14ac:dyDescent="0.25">
      <c r="A297" s="2" t="s">
        <v>1174</v>
      </c>
      <c r="B297" s="3">
        <v>44951</v>
      </c>
      <c r="C297" s="2" t="s">
        <v>1175</v>
      </c>
      <c r="D297" s="2" t="s">
        <v>48</v>
      </c>
      <c r="E297" s="2">
        <v>5</v>
      </c>
      <c r="F297" s="2">
        <v>107.48</v>
      </c>
      <c r="G297" s="2" t="s">
        <v>1176</v>
      </c>
      <c r="H297" s="2" t="s">
        <v>18</v>
      </c>
      <c r="I297" s="2" t="s">
        <v>35</v>
      </c>
      <c r="J297" s="2" t="s">
        <v>1177</v>
      </c>
      <c r="K297" s="2">
        <v>9</v>
      </c>
      <c r="L297" s="2" t="s">
        <v>37</v>
      </c>
      <c r="M297" s="2" t="s">
        <v>38</v>
      </c>
      <c r="N297" s="2">
        <v>537.4</v>
      </c>
    </row>
    <row r="298" spans="1:14" ht="15" x14ac:dyDescent="0.25">
      <c r="A298" s="2" t="s">
        <v>1178</v>
      </c>
      <c r="B298" s="3">
        <v>45462</v>
      </c>
      <c r="C298" s="2" t="s">
        <v>1179</v>
      </c>
      <c r="D298" s="2" t="s">
        <v>73</v>
      </c>
      <c r="E298" s="2">
        <v>5</v>
      </c>
      <c r="F298" s="2">
        <v>638.79999999999995</v>
      </c>
      <c r="G298" s="2" t="s">
        <v>242</v>
      </c>
      <c r="H298" s="2" t="s">
        <v>18</v>
      </c>
      <c r="I298" s="2" t="s">
        <v>35</v>
      </c>
      <c r="J298" s="2" t="s">
        <v>1180</v>
      </c>
      <c r="K298" s="2">
        <v>10</v>
      </c>
      <c r="L298" s="2" t="s">
        <v>81</v>
      </c>
      <c r="M298" s="2" t="s">
        <v>29</v>
      </c>
      <c r="N298" s="2">
        <v>3194</v>
      </c>
    </row>
    <row r="299" spans="1:14" ht="15" x14ac:dyDescent="0.25">
      <c r="A299" s="2" t="s">
        <v>1181</v>
      </c>
      <c r="B299" s="3">
        <v>44979</v>
      </c>
      <c r="C299" s="2" t="s">
        <v>1182</v>
      </c>
      <c r="D299" s="2" t="s">
        <v>73</v>
      </c>
      <c r="E299" s="2">
        <v>2</v>
      </c>
      <c r="F299" s="2">
        <v>493.88</v>
      </c>
      <c r="G299" s="2" t="s">
        <v>1183</v>
      </c>
      <c r="H299" s="2" t="s">
        <v>34</v>
      </c>
      <c r="I299" s="2" t="s">
        <v>43</v>
      </c>
      <c r="J299" s="2" t="s">
        <v>1184</v>
      </c>
      <c r="K299" s="2">
        <v>7</v>
      </c>
      <c r="L299" s="2" t="s">
        <v>21</v>
      </c>
      <c r="M299" s="2" t="s">
        <v>22</v>
      </c>
      <c r="N299" s="2">
        <v>987.76</v>
      </c>
    </row>
    <row r="300" spans="1:14" ht="15" x14ac:dyDescent="0.25">
      <c r="A300" s="2" t="s">
        <v>1185</v>
      </c>
      <c r="B300" s="3">
        <v>45279</v>
      </c>
      <c r="C300" s="2" t="s">
        <v>1186</v>
      </c>
      <c r="D300" s="2" t="s">
        <v>48</v>
      </c>
      <c r="E300" s="2">
        <v>4</v>
      </c>
      <c r="F300" s="2">
        <v>301.17</v>
      </c>
      <c r="G300" s="2" t="s">
        <v>201</v>
      </c>
      <c r="H300" s="2" t="s">
        <v>27</v>
      </c>
      <c r="I300" s="2" t="s">
        <v>35</v>
      </c>
      <c r="J300" s="2" t="s">
        <v>1187</v>
      </c>
      <c r="K300" s="2">
        <v>6</v>
      </c>
      <c r="M300" s="2" t="s">
        <v>38</v>
      </c>
      <c r="N300" s="2">
        <v>1204.68</v>
      </c>
    </row>
    <row r="301" spans="1:14" ht="15" x14ac:dyDescent="0.25">
      <c r="A301" s="2" t="s">
        <v>1188</v>
      </c>
      <c r="B301" s="3">
        <v>45311</v>
      </c>
      <c r="C301" s="2" t="s">
        <v>1189</v>
      </c>
      <c r="D301" s="2" t="s">
        <v>16</v>
      </c>
      <c r="E301" s="2">
        <v>1</v>
      </c>
      <c r="F301" s="2">
        <v>278.66000000000003</v>
      </c>
      <c r="G301" s="2" t="s">
        <v>1190</v>
      </c>
      <c r="H301" s="2" t="s">
        <v>60</v>
      </c>
      <c r="I301" s="2" t="s">
        <v>35</v>
      </c>
      <c r="J301" s="2" t="s">
        <v>1191</v>
      </c>
      <c r="K301" s="2">
        <v>2</v>
      </c>
      <c r="L301" s="2" t="s">
        <v>37</v>
      </c>
      <c r="M301" s="2" t="s">
        <v>22</v>
      </c>
      <c r="N301" s="2">
        <v>278.66000000000003</v>
      </c>
    </row>
    <row r="302" spans="1:14" ht="15" x14ac:dyDescent="0.25">
      <c r="A302" s="2" t="s">
        <v>1192</v>
      </c>
      <c r="B302" s="3">
        <v>45537</v>
      </c>
      <c r="C302" s="2" t="s">
        <v>1193</v>
      </c>
      <c r="D302" s="2" t="s">
        <v>25</v>
      </c>
      <c r="E302" s="2">
        <v>1</v>
      </c>
      <c r="F302" s="2">
        <v>287.45999999999998</v>
      </c>
      <c r="G302" s="2" t="s">
        <v>1194</v>
      </c>
      <c r="H302" s="2" t="s">
        <v>18</v>
      </c>
      <c r="I302" s="2" t="s">
        <v>43</v>
      </c>
      <c r="J302" s="2" t="s">
        <v>1195</v>
      </c>
      <c r="K302" s="2">
        <v>3</v>
      </c>
      <c r="L302" s="2" t="s">
        <v>37</v>
      </c>
      <c r="M302" s="2" t="s">
        <v>45</v>
      </c>
      <c r="N302" s="2">
        <v>287.45999999999998</v>
      </c>
    </row>
    <row r="303" spans="1:14" ht="15" x14ac:dyDescent="0.25">
      <c r="A303" s="2" t="s">
        <v>1196</v>
      </c>
      <c r="B303" s="3">
        <v>45057</v>
      </c>
      <c r="C303" s="2" t="s">
        <v>1197</v>
      </c>
      <c r="D303" s="2" t="s">
        <v>41</v>
      </c>
      <c r="E303" s="2">
        <v>1</v>
      </c>
      <c r="F303" s="2">
        <v>583.99</v>
      </c>
      <c r="G303" s="2" t="s">
        <v>1198</v>
      </c>
      <c r="H303" s="2" t="s">
        <v>65</v>
      </c>
      <c r="I303" s="2" t="s">
        <v>35</v>
      </c>
      <c r="J303" s="2" t="s">
        <v>1199</v>
      </c>
      <c r="K303" s="2">
        <v>2</v>
      </c>
      <c r="L303" s="2" t="s">
        <v>21</v>
      </c>
      <c r="M303" s="2" t="s">
        <v>38</v>
      </c>
      <c r="N303" s="2">
        <v>583.99</v>
      </c>
    </row>
    <row r="304" spans="1:14" ht="15" x14ac:dyDescent="0.25">
      <c r="A304" s="2" t="s">
        <v>1200</v>
      </c>
      <c r="B304" s="3">
        <v>45062</v>
      </c>
      <c r="C304" s="2" t="s">
        <v>1201</v>
      </c>
      <c r="D304" s="2" t="s">
        <v>41</v>
      </c>
      <c r="E304" s="2">
        <v>3</v>
      </c>
      <c r="F304" s="2">
        <v>468.74</v>
      </c>
      <c r="G304" s="2" t="s">
        <v>1202</v>
      </c>
      <c r="H304" s="2" t="s">
        <v>65</v>
      </c>
      <c r="I304" s="2" t="s">
        <v>89</v>
      </c>
      <c r="J304" s="2" t="s">
        <v>1203</v>
      </c>
      <c r="K304" s="2">
        <v>4</v>
      </c>
      <c r="L304" s="2" t="s">
        <v>37</v>
      </c>
      <c r="M304" s="2" t="s">
        <v>22</v>
      </c>
      <c r="N304" s="2">
        <v>1406.22</v>
      </c>
    </row>
    <row r="305" spans="1:14" ht="15" x14ac:dyDescent="0.25">
      <c r="A305" s="2" t="s">
        <v>1204</v>
      </c>
      <c r="B305" s="3">
        <v>45633</v>
      </c>
      <c r="C305" s="2" t="s">
        <v>1205</v>
      </c>
      <c r="D305" s="2" t="s">
        <v>32</v>
      </c>
      <c r="E305" s="2">
        <v>1</v>
      </c>
      <c r="F305" s="2">
        <v>30.54</v>
      </c>
      <c r="G305" s="2" t="s">
        <v>1206</v>
      </c>
      <c r="H305" s="2" t="s">
        <v>18</v>
      </c>
      <c r="I305" s="2" t="s">
        <v>43</v>
      </c>
      <c r="J305" s="2" t="s">
        <v>1207</v>
      </c>
      <c r="K305" s="2">
        <v>1</v>
      </c>
      <c r="M305" s="2" t="s">
        <v>76</v>
      </c>
      <c r="N305" s="2">
        <v>30.54</v>
      </c>
    </row>
    <row r="306" spans="1:14" ht="15" x14ac:dyDescent="0.25">
      <c r="A306" s="2" t="s">
        <v>1208</v>
      </c>
      <c r="B306" s="3">
        <v>45583</v>
      </c>
      <c r="C306" s="2" t="s">
        <v>1209</v>
      </c>
      <c r="D306" s="2" t="s">
        <v>16</v>
      </c>
      <c r="E306" s="2">
        <v>5</v>
      </c>
      <c r="F306" s="2">
        <v>408.73</v>
      </c>
      <c r="G306" s="2" t="s">
        <v>1210</v>
      </c>
      <c r="H306" s="2" t="s">
        <v>60</v>
      </c>
      <c r="I306" s="2" t="s">
        <v>50</v>
      </c>
      <c r="J306" s="2" t="s">
        <v>1211</v>
      </c>
      <c r="K306" s="2">
        <v>10</v>
      </c>
      <c r="L306" s="2" t="s">
        <v>37</v>
      </c>
      <c r="M306" s="2" t="s">
        <v>22</v>
      </c>
      <c r="N306" s="2">
        <v>2043.65</v>
      </c>
    </row>
    <row r="307" spans="1:14" ht="15" x14ac:dyDescent="0.25">
      <c r="A307" s="2" t="s">
        <v>1212</v>
      </c>
      <c r="B307" s="3">
        <v>45255</v>
      </c>
      <c r="C307" s="2" t="s">
        <v>1213</v>
      </c>
      <c r="D307" s="2" t="s">
        <v>58</v>
      </c>
      <c r="E307" s="2">
        <v>4</v>
      </c>
      <c r="F307" s="2">
        <v>126.89</v>
      </c>
      <c r="G307" s="2" t="s">
        <v>1214</v>
      </c>
      <c r="H307" s="2" t="s">
        <v>65</v>
      </c>
      <c r="I307" s="2" t="s">
        <v>89</v>
      </c>
      <c r="J307" s="2" t="s">
        <v>1215</v>
      </c>
      <c r="K307" s="2">
        <v>9</v>
      </c>
      <c r="L307" s="2" t="s">
        <v>37</v>
      </c>
      <c r="M307" s="2" t="s">
        <v>22</v>
      </c>
      <c r="N307" s="2">
        <v>507.56</v>
      </c>
    </row>
    <row r="308" spans="1:14" ht="15" x14ac:dyDescent="0.25">
      <c r="A308" s="2" t="s">
        <v>1216</v>
      </c>
      <c r="B308" s="3">
        <v>45450</v>
      </c>
      <c r="C308" s="2" t="s">
        <v>1217</v>
      </c>
      <c r="D308" s="2" t="s">
        <v>48</v>
      </c>
      <c r="E308" s="2">
        <v>2</v>
      </c>
      <c r="F308" s="2">
        <v>57.07</v>
      </c>
      <c r="G308" s="2" t="s">
        <v>1218</v>
      </c>
      <c r="H308" s="2" t="s">
        <v>18</v>
      </c>
      <c r="I308" s="2" t="s">
        <v>43</v>
      </c>
      <c r="J308" s="2" t="s">
        <v>1219</v>
      </c>
      <c r="K308" s="2">
        <v>3</v>
      </c>
      <c r="L308" s="2" t="s">
        <v>21</v>
      </c>
      <c r="M308" s="2" t="s">
        <v>22</v>
      </c>
      <c r="N308" s="2">
        <v>114.14</v>
      </c>
    </row>
    <row r="309" spans="1:14" ht="15" x14ac:dyDescent="0.25">
      <c r="A309" s="2" t="s">
        <v>1220</v>
      </c>
      <c r="B309" s="3">
        <v>45108</v>
      </c>
      <c r="C309" s="2" t="s">
        <v>1221</v>
      </c>
      <c r="D309" s="2" t="s">
        <v>58</v>
      </c>
      <c r="E309" s="2">
        <v>3</v>
      </c>
      <c r="F309" s="2">
        <v>557.41</v>
      </c>
      <c r="G309" s="2" t="s">
        <v>1222</v>
      </c>
      <c r="H309" s="2" t="s">
        <v>27</v>
      </c>
      <c r="I309" s="2" t="s">
        <v>50</v>
      </c>
      <c r="J309" s="2" t="s">
        <v>1223</v>
      </c>
      <c r="K309" s="2">
        <v>4</v>
      </c>
      <c r="M309" s="2" t="s">
        <v>38</v>
      </c>
      <c r="N309" s="2">
        <v>1672.23</v>
      </c>
    </row>
    <row r="310" spans="1:14" ht="15" x14ac:dyDescent="0.25">
      <c r="A310" s="2" t="s">
        <v>1224</v>
      </c>
      <c r="B310" s="3">
        <v>45271</v>
      </c>
      <c r="C310" s="2" t="s">
        <v>1225</v>
      </c>
      <c r="D310" s="2" t="s">
        <v>48</v>
      </c>
      <c r="E310" s="2">
        <v>3</v>
      </c>
      <c r="F310" s="2">
        <v>448.9</v>
      </c>
      <c r="G310" s="2" t="s">
        <v>719</v>
      </c>
      <c r="H310" s="2" t="s">
        <v>18</v>
      </c>
      <c r="I310" s="2" t="s">
        <v>43</v>
      </c>
      <c r="J310" s="2" t="s">
        <v>1226</v>
      </c>
      <c r="K310" s="2">
        <v>7</v>
      </c>
      <c r="L310" s="2" t="s">
        <v>21</v>
      </c>
      <c r="M310" s="2" t="s">
        <v>22</v>
      </c>
      <c r="N310" s="2">
        <v>1346.7</v>
      </c>
    </row>
    <row r="311" spans="1:14" ht="15" x14ac:dyDescent="0.25">
      <c r="A311" s="2" t="s">
        <v>1227</v>
      </c>
      <c r="B311" s="3">
        <v>45202</v>
      </c>
      <c r="C311" s="2" t="s">
        <v>1228</v>
      </c>
      <c r="D311" s="2" t="s">
        <v>41</v>
      </c>
      <c r="E311" s="2">
        <v>4</v>
      </c>
      <c r="F311" s="2">
        <v>549.76</v>
      </c>
      <c r="G311" s="2" t="s">
        <v>1229</v>
      </c>
      <c r="H311" s="2" t="s">
        <v>18</v>
      </c>
      <c r="I311" s="2" t="s">
        <v>50</v>
      </c>
      <c r="J311" s="2" t="s">
        <v>1230</v>
      </c>
      <c r="K311" s="2">
        <v>4</v>
      </c>
      <c r="L311" s="2" t="s">
        <v>37</v>
      </c>
      <c r="M311" s="2" t="s">
        <v>45</v>
      </c>
      <c r="N311" s="2">
        <v>2199.04</v>
      </c>
    </row>
    <row r="312" spans="1:14" ht="15" x14ac:dyDescent="0.25">
      <c r="A312" s="2" t="s">
        <v>1231</v>
      </c>
      <c r="B312" s="3">
        <v>45346</v>
      </c>
      <c r="C312" s="2" t="s">
        <v>1232</v>
      </c>
      <c r="D312" s="2" t="s">
        <v>48</v>
      </c>
      <c r="E312" s="2">
        <v>3</v>
      </c>
      <c r="F312" s="2">
        <v>132.47999999999999</v>
      </c>
      <c r="G312" s="2" t="s">
        <v>1233</v>
      </c>
      <c r="H312" s="2" t="s">
        <v>27</v>
      </c>
      <c r="I312" s="2" t="s">
        <v>19</v>
      </c>
      <c r="J312" s="2" t="s">
        <v>1234</v>
      </c>
      <c r="K312" s="2">
        <v>4</v>
      </c>
      <c r="M312" s="2" t="s">
        <v>29</v>
      </c>
      <c r="N312" s="2">
        <v>397.43999999999988</v>
      </c>
    </row>
    <row r="313" spans="1:14" ht="15" x14ac:dyDescent="0.25">
      <c r="A313" s="2" t="s">
        <v>1235</v>
      </c>
      <c r="B313" s="3">
        <v>45794</v>
      </c>
      <c r="C313" s="2" t="s">
        <v>1236</v>
      </c>
      <c r="D313" s="2" t="s">
        <v>73</v>
      </c>
      <c r="E313" s="2">
        <v>5</v>
      </c>
      <c r="F313" s="2">
        <v>489.37</v>
      </c>
      <c r="G313" s="2" t="s">
        <v>1237</v>
      </c>
      <c r="H313" s="2" t="s">
        <v>27</v>
      </c>
      <c r="I313" s="2" t="s">
        <v>43</v>
      </c>
      <c r="J313" s="2" t="s">
        <v>1238</v>
      </c>
      <c r="K313" s="2">
        <v>8</v>
      </c>
      <c r="M313" s="2" t="s">
        <v>22</v>
      </c>
      <c r="N313" s="2">
        <v>2446.85</v>
      </c>
    </row>
    <row r="314" spans="1:14" ht="15" x14ac:dyDescent="0.25">
      <c r="A314" s="2" t="s">
        <v>1239</v>
      </c>
      <c r="B314" s="3">
        <v>45801</v>
      </c>
      <c r="C314" s="2" t="s">
        <v>1240</v>
      </c>
      <c r="D314" s="2" t="s">
        <v>48</v>
      </c>
      <c r="E314" s="2">
        <v>5</v>
      </c>
      <c r="F314" s="2">
        <v>66.31</v>
      </c>
      <c r="G314" s="2" t="s">
        <v>921</v>
      </c>
      <c r="H314" s="2" t="s">
        <v>60</v>
      </c>
      <c r="I314" s="2" t="s">
        <v>89</v>
      </c>
      <c r="J314" s="2" t="s">
        <v>1241</v>
      </c>
      <c r="K314" s="2">
        <v>7</v>
      </c>
      <c r="L314" s="2" t="s">
        <v>37</v>
      </c>
      <c r="M314" s="2" t="s">
        <v>29</v>
      </c>
      <c r="N314" s="2">
        <v>331.55</v>
      </c>
    </row>
    <row r="315" spans="1:14" ht="15" x14ac:dyDescent="0.25">
      <c r="A315" s="2" t="s">
        <v>1242</v>
      </c>
      <c r="B315" s="3">
        <v>45116</v>
      </c>
      <c r="C315" s="2" t="s">
        <v>1243</v>
      </c>
      <c r="D315" s="2" t="s">
        <v>41</v>
      </c>
      <c r="E315" s="2">
        <v>2</v>
      </c>
      <c r="F315" s="2">
        <v>434.3</v>
      </c>
      <c r="G315" s="2" t="s">
        <v>1244</v>
      </c>
      <c r="H315" s="2" t="s">
        <v>65</v>
      </c>
      <c r="I315" s="2" t="s">
        <v>50</v>
      </c>
      <c r="J315" s="2" t="s">
        <v>1245</v>
      </c>
      <c r="K315" s="2">
        <v>7</v>
      </c>
      <c r="L315" s="2" t="s">
        <v>21</v>
      </c>
      <c r="M315" s="2" t="s">
        <v>22</v>
      </c>
      <c r="N315" s="2">
        <v>868.6</v>
      </c>
    </row>
    <row r="316" spans="1:14" ht="15" x14ac:dyDescent="0.25">
      <c r="A316" s="2" t="s">
        <v>1246</v>
      </c>
      <c r="B316" s="3">
        <v>45203</v>
      </c>
      <c r="C316" s="2" t="s">
        <v>1247</v>
      </c>
      <c r="D316" s="2" t="s">
        <v>73</v>
      </c>
      <c r="E316" s="2">
        <v>4</v>
      </c>
      <c r="F316" s="2">
        <v>153.09</v>
      </c>
      <c r="G316" s="2" t="s">
        <v>1248</v>
      </c>
      <c r="H316" s="2" t="s">
        <v>27</v>
      </c>
      <c r="I316" s="2" t="s">
        <v>50</v>
      </c>
      <c r="J316" s="2" t="s">
        <v>1249</v>
      </c>
      <c r="K316" s="2">
        <v>4</v>
      </c>
      <c r="L316" s="2" t="s">
        <v>37</v>
      </c>
      <c r="M316" s="2" t="s">
        <v>29</v>
      </c>
      <c r="N316" s="2">
        <v>612.36</v>
      </c>
    </row>
    <row r="317" spans="1:14" ht="15" x14ac:dyDescent="0.25">
      <c r="A317" s="2" t="s">
        <v>1250</v>
      </c>
      <c r="B317" s="3">
        <v>45789</v>
      </c>
      <c r="C317" s="2" t="s">
        <v>1251</v>
      </c>
      <c r="D317" s="2" t="s">
        <v>32</v>
      </c>
      <c r="E317" s="2">
        <v>5</v>
      </c>
      <c r="F317" s="2">
        <v>91.67</v>
      </c>
      <c r="G317" s="2" t="s">
        <v>1252</v>
      </c>
      <c r="H317" s="2" t="s">
        <v>27</v>
      </c>
      <c r="I317" s="2" t="s">
        <v>35</v>
      </c>
      <c r="J317" s="2" t="s">
        <v>1253</v>
      </c>
      <c r="K317" s="2">
        <v>9</v>
      </c>
      <c r="L317" s="2" t="s">
        <v>37</v>
      </c>
      <c r="M317" s="2" t="s">
        <v>38</v>
      </c>
      <c r="N317" s="2">
        <v>458.35</v>
      </c>
    </row>
    <row r="318" spans="1:14" ht="15" x14ac:dyDescent="0.25">
      <c r="A318" s="2" t="s">
        <v>1254</v>
      </c>
      <c r="B318" s="3">
        <v>45201</v>
      </c>
      <c r="C318" s="2" t="s">
        <v>1255</v>
      </c>
      <c r="D318" s="2" t="s">
        <v>73</v>
      </c>
      <c r="E318" s="2">
        <v>4</v>
      </c>
      <c r="F318" s="2">
        <v>275.27999999999997</v>
      </c>
      <c r="G318" s="2" t="s">
        <v>1256</v>
      </c>
      <c r="H318" s="2" t="s">
        <v>60</v>
      </c>
      <c r="I318" s="2" t="s">
        <v>19</v>
      </c>
      <c r="J318" s="2" t="s">
        <v>1257</v>
      </c>
      <c r="K318" s="2">
        <v>9</v>
      </c>
      <c r="L318" s="2" t="s">
        <v>81</v>
      </c>
      <c r="M318" s="2" t="s">
        <v>45</v>
      </c>
      <c r="N318" s="2">
        <v>1101.1199999999999</v>
      </c>
    </row>
    <row r="319" spans="1:14" ht="15" x14ac:dyDescent="0.25">
      <c r="A319" s="2" t="s">
        <v>1258</v>
      </c>
      <c r="B319" s="3">
        <v>45026</v>
      </c>
      <c r="C319" s="2" t="s">
        <v>1259</v>
      </c>
      <c r="D319" s="2" t="s">
        <v>16</v>
      </c>
      <c r="E319" s="2">
        <v>2</v>
      </c>
      <c r="F319" s="2">
        <v>139.94999999999999</v>
      </c>
      <c r="G319" s="2" t="s">
        <v>1260</v>
      </c>
      <c r="H319" s="2" t="s">
        <v>27</v>
      </c>
      <c r="I319" s="2" t="s">
        <v>43</v>
      </c>
      <c r="J319" s="2" t="s">
        <v>1261</v>
      </c>
      <c r="K319" s="2">
        <v>5</v>
      </c>
      <c r="M319" s="2" t="s">
        <v>22</v>
      </c>
      <c r="N319" s="2">
        <v>279.89999999999998</v>
      </c>
    </row>
    <row r="320" spans="1:14" ht="15" x14ac:dyDescent="0.25">
      <c r="A320" s="2" t="s">
        <v>1262</v>
      </c>
      <c r="B320" s="3">
        <v>45500</v>
      </c>
      <c r="C320" s="2" t="s">
        <v>1263</v>
      </c>
      <c r="D320" s="2" t="s">
        <v>41</v>
      </c>
      <c r="E320" s="2">
        <v>3</v>
      </c>
      <c r="F320" s="2">
        <v>148.72</v>
      </c>
      <c r="G320" s="2" t="s">
        <v>866</v>
      </c>
      <c r="H320" s="2" t="s">
        <v>18</v>
      </c>
      <c r="I320" s="2" t="s">
        <v>35</v>
      </c>
      <c r="J320" s="2" t="s">
        <v>1264</v>
      </c>
      <c r="K320" s="2">
        <v>7</v>
      </c>
      <c r="L320" s="2" t="s">
        <v>21</v>
      </c>
      <c r="M320" s="2" t="s">
        <v>76</v>
      </c>
      <c r="N320" s="2">
        <v>446.16</v>
      </c>
    </row>
    <row r="321" spans="1:14" ht="15" x14ac:dyDescent="0.25">
      <c r="A321" s="2" t="s">
        <v>1265</v>
      </c>
      <c r="B321" s="3">
        <v>45262</v>
      </c>
      <c r="C321" s="2" t="s">
        <v>1266</v>
      </c>
      <c r="D321" s="2" t="s">
        <v>58</v>
      </c>
      <c r="E321" s="2">
        <v>2</v>
      </c>
      <c r="F321" s="2">
        <v>563.05999999999995</v>
      </c>
      <c r="G321" s="2" t="s">
        <v>1267</v>
      </c>
      <c r="H321" s="2" t="s">
        <v>65</v>
      </c>
      <c r="I321" s="2" t="s">
        <v>43</v>
      </c>
      <c r="J321" s="2" t="s">
        <v>1268</v>
      </c>
      <c r="K321" s="2">
        <v>6</v>
      </c>
      <c r="M321" s="2" t="s">
        <v>22</v>
      </c>
      <c r="N321" s="2">
        <v>1126.1199999999999</v>
      </c>
    </row>
    <row r="322" spans="1:14" ht="15" x14ac:dyDescent="0.25">
      <c r="A322" s="2" t="s">
        <v>1269</v>
      </c>
      <c r="B322" s="3">
        <v>45645</v>
      </c>
      <c r="C322" s="2" t="s">
        <v>1270</v>
      </c>
      <c r="D322" s="2" t="s">
        <v>48</v>
      </c>
      <c r="E322" s="2">
        <v>1</v>
      </c>
      <c r="F322" s="2">
        <v>625.51</v>
      </c>
      <c r="G322" s="2" t="s">
        <v>1271</v>
      </c>
      <c r="H322" s="2" t="s">
        <v>34</v>
      </c>
      <c r="I322" s="2" t="s">
        <v>19</v>
      </c>
      <c r="J322" s="2" t="s">
        <v>1272</v>
      </c>
      <c r="K322" s="2">
        <v>1</v>
      </c>
      <c r="L322" s="2" t="s">
        <v>37</v>
      </c>
      <c r="M322" s="2" t="s">
        <v>45</v>
      </c>
      <c r="N322" s="2">
        <v>625.51</v>
      </c>
    </row>
    <row r="323" spans="1:14" ht="15" x14ac:dyDescent="0.25">
      <c r="A323" s="2" t="s">
        <v>1273</v>
      </c>
      <c r="B323" s="3">
        <v>45147</v>
      </c>
      <c r="C323" s="2" t="s">
        <v>1274</v>
      </c>
      <c r="D323" s="2" t="s">
        <v>25</v>
      </c>
      <c r="E323" s="2">
        <v>4</v>
      </c>
      <c r="F323" s="2">
        <v>152.29</v>
      </c>
      <c r="G323" s="2" t="s">
        <v>1222</v>
      </c>
      <c r="H323" s="2" t="s">
        <v>18</v>
      </c>
      <c r="I323" s="2" t="s">
        <v>35</v>
      </c>
      <c r="J323" s="2" t="s">
        <v>1275</v>
      </c>
      <c r="K323" s="2">
        <v>6</v>
      </c>
      <c r="L323" s="2" t="s">
        <v>81</v>
      </c>
      <c r="M323" s="2" t="s">
        <v>76</v>
      </c>
      <c r="N323" s="2">
        <v>609.16</v>
      </c>
    </row>
    <row r="324" spans="1:14" ht="15" x14ac:dyDescent="0.25">
      <c r="A324" s="2" t="s">
        <v>1276</v>
      </c>
      <c r="B324" s="3">
        <v>45457</v>
      </c>
      <c r="C324" s="2" t="s">
        <v>1277</v>
      </c>
      <c r="D324" s="2" t="s">
        <v>25</v>
      </c>
      <c r="E324" s="2">
        <v>5</v>
      </c>
      <c r="F324" s="2">
        <v>231.82</v>
      </c>
      <c r="G324" s="2" t="s">
        <v>1260</v>
      </c>
      <c r="H324" s="2" t="s">
        <v>18</v>
      </c>
      <c r="I324" s="2" t="s">
        <v>50</v>
      </c>
      <c r="J324" s="2" t="s">
        <v>1278</v>
      </c>
      <c r="K324" s="2">
        <v>6</v>
      </c>
      <c r="L324" s="2" t="s">
        <v>21</v>
      </c>
      <c r="M324" s="2" t="s">
        <v>45</v>
      </c>
      <c r="N324" s="2">
        <v>1159.0999999999999</v>
      </c>
    </row>
    <row r="325" spans="1:14" ht="15" x14ac:dyDescent="0.25">
      <c r="A325" s="2" t="s">
        <v>1279</v>
      </c>
      <c r="B325" s="3">
        <v>45683</v>
      </c>
      <c r="C325" s="2" t="s">
        <v>1280</v>
      </c>
      <c r="D325" s="2" t="s">
        <v>58</v>
      </c>
      <c r="E325" s="2">
        <v>1</v>
      </c>
      <c r="F325" s="2">
        <v>150.16999999999999</v>
      </c>
      <c r="G325" s="2" t="s">
        <v>1281</v>
      </c>
      <c r="H325" s="2" t="s">
        <v>18</v>
      </c>
      <c r="I325" s="2" t="s">
        <v>43</v>
      </c>
      <c r="J325" s="2" t="s">
        <v>1282</v>
      </c>
      <c r="K325" s="2">
        <v>1</v>
      </c>
      <c r="L325" s="2" t="s">
        <v>21</v>
      </c>
      <c r="M325" s="2" t="s">
        <v>29</v>
      </c>
      <c r="N325" s="2">
        <v>150.16999999999999</v>
      </c>
    </row>
    <row r="326" spans="1:14" ht="15" x14ac:dyDescent="0.25">
      <c r="A326" s="2" t="s">
        <v>1283</v>
      </c>
      <c r="B326" s="3">
        <v>45456</v>
      </c>
      <c r="C326" s="2" t="s">
        <v>1284</v>
      </c>
      <c r="D326" s="2" t="s">
        <v>32</v>
      </c>
      <c r="E326" s="2">
        <v>3</v>
      </c>
      <c r="F326" s="2">
        <v>70.930000000000007</v>
      </c>
      <c r="G326" s="2" t="s">
        <v>1285</v>
      </c>
      <c r="H326" s="2" t="s">
        <v>18</v>
      </c>
      <c r="I326" s="2" t="s">
        <v>43</v>
      </c>
      <c r="J326" s="2" t="s">
        <v>1286</v>
      </c>
      <c r="K326" s="2">
        <v>5</v>
      </c>
      <c r="M326" s="2" t="s">
        <v>29</v>
      </c>
      <c r="N326" s="2">
        <v>212.79</v>
      </c>
    </row>
    <row r="327" spans="1:14" ht="15" x14ac:dyDescent="0.25">
      <c r="A327" s="2" t="s">
        <v>1287</v>
      </c>
      <c r="B327" s="3">
        <v>45106</v>
      </c>
      <c r="C327" s="2" t="s">
        <v>1288</v>
      </c>
      <c r="D327" s="2" t="s">
        <v>73</v>
      </c>
      <c r="E327" s="2">
        <v>3</v>
      </c>
      <c r="F327" s="2">
        <v>361.39</v>
      </c>
      <c r="G327" s="2" t="s">
        <v>1289</v>
      </c>
      <c r="H327" s="2" t="s">
        <v>34</v>
      </c>
      <c r="I327" s="2" t="s">
        <v>19</v>
      </c>
      <c r="J327" s="2" t="s">
        <v>1290</v>
      </c>
      <c r="K327" s="2">
        <v>8</v>
      </c>
      <c r="M327" s="2" t="s">
        <v>29</v>
      </c>
      <c r="N327" s="2">
        <v>1084.17</v>
      </c>
    </row>
    <row r="328" spans="1:14" ht="15" x14ac:dyDescent="0.25">
      <c r="A328" s="2" t="s">
        <v>1291</v>
      </c>
      <c r="B328" s="3">
        <v>45474</v>
      </c>
      <c r="C328" s="2" t="s">
        <v>1292</v>
      </c>
      <c r="D328" s="2" t="s">
        <v>58</v>
      </c>
      <c r="E328" s="2">
        <v>5</v>
      </c>
      <c r="F328" s="2">
        <v>670.48</v>
      </c>
      <c r="G328" s="2" t="s">
        <v>117</v>
      </c>
      <c r="H328" s="2" t="s">
        <v>60</v>
      </c>
      <c r="I328" s="2" t="s">
        <v>43</v>
      </c>
      <c r="J328" s="2" t="s">
        <v>1293</v>
      </c>
      <c r="K328" s="2">
        <v>5</v>
      </c>
      <c r="L328" s="2" t="s">
        <v>21</v>
      </c>
      <c r="M328" s="2" t="s">
        <v>45</v>
      </c>
      <c r="N328" s="2">
        <v>3352.4</v>
      </c>
    </row>
    <row r="329" spans="1:14" ht="15" x14ac:dyDescent="0.25">
      <c r="A329" s="2" t="s">
        <v>1294</v>
      </c>
      <c r="B329" s="3">
        <v>45132</v>
      </c>
      <c r="C329" s="2" t="s">
        <v>1295</v>
      </c>
      <c r="D329" s="2" t="s">
        <v>25</v>
      </c>
      <c r="E329" s="2">
        <v>1</v>
      </c>
      <c r="F329" s="2">
        <v>359.99</v>
      </c>
      <c r="G329" s="2" t="s">
        <v>297</v>
      </c>
      <c r="H329" s="2" t="s">
        <v>60</v>
      </c>
      <c r="I329" s="2" t="s">
        <v>35</v>
      </c>
      <c r="J329" s="2" t="s">
        <v>1296</v>
      </c>
      <c r="K329" s="2">
        <v>5</v>
      </c>
      <c r="L329" s="2" t="s">
        <v>21</v>
      </c>
      <c r="M329" s="2" t="s">
        <v>38</v>
      </c>
      <c r="N329" s="2">
        <v>359.99</v>
      </c>
    </row>
    <row r="330" spans="1:14" ht="15" x14ac:dyDescent="0.25">
      <c r="A330" s="2" t="s">
        <v>1297</v>
      </c>
      <c r="B330" s="3">
        <v>44985</v>
      </c>
      <c r="C330" s="2" t="s">
        <v>1298</v>
      </c>
      <c r="D330" s="2" t="s">
        <v>32</v>
      </c>
      <c r="E330" s="2">
        <v>5</v>
      </c>
      <c r="F330" s="2">
        <v>674.04</v>
      </c>
      <c r="G330" s="2" t="s">
        <v>1299</v>
      </c>
      <c r="H330" s="2" t="s">
        <v>27</v>
      </c>
      <c r="I330" s="2" t="s">
        <v>35</v>
      </c>
      <c r="J330" s="2" t="s">
        <v>1300</v>
      </c>
      <c r="K330" s="2">
        <v>7</v>
      </c>
      <c r="L330" s="2" t="s">
        <v>21</v>
      </c>
      <c r="M330" s="2" t="s">
        <v>76</v>
      </c>
      <c r="N330" s="2">
        <v>3370.2</v>
      </c>
    </row>
    <row r="331" spans="1:14" ht="15" x14ac:dyDescent="0.25">
      <c r="A331" s="2" t="s">
        <v>1301</v>
      </c>
      <c r="B331" s="3">
        <v>45651</v>
      </c>
      <c r="C331" s="2" t="s">
        <v>1302</v>
      </c>
      <c r="D331" s="2" t="s">
        <v>41</v>
      </c>
      <c r="E331" s="2">
        <v>4</v>
      </c>
      <c r="F331" s="2">
        <v>283.16000000000003</v>
      </c>
      <c r="G331" s="2" t="s">
        <v>988</v>
      </c>
      <c r="H331" s="2" t="s">
        <v>34</v>
      </c>
      <c r="I331" s="2" t="s">
        <v>19</v>
      </c>
      <c r="J331" s="2" t="s">
        <v>1303</v>
      </c>
      <c r="K331" s="2">
        <v>6</v>
      </c>
      <c r="M331" s="2" t="s">
        <v>76</v>
      </c>
      <c r="N331" s="2">
        <v>1132.6400000000001</v>
      </c>
    </row>
    <row r="332" spans="1:14" ht="15" x14ac:dyDescent="0.25">
      <c r="A332" s="2" t="s">
        <v>1304</v>
      </c>
      <c r="B332" s="3">
        <v>45445</v>
      </c>
      <c r="C332" s="2" t="s">
        <v>1305</v>
      </c>
      <c r="D332" s="2" t="s">
        <v>73</v>
      </c>
      <c r="E332" s="2">
        <v>5</v>
      </c>
      <c r="F332" s="2">
        <v>260.52999999999997</v>
      </c>
      <c r="G332" s="2" t="s">
        <v>1306</v>
      </c>
      <c r="H332" s="2" t="s">
        <v>60</v>
      </c>
      <c r="I332" s="2" t="s">
        <v>89</v>
      </c>
      <c r="J332" s="2" t="s">
        <v>1307</v>
      </c>
      <c r="K332" s="2">
        <v>5</v>
      </c>
      <c r="L332" s="2" t="s">
        <v>21</v>
      </c>
      <c r="M332" s="2" t="s">
        <v>22</v>
      </c>
      <c r="N332" s="2">
        <v>1302.6500000000001</v>
      </c>
    </row>
    <row r="333" spans="1:14" ht="15" x14ac:dyDescent="0.25">
      <c r="A333" s="2" t="s">
        <v>1308</v>
      </c>
      <c r="B333" s="3">
        <v>45031</v>
      </c>
      <c r="C333" s="2" t="s">
        <v>1309</v>
      </c>
      <c r="D333" s="2" t="s">
        <v>48</v>
      </c>
      <c r="E333" s="2">
        <v>3</v>
      </c>
      <c r="F333" s="2">
        <v>422.13</v>
      </c>
      <c r="G333" s="2" t="s">
        <v>510</v>
      </c>
      <c r="H333" s="2" t="s">
        <v>27</v>
      </c>
      <c r="I333" s="2" t="s">
        <v>50</v>
      </c>
      <c r="J333" s="2" t="s">
        <v>1310</v>
      </c>
      <c r="K333" s="2">
        <v>7</v>
      </c>
      <c r="L333" s="2" t="s">
        <v>21</v>
      </c>
      <c r="M333" s="2" t="s">
        <v>45</v>
      </c>
      <c r="N333" s="2">
        <v>1266.3900000000001</v>
      </c>
    </row>
    <row r="334" spans="1:14" ht="15" x14ac:dyDescent="0.25">
      <c r="A334" s="2" t="s">
        <v>1311</v>
      </c>
      <c r="B334" s="3">
        <v>45476</v>
      </c>
      <c r="C334" s="2" t="s">
        <v>1312</v>
      </c>
      <c r="D334" s="2" t="s">
        <v>73</v>
      </c>
      <c r="E334" s="2">
        <v>5</v>
      </c>
      <c r="F334" s="2">
        <v>125.02</v>
      </c>
      <c r="G334" s="2" t="s">
        <v>1313</v>
      </c>
      <c r="H334" s="2" t="s">
        <v>18</v>
      </c>
      <c r="I334" s="2" t="s">
        <v>89</v>
      </c>
      <c r="J334" s="2" t="s">
        <v>1314</v>
      </c>
      <c r="K334" s="2">
        <v>9</v>
      </c>
      <c r="L334" s="2" t="s">
        <v>21</v>
      </c>
      <c r="M334" s="2" t="s">
        <v>76</v>
      </c>
      <c r="N334" s="2">
        <v>625.1</v>
      </c>
    </row>
    <row r="335" spans="1:14" ht="15" x14ac:dyDescent="0.25">
      <c r="A335" s="2" t="s">
        <v>1315</v>
      </c>
      <c r="B335" s="3">
        <v>45398</v>
      </c>
      <c r="C335" s="2" t="s">
        <v>1316</v>
      </c>
      <c r="D335" s="2" t="s">
        <v>25</v>
      </c>
      <c r="E335" s="2">
        <v>1</v>
      </c>
      <c r="F335" s="2">
        <v>198.51</v>
      </c>
      <c r="G335" s="2" t="s">
        <v>1317</v>
      </c>
      <c r="H335" s="2" t="s">
        <v>34</v>
      </c>
      <c r="I335" s="2" t="s">
        <v>43</v>
      </c>
      <c r="J335" s="2" t="s">
        <v>1318</v>
      </c>
      <c r="K335" s="2">
        <v>5</v>
      </c>
      <c r="L335" s="2" t="s">
        <v>81</v>
      </c>
      <c r="M335" s="2" t="s">
        <v>22</v>
      </c>
      <c r="N335" s="2">
        <v>198.51</v>
      </c>
    </row>
    <row r="336" spans="1:14" ht="15" x14ac:dyDescent="0.25">
      <c r="A336" s="2" t="s">
        <v>1319</v>
      </c>
      <c r="B336" s="3">
        <v>45377</v>
      </c>
      <c r="C336" s="2" t="s">
        <v>1320</v>
      </c>
      <c r="D336" s="2" t="s">
        <v>41</v>
      </c>
      <c r="E336" s="2">
        <v>4</v>
      </c>
      <c r="F336" s="2">
        <v>224.75</v>
      </c>
      <c r="G336" s="2" t="s">
        <v>1321</v>
      </c>
      <c r="H336" s="2" t="s">
        <v>27</v>
      </c>
      <c r="I336" s="2" t="s">
        <v>50</v>
      </c>
      <c r="J336" s="2" t="s">
        <v>1322</v>
      </c>
      <c r="K336" s="2">
        <v>7</v>
      </c>
      <c r="L336" s="2" t="s">
        <v>81</v>
      </c>
      <c r="M336" s="2" t="s">
        <v>45</v>
      </c>
      <c r="N336" s="2">
        <v>899</v>
      </c>
    </row>
    <row r="337" spans="1:14" ht="15" x14ac:dyDescent="0.25">
      <c r="A337" s="2" t="s">
        <v>1323</v>
      </c>
      <c r="B337" s="3">
        <v>45719</v>
      </c>
      <c r="C337" s="2" t="s">
        <v>1324</v>
      </c>
      <c r="D337" s="2" t="s">
        <v>32</v>
      </c>
      <c r="E337" s="2">
        <v>3</v>
      </c>
      <c r="F337" s="2">
        <v>205.86</v>
      </c>
      <c r="G337" s="2" t="s">
        <v>1244</v>
      </c>
      <c r="H337" s="2" t="s">
        <v>60</v>
      </c>
      <c r="I337" s="2" t="s">
        <v>19</v>
      </c>
      <c r="J337" s="2" t="s">
        <v>1325</v>
      </c>
      <c r="K337" s="2">
        <v>4</v>
      </c>
      <c r="M337" s="2" t="s">
        <v>38</v>
      </c>
      <c r="N337" s="2">
        <v>617.58000000000004</v>
      </c>
    </row>
    <row r="338" spans="1:14" ht="15" x14ac:dyDescent="0.25">
      <c r="A338" s="2" t="s">
        <v>1326</v>
      </c>
      <c r="B338" s="3">
        <v>45289</v>
      </c>
      <c r="C338" s="2" t="s">
        <v>1327</v>
      </c>
      <c r="D338" s="2" t="s">
        <v>58</v>
      </c>
      <c r="E338" s="2">
        <v>1</v>
      </c>
      <c r="F338" s="2">
        <v>18.2</v>
      </c>
      <c r="G338" s="2" t="s">
        <v>1328</v>
      </c>
      <c r="H338" s="2" t="s">
        <v>18</v>
      </c>
      <c r="I338" s="2" t="s">
        <v>89</v>
      </c>
      <c r="J338" s="2" t="s">
        <v>1329</v>
      </c>
      <c r="K338" s="2">
        <v>4</v>
      </c>
      <c r="L338" s="2" t="s">
        <v>21</v>
      </c>
      <c r="M338" s="2" t="s">
        <v>22</v>
      </c>
      <c r="N338" s="2">
        <v>18.2</v>
      </c>
    </row>
    <row r="339" spans="1:14" ht="15" x14ac:dyDescent="0.25">
      <c r="A339" s="2" t="s">
        <v>1330</v>
      </c>
      <c r="B339" s="3">
        <v>45075</v>
      </c>
      <c r="C339" s="2" t="s">
        <v>1331</v>
      </c>
      <c r="D339" s="2" t="s">
        <v>32</v>
      </c>
      <c r="E339" s="2">
        <v>3</v>
      </c>
      <c r="F339" s="2">
        <v>502.77</v>
      </c>
      <c r="G339" s="2" t="s">
        <v>1332</v>
      </c>
      <c r="H339" s="2" t="s">
        <v>18</v>
      </c>
      <c r="I339" s="2" t="s">
        <v>43</v>
      </c>
      <c r="J339" s="2" t="s">
        <v>1333</v>
      </c>
      <c r="K339" s="2">
        <v>8</v>
      </c>
      <c r="L339" s="2" t="s">
        <v>81</v>
      </c>
      <c r="M339" s="2" t="s">
        <v>38</v>
      </c>
      <c r="N339" s="2">
        <v>1508.31</v>
      </c>
    </row>
    <row r="340" spans="1:14" ht="15" x14ac:dyDescent="0.25">
      <c r="A340" s="2" t="s">
        <v>1334</v>
      </c>
      <c r="B340" s="3">
        <v>45238</v>
      </c>
      <c r="C340" s="2" t="s">
        <v>1335</v>
      </c>
      <c r="D340" s="2" t="s">
        <v>25</v>
      </c>
      <c r="E340" s="2">
        <v>5</v>
      </c>
      <c r="F340" s="2">
        <v>305.49</v>
      </c>
      <c r="G340" s="2" t="s">
        <v>1336</v>
      </c>
      <c r="H340" s="2" t="s">
        <v>18</v>
      </c>
      <c r="I340" s="2" t="s">
        <v>19</v>
      </c>
      <c r="J340" s="2" t="s">
        <v>1337</v>
      </c>
      <c r="K340" s="2">
        <v>10</v>
      </c>
      <c r="M340" s="2" t="s">
        <v>29</v>
      </c>
      <c r="N340" s="2">
        <v>1527.45</v>
      </c>
    </row>
    <row r="341" spans="1:14" ht="15" x14ac:dyDescent="0.25">
      <c r="A341" s="2" t="s">
        <v>1338</v>
      </c>
      <c r="B341" s="3">
        <v>45392</v>
      </c>
      <c r="C341" s="2" t="s">
        <v>1339</v>
      </c>
      <c r="D341" s="2" t="s">
        <v>48</v>
      </c>
      <c r="E341" s="2">
        <v>2</v>
      </c>
      <c r="F341" s="2">
        <v>236.33</v>
      </c>
      <c r="G341" s="2" t="s">
        <v>1340</v>
      </c>
      <c r="H341" s="2" t="s">
        <v>27</v>
      </c>
      <c r="I341" s="2" t="s">
        <v>89</v>
      </c>
      <c r="J341" s="2" t="s">
        <v>1341</v>
      </c>
      <c r="K341" s="2">
        <v>3</v>
      </c>
      <c r="L341" s="2" t="s">
        <v>21</v>
      </c>
      <c r="M341" s="2" t="s">
        <v>22</v>
      </c>
      <c r="N341" s="2">
        <v>472.66</v>
      </c>
    </row>
    <row r="342" spans="1:14" ht="15" x14ac:dyDescent="0.25">
      <c r="A342" s="2" t="s">
        <v>1342</v>
      </c>
      <c r="B342" s="3">
        <v>45039</v>
      </c>
      <c r="C342" s="2" t="s">
        <v>1343</v>
      </c>
      <c r="D342" s="2" t="s">
        <v>58</v>
      </c>
      <c r="E342" s="2">
        <v>5</v>
      </c>
      <c r="F342" s="2">
        <v>521.25</v>
      </c>
      <c r="G342" s="2" t="s">
        <v>1344</v>
      </c>
      <c r="H342" s="2" t="s">
        <v>65</v>
      </c>
      <c r="I342" s="2" t="s">
        <v>35</v>
      </c>
      <c r="J342" s="2" t="s">
        <v>1345</v>
      </c>
      <c r="K342" s="2">
        <v>8</v>
      </c>
      <c r="M342" s="2" t="s">
        <v>38</v>
      </c>
      <c r="N342" s="2">
        <v>2606.25</v>
      </c>
    </row>
    <row r="343" spans="1:14" ht="15" x14ac:dyDescent="0.25">
      <c r="A343" s="2" t="s">
        <v>1346</v>
      </c>
      <c r="B343" s="3">
        <v>45558</v>
      </c>
      <c r="C343" s="2" t="s">
        <v>1347</v>
      </c>
      <c r="D343" s="2" t="s">
        <v>32</v>
      </c>
      <c r="E343" s="2">
        <v>1</v>
      </c>
      <c r="F343" s="2">
        <v>167.15</v>
      </c>
      <c r="G343" s="2" t="s">
        <v>1348</v>
      </c>
      <c r="H343" s="2" t="s">
        <v>60</v>
      </c>
      <c r="I343" s="2" t="s">
        <v>19</v>
      </c>
      <c r="J343" s="2" t="s">
        <v>1349</v>
      </c>
      <c r="K343" s="2">
        <v>5</v>
      </c>
      <c r="L343" s="2" t="s">
        <v>81</v>
      </c>
      <c r="M343" s="2" t="s">
        <v>38</v>
      </c>
      <c r="N343" s="2">
        <v>167.15</v>
      </c>
    </row>
    <row r="344" spans="1:14" ht="15" x14ac:dyDescent="0.25">
      <c r="A344" s="2" t="s">
        <v>1350</v>
      </c>
      <c r="B344" s="3">
        <v>45832</v>
      </c>
      <c r="C344" s="2" t="s">
        <v>1351</v>
      </c>
      <c r="D344" s="2" t="s">
        <v>16</v>
      </c>
      <c r="E344" s="2">
        <v>5</v>
      </c>
      <c r="F344" s="2">
        <v>466.42</v>
      </c>
      <c r="G344" s="2" t="s">
        <v>1352</v>
      </c>
      <c r="H344" s="2" t="s">
        <v>60</v>
      </c>
      <c r="I344" s="2" t="s">
        <v>43</v>
      </c>
      <c r="J344" s="2" t="s">
        <v>1353</v>
      </c>
      <c r="K344" s="2">
        <v>5</v>
      </c>
      <c r="M344" s="2" t="s">
        <v>29</v>
      </c>
      <c r="N344" s="2">
        <v>2332.1</v>
      </c>
    </row>
    <row r="345" spans="1:14" ht="15" x14ac:dyDescent="0.25">
      <c r="A345" s="2" t="s">
        <v>1354</v>
      </c>
      <c r="B345" s="3">
        <v>44983</v>
      </c>
      <c r="C345" s="2" t="s">
        <v>1355</v>
      </c>
      <c r="D345" s="2" t="s">
        <v>48</v>
      </c>
      <c r="E345" s="2">
        <v>1</v>
      </c>
      <c r="F345" s="2">
        <v>527.57000000000005</v>
      </c>
      <c r="G345" s="2" t="s">
        <v>1356</v>
      </c>
      <c r="H345" s="2" t="s">
        <v>18</v>
      </c>
      <c r="I345" s="2" t="s">
        <v>89</v>
      </c>
      <c r="J345" s="2" t="s">
        <v>1357</v>
      </c>
      <c r="K345" s="2">
        <v>3</v>
      </c>
      <c r="L345" s="2" t="s">
        <v>37</v>
      </c>
      <c r="M345" s="2" t="s">
        <v>45</v>
      </c>
      <c r="N345" s="2">
        <v>527.57000000000005</v>
      </c>
    </row>
    <row r="346" spans="1:14" ht="15" x14ac:dyDescent="0.25">
      <c r="A346" s="2" t="s">
        <v>1358</v>
      </c>
      <c r="B346" s="3">
        <v>45722</v>
      </c>
      <c r="C346" s="2" t="s">
        <v>1359</v>
      </c>
      <c r="D346" s="2" t="s">
        <v>32</v>
      </c>
      <c r="E346" s="2">
        <v>3</v>
      </c>
      <c r="F346" s="2">
        <v>623.34</v>
      </c>
      <c r="G346" s="2" t="s">
        <v>1360</v>
      </c>
      <c r="H346" s="2" t="s">
        <v>27</v>
      </c>
      <c r="I346" s="2" t="s">
        <v>35</v>
      </c>
      <c r="J346" s="2" t="s">
        <v>1361</v>
      </c>
      <c r="K346" s="2">
        <v>3</v>
      </c>
      <c r="L346" s="2" t="s">
        <v>21</v>
      </c>
      <c r="M346" s="2" t="s">
        <v>22</v>
      </c>
      <c r="N346" s="2">
        <v>1870.02</v>
      </c>
    </row>
    <row r="347" spans="1:14" ht="15" x14ac:dyDescent="0.25">
      <c r="A347" s="2" t="s">
        <v>1362</v>
      </c>
      <c r="B347" s="3">
        <v>45267</v>
      </c>
      <c r="C347" s="2" t="s">
        <v>1363</v>
      </c>
      <c r="D347" s="2" t="s">
        <v>32</v>
      </c>
      <c r="E347" s="2">
        <v>5</v>
      </c>
      <c r="F347" s="2">
        <v>501.26</v>
      </c>
      <c r="G347" s="2" t="s">
        <v>1364</v>
      </c>
      <c r="H347" s="2" t="s">
        <v>60</v>
      </c>
      <c r="I347" s="2" t="s">
        <v>19</v>
      </c>
      <c r="J347" s="2" t="s">
        <v>1365</v>
      </c>
      <c r="K347" s="2">
        <v>10</v>
      </c>
      <c r="L347" s="2" t="s">
        <v>37</v>
      </c>
      <c r="M347" s="2" t="s">
        <v>29</v>
      </c>
      <c r="N347" s="2">
        <v>2506.3000000000002</v>
      </c>
    </row>
    <row r="348" spans="1:14" ht="15" x14ac:dyDescent="0.25">
      <c r="A348" s="2" t="s">
        <v>1366</v>
      </c>
      <c r="B348" s="3">
        <v>45632</v>
      </c>
      <c r="C348" s="2" t="s">
        <v>1367</v>
      </c>
      <c r="D348" s="2" t="s">
        <v>32</v>
      </c>
      <c r="E348" s="2">
        <v>1</v>
      </c>
      <c r="F348" s="2">
        <v>655.09</v>
      </c>
      <c r="G348" s="2" t="s">
        <v>1368</v>
      </c>
      <c r="H348" s="2" t="s">
        <v>65</v>
      </c>
      <c r="I348" s="2" t="s">
        <v>89</v>
      </c>
      <c r="J348" s="2" t="s">
        <v>1369</v>
      </c>
      <c r="K348" s="2">
        <v>6</v>
      </c>
      <c r="M348" s="2" t="s">
        <v>29</v>
      </c>
      <c r="N348" s="2">
        <v>655.09</v>
      </c>
    </row>
    <row r="349" spans="1:14" ht="15" x14ac:dyDescent="0.25">
      <c r="A349" s="2" t="s">
        <v>1370</v>
      </c>
      <c r="B349" s="3">
        <v>45325</v>
      </c>
      <c r="C349" s="2" t="s">
        <v>1371</v>
      </c>
      <c r="D349" s="2" t="s">
        <v>48</v>
      </c>
      <c r="E349" s="2">
        <v>4</v>
      </c>
      <c r="F349" s="2">
        <v>264.79000000000002</v>
      </c>
      <c r="G349" s="2" t="s">
        <v>1372</v>
      </c>
      <c r="H349" s="2" t="s">
        <v>34</v>
      </c>
      <c r="I349" s="2" t="s">
        <v>89</v>
      </c>
      <c r="J349" s="2" t="s">
        <v>1373</v>
      </c>
      <c r="K349" s="2">
        <v>5</v>
      </c>
      <c r="L349" s="2" t="s">
        <v>21</v>
      </c>
      <c r="M349" s="2" t="s">
        <v>76</v>
      </c>
      <c r="N349" s="2">
        <v>1059.1600000000001</v>
      </c>
    </row>
    <row r="350" spans="1:14" ht="15" x14ac:dyDescent="0.25">
      <c r="A350" s="2" t="s">
        <v>1374</v>
      </c>
      <c r="B350" s="3">
        <v>45364</v>
      </c>
      <c r="C350" s="2" t="s">
        <v>1375</v>
      </c>
      <c r="D350" s="2" t="s">
        <v>58</v>
      </c>
      <c r="E350" s="2">
        <v>3</v>
      </c>
      <c r="F350" s="2">
        <v>359.73</v>
      </c>
      <c r="G350" s="2" t="s">
        <v>1376</v>
      </c>
      <c r="H350" s="2" t="s">
        <v>18</v>
      </c>
      <c r="I350" s="2" t="s">
        <v>43</v>
      </c>
      <c r="J350" s="2" t="s">
        <v>1377</v>
      </c>
      <c r="K350" s="2">
        <v>7</v>
      </c>
      <c r="L350" s="2" t="s">
        <v>37</v>
      </c>
      <c r="M350" s="2" t="s">
        <v>38</v>
      </c>
      <c r="N350" s="2">
        <v>1079.19</v>
      </c>
    </row>
    <row r="351" spans="1:14" ht="15" x14ac:dyDescent="0.25">
      <c r="A351" s="2" t="s">
        <v>1378</v>
      </c>
      <c r="B351" s="3">
        <v>45260</v>
      </c>
      <c r="C351" s="2" t="s">
        <v>1379</v>
      </c>
      <c r="D351" s="2" t="s">
        <v>41</v>
      </c>
      <c r="E351" s="2">
        <v>1</v>
      </c>
      <c r="F351" s="2">
        <v>465.33</v>
      </c>
      <c r="G351" s="2" t="s">
        <v>1380</v>
      </c>
      <c r="H351" s="2" t="s">
        <v>60</v>
      </c>
      <c r="I351" s="2" t="s">
        <v>50</v>
      </c>
      <c r="J351" s="2" t="s">
        <v>1381</v>
      </c>
      <c r="K351" s="2">
        <v>2</v>
      </c>
      <c r="L351" s="2" t="s">
        <v>37</v>
      </c>
      <c r="M351" s="2" t="s">
        <v>76</v>
      </c>
      <c r="N351" s="2">
        <v>465.33</v>
      </c>
    </row>
    <row r="352" spans="1:14" ht="15" x14ac:dyDescent="0.25">
      <c r="A352" s="2" t="s">
        <v>1382</v>
      </c>
      <c r="B352" s="3">
        <v>45080</v>
      </c>
      <c r="C352" s="2" t="s">
        <v>1383</v>
      </c>
      <c r="D352" s="2" t="s">
        <v>41</v>
      </c>
      <c r="E352" s="2">
        <v>2</v>
      </c>
      <c r="F352" s="2">
        <v>54.41</v>
      </c>
      <c r="G352" s="2" t="s">
        <v>1384</v>
      </c>
      <c r="H352" s="2" t="s">
        <v>27</v>
      </c>
      <c r="I352" s="2" t="s">
        <v>19</v>
      </c>
      <c r="J352" s="2" t="s">
        <v>1385</v>
      </c>
      <c r="K352" s="2">
        <v>6</v>
      </c>
      <c r="M352" s="2" t="s">
        <v>22</v>
      </c>
      <c r="N352" s="2">
        <v>108.82</v>
      </c>
    </row>
    <row r="353" spans="1:14" ht="15" x14ac:dyDescent="0.25">
      <c r="A353" s="2" t="s">
        <v>1386</v>
      </c>
      <c r="B353" s="3">
        <v>45703</v>
      </c>
      <c r="C353" s="2" t="s">
        <v>1387</v>
      </c>
      <c r="D353" s="2" t="s">
        <v>58</v>
      </c>
      <c r="E353" s="2">
        <v>1</v>
      </c>
      <c r="F353" s="2">
        <v>64.66</v>
      </c>
      <c r="G353" s="2" t="s">
        <v>1388</v>
      </c>
      <c r="H353" s="2" t="s">
        <v>18</v>
      </c>
      <c r="I353" s="2" t="s">
        <v>50</v>
      </c>
      <c r="J353" s="2" t="s">
        <v>1389</v>
      </c>
      <c r="K353" s="2">
        <v>4</v>
      </c>
      <c r="M353" s="2" t="s">
        <v>22</v>
      </c>
      <c r="N353" s="2">
        <v>64.66</v>
      </c>
    </row>
    <row r="354" spans="1:14" ht="15" x14ac:dyDescent="0.25">
      <c r="A354" s="2" t="s">
        <v>1390</v>
      </c>
      <c r="B354" s="3">
        <v>45169</v>
      </c>
      <c r="C354" s="2" t="s">
        <v>1391</v>
      </c>
      <c r="D354" s="2" t="s">
        <v>41</v>
      </c>
      <c r="E354" s="2">
        <v>5</v>
      </c>
      <c r="F354" s="2">
        <v>173.96</v>
      </c>
      <c r="G354" s="2" t="s">
        <v>1392</v>
      </c>
      <c r="H354" s="2" t="s">
        <v>18</v>
      </c>
      <c r="I354" s="2" t="s">
        <v>89</v>
      </c>
      <c r="J354" s="2" t="s">
        <v>1393</v>
      </c>
      <c r="K354" s="2">
        <v>8</v>
      </c>
      <c r="L354" s="2" t="s">
        <v>81</v>
      </c>
      <c r="M354" s="2" t="s">
        <v>22</v>
      </c>
      <c r="N354" s="2">
        <v>869.80000000000007</v>
      </c>
    </row>
    <row r="355" spans="1:14" ht="15" x14ac:dyDescent="0.25">
      <c r="A355" s="2" t="s">
        <v>1394</v>
      </c>
      <c r="B355" s="3">
        <v>45744</v>
      </c>
      <c r="C355" s="2" t="s">
        <v>1395</v>
      </c>
      <c r="D355" s="2" t="s">
        <v>32</v>
      </c>
      <c r="E355" s="2">
        <v>1</v>
      </c>
      <c r="F355" s="2">
        <v>630.82000000000005</v>
      </c>
      <c r="G355" s="2" t="s">
        <v>1396</v>
      </c>
      <c r="H355" s="2" t="s">
        <v>27</v>
      </c>
      <c r="I355" s="2" t="s">
        <v>50</v>
      </c>
      <c r="J355" s="2" t="s">
        <v>1397</v>
      </c>
      <c r="K355" s="2">
        <v>5</v>
      </c>
      <c r="L355" s="2" t="s">
        <v>37</v>
      </c>
      <c r="M355" s="2" t="s">
        <v>76</v>
      </c>
      <c r="N355" s="2">
        <v>630.82000000000005</v>
      </c>
    </row>
    <row r="356" spans="1:14" ht="15" x14ac:dyDescent="0.25">
      <c r="A356" s="2" t="s">
        <v>1398</v>
      </c>
      <c r="B356" s="3">
        <v>45118</v>
      </c>
      <c r="C356" s="2" t="s">
        <v>1399</v>
      </c>
      <c r="D356" s="2" t="s">
        <v>25</v>
      </c>
      <c r="E356" s="2">
        <v>1</v>
      </c>
      <c r="F356" s="2">
        <v>693.41</v>
      </c>
      <c r="G356" s="2" t="s">
        <v>1400</v>
      </c>
      <c r="H356" s="2" t="s">
        <v>18</v>
      </c>
      <c r="I356" s="2" t="s">
        <v>19</v>
      </c>
      <c r="J356" s="2" t="s">
        <v>1401</v>
      </c>
      <c r="K356" s="2">
        <v>4</v>
      </c>
      <c r="M356" s="2" t="s">
        <v>22</v>
      </c>
      <c r="N356" s="2">
        <v>693.41</v>
      </c>
    </row>
    <row r="357" spans="1:14" ht="15" x14ac:dyDescent="0.25">
      <c r="A357" s="2" t="s">
        <v>1402</v>
      </c>
      <c r="B357" s="3">
        <v>45811</v>
      </c>
      <c r="C357" s="2" t="s">
        <v>1403</v>
      </c>
      <c r="D357" s="2" t="s">
        <v>32</v>
      </c>
      <c r="E357" s="2">
        <v>3</v>
      </c>
      <c r="F357" s="2">
        <v>433.33</v>
      </c>
      <c r="G357" s="2" t="s">
        <v>1404</v>
      </c>
      <c r="H357" s="2" t="s">
        <v>34</v>
      </c>
      <c r="I357" s="2" t="s">
        <v>35</v>
      </c>
      <c r="J357" s="2" t="s">
        <v>1405</v>
      </c>
      <c r="K357" s="2">
        <v>4</v>
      </c>
      <c r="L357" s="2" t="s">
        <v>37</v>
      </c>
      <c r="M357" s="2" t="s">
        <v>29</v>
      </c>
      <c r="N357" s="2">
        <v>1299.99</v>
      </c>
    </row>
    <row r="358" spans="1:14" ht="15" x14ac:dyDescent="0.25">
      <c r="A358" s="2" t="s">
        <v>1406</v>
      </c>
      <c r="B358" s="3">
        <v>45052</v>
      </c>
      <c r="C358" s="2" t="s">
        <v>1407</v>
      </c>
      <c r="D358" s="2" t="s">
        <v>48</v>
      </c>
      <c r="E358" s="2">
        <v>5</v>
      </c>
      <c r="F358" s="2">
        <v>374.58</v>
      </c>
      <c r="G358" s="2" t="s">
        <v>1408</v>
      </c>
      <c r="H358" s="2" t="s">
        <v>60</v>
      </c>
      <c r="I358" s="2" t="s">
        <v>35</v>
      </c>
      <c r="J358" s="2" t="s">
        <v>1409</v>
      </c>
      <c r="K358" s="2">
        <v>10</v>
      </c>
      <c r="L358" s="2" t="s">
        <v>37</v>
      </c>
      <c r="M358" s="2" t="s">
        <v>22</v>
      </c>
      <c r="N358" s="2">
        <v>1872.9</v>
      </c>
    </row>
    <row r="359" spans="1:14" ht="15" x14ac:dyDescent="0.25">
      <c r="A359" s="2" t="s">
        <v>1410</v>
      </c>
      <c r="B359" s="3">
        <v>45115</v>
      </c>
      <c r="C359" s="2" t="s">
        <v>1411</v>
      </c>
      <c r="D359" s="2" t="s">
        <v>58</v>
      </c>
      <c r="E359" s="2">
        <v>5</v>
      </c>
      <c r="F359" s="2">
        <v>408.56</v>
      </c>
      <c r="G359" s="2" t="s">
        <v>1340</v>
      </c>
      <c r="H359" s="2" t="s">
        <v>18</v>
      </c>
      <c r="I359" s="2" t="s">
        <v>50</v>
      </c>
      <c r="J359" s="2" t="s">
        <v>1412</v>
      </c>
      <c r="K359" s="2">
        <v>8</v>
      </c>
      <c r="L359" s="2" t="s">
        <v>37</v>
      </c>
      <c r="M359" s="2" t="s">
        <v>22</v>
      </c>
      <c r="N359" s="2">
        <v>2042.8</v>
      </c>
    </row>
    <row r="360" spans="1:14" ht="15" x14ac:dyDescent="0.25">
      <c r="A360" s="2" t="s">
        <v>1413</v>
      </c>
      <c r="B360" s="3">
        <v>45389</v>
      </c>
      <c r="C360" s="2" t="s">
        <v>1414</v>
      </c>
      <c r="D360" s="2" t="s">
        <v>32</v>
      </c>
      <c r="E360" s="2">
        <v>2</v>
      </c>
      <c r="F360" s="2">
        <v>183.67</v>
      </c>
      <c r="G360" s="2" t="s">
        <v>1415</v>
      </c>
      <c r="H360" s="2" t="s">
        <v>27</v>
      </c>
      <c r="I360" s="2" t="s">
        <v>35</v>
      </c>
      <c r="J360" s="2" t="s">
        <v>1416</v>
      </c>
      <c r="K360" s="2">
        <v>3</v>
      </c>
      <c r="L360" s="2" t="s">
        <v>21</v>
      </c>
      <c r="M360" s="2" t="s">
        <v>76</v>
      </c>
      <c r="N360" s="2">
        <v>367.34</v>
      </c>
    </row>
    <row r="361" spans="1:14" ht="15" x14ac:dyDescent="0.25">
      <c r="A361" s="2" t="s">
        <v>1417</v>
      </c>
      <c r="B361" s="3">
        <v>45086</v>
      </c>
      <c r="C361" s="2" t="s">
        <v>1418</v>
      </c>
      <c r="D361" s="2" t="s">
        <v>73</v>
      </c>
      <c r="E361" s="2">
        <v>4</v>
      </c>
      <c r="F361" s="2">
        <v>606.57000000000005</v>
      </c>
      <c r="G361" s="2" t="s">
        <v>1419</v>
      </c>
      <c r="H361" s="2" t="s">
        <v>18</v>
      </c>
      <c r="I361" s="2" t="s">
        <v>50</v>
      </c>
      <c r="J361" s="2" t="s">
        <v>1420</v>
      </c>
      <c r="K361" s="2">
        <v>5</v>
      </c>
      <c r="L361" s="2" t="s">
        <v>81</v>
      </c>
      <c r="M361" s="2" t="s">
        <v>29</v>
      </c>
      <c r="N361" s="2">
        <v>2426.2800000000002</v>
      </c>
    </row>
    <row r="362" spans="1:14" ht="15" x14ac:dyDescent="0.25">
      <c r="A362" s="2" t="s">
        <v>1421</v>
      </c>
      <c r="B362" s="3">
        <v>45449</v>
      </c>
      <c r="C362" s="2" t="s">
        <v>1422</v>
      </c>
      <c r="D362" s="2" t="s">
        <v>25</v>
      </c>
      <c r="E362" s="2">
        <v>4</v>
      </c>
      <c r="F362" s="2">
        <v>589.57000000000005</v>
      </c>
      <c r="G362" s="2" t="s">
        <v>1423</v>
      </c>
      <c r="H362" s="2" t="s">
        <v>65</v>
      </c>
      <c r="I362" s="2" t="s">
        <v>89</v>
      </c>
      <c r="J362" s="2" t="s">
        <v>1424</v>
      </c>
      <c r="K362" s="2">
        <v>8</v>
      </c>
      <c r="M362" s="2" t="s">
        <v>22</v>
      </c>
      <c r="N362" s="2">
        <v>2358.2800000000002</v>
      </c>
    </row>
    <row r="363" spans="1:14" ht="15" x14ac:dyDescent="0.25">
      <c r="A363" s="2" t="s">
        <v>1425</v>
      </c>
      <c r="B363" s="3">
        <v>45472</v>
      </c>
      <c r="C363" s="2" t="s">
        <v>1426</v>
      </c>
      <c r="D363" s="2" t="s">
        <v>48</v>
      </c>
      <c r="E363" s="2">
        <v>5</v>
      </c>
      <c r="F363" s="2">
        <v>659.85</v>
      </c>
      <c r="G363" s="2" t="s">
        <v>1427</v>
      </c>
      <c r="H363" s="2" t="s">
        <v>34</v>
      </c>
      <c r="I363" s="2" t="s">
        <v>50</v>
      </c>
      <c r="J363" s="2" t="s">
        <v>1428</v>
      </c>
      <c r="K363" s="2">
        <v>9</v>
      </c>
      <c r="L363" s="2" t="s">
        <v>21</v>
      </c>
      <c r="M363" s="2" t="s">
        <v>45</v>
      </c>
      <c r="N363" s="2">
        <v>3299.25</v>
      </c>
    </row>
    <row r="364" spans="1:14" ht="15" x14ac:dyDescent="0.25">
      <c r="A364" s="2" t="s">
        <v>1429</v>
      </c>
      <c r="B364" s="3">
        <v>45104</v>
      </c>
      <c r="C364" s="2" t="s">
        <v>1430</v>
      </c>
      <c r="D364" s="2" t="s">
        <v>16</v>
      </c>
      <c r="E364" s="2">
        <v>4</v>
      </c>
      <c r="F364" s="2">
        <v>206.84</v>
      </c>
      <c r="G364" s="2" t="s">
        <v>1431</v>
      </c>
      <c r="H364" s="2" t="s">
        <v>65</v>
      </c>
      <c r="I364" s="2" t="s">
        <v>35</v>
      </c>
      <c r="J364" s="2" t="s">
        <v>1432</v>
      </c>
      <c r="K364" s="2">
        <v>5</v>
      </c>
      <c r="L364" s="2" t="s">
        <v>81</v>
      </c>
      <c r="M364" s="2" t="s">
        <v>22</v>
      </c>
      <c r="N364" s="2">
        <v>827.36</v>
      </c>
    </row>
    <row r="365" spans="1:14" ht="15" x14ac:dyDescent="0.25">
      <c r="A365" s="2" t="s">
        <v>1433</v>
      </c>
      <c r="B365" s="3">
        <v>45436</v>
      </c>
      <c r="C365" s="2" t="s">
        <v>1434</v>
      </c>
      <c r="D365" s="2" t="s">
        <v>58</v>
      </c>
      <c r="E365" s="2">
        <v>5</v>
      </c>
      <c r="F365" s="2">
        <v>113.87</v>
      </c>
      <c r="G365" s="2" t="s">
        <v>212</v>
      </c>
      <c r="H365" s="2" t="s">
        <v>34</v>
      </c>
      <c r="I365" s="2" t="s">
        <v>89</v>
      </c>
      <c r="J365" s="2" t="s">
        <v>1435</v>
      </c>
      <c r="K365" s="2">
        <v>6</v>
      </c>
      <c r="L365" s="2" t="s">
        <v>21</v>
      </c>
      <c r="M365" s="2" t="s">
        <v>38</v>
      </c>
      <c r="N365" s="2">
        <v>569.35</v>
      </c>
    </row>
    <row r="366" spans="1:14" ht="15" x14ac:dyDescent="0.25">
      <c r="A366" s="2" t="s">
        <v>1436</v>
      </c>
      <c r="B366" s="3">
        <v>45254</v>
      </c>
      <c r="C366" s="2" t="s">
        <v>1437</v>
      </c>
      <c r="D366" s="2" t="s">
        <v>25</v>
      </c>
      <c r="E366" s="2">
        <v>5</v>
      </c>
      <c r="F366" s="2">
        <v>628.74</v>
      </c>
      <c r="G366" s="2" t="s">
        <v>1121</v>
      </c>
      <c r="H366" s="2" t="s">
        <v>65</v>
      </c>
      <c r="I366" s="2" t="s">
        <v>35</v>
      </c>
      <c r="J366" s="2" t="s">
        <v>1438</v>
      </c>
      <c r="K366" s="2">
        <v>9</v>
      </c>
      <c r="L366" s="2" t="s">
        <v>37</v>
      </c>
      <c r="M366" s="2" t="s">
        <v>45</v>
      </c>
      <c r="N366" s="2">
        <v>3143.7</v>
      </c>
    </row>
    <row r="367" spans="1:14" ht="15" x14ac:dyDescent="0.25">
      <c r="A367" s="2" t="s">
        <v>1439</v>
      </c>
      <c r="B367" s="3">
        <v>45702</v>
      </c>
      <c r="C367" s="2" t="s">
        <v>1440</v>
      </c>
      <c r="D367" s="2" t="s">
        <v>25</v>
      </c>
      <c r="E367" s="2">
        <v>1</v>
      </c>
      <c r="F367" s="2">
        <v>678.38</v>
      </c>
      <c r="G367" s="2" t="s">
        <v>1313</v>
      </c>
      <c r="H367" s="2" t="s">
        <v>34</v>
      </c>
      <c r="I367" s="2" t="s">
        <v>35</v>
      </c>
      <c r="J367" s="2" t="s">
        <v>1441</v>
      </c>
      <c r="K367" s="2">
        <v>4</v>
      </c>
      <c r="L367" s="2" t="s">
        <v>21</v>
      </c>
      <c r="M367" s="2" t="s">
        <v>29</v>
      </c>
      <c r="N367" s="2">
        <v>678.38</v>
      </c>
    </row>
    <row r="368" spans="1:14" ht="15" x14ac:dyDescent="0.25">
      <c r="A368" s="2" t="s">
        <v>1442</v>
      </c>
      <c r="B368" s="3">
        <v>44967</v>
      </c>
      <c r="C368" s="2" t="s">
        <v>1443</v>
      </c>
      <c r="D368" s="2" t="s">
        <v>48</v>
      </c>
      <c r="E368" s="2">
        <v>3</v>
      </c>
      <c r="F368" s="2">
        <v>602.24</v>
      </c>
      <c r="G368" s="2" t="s">
        <v>1444</v>
      </c>
      <c r="H368" s="2" t="s">
        <v>18</v>
      </c>
      <c r="I368" s="2" t="s">
        <v>89</v>
      </c>
      <c r="J368" s="2" t="s">
        <v>1445</v>
      </c>
      <c r="K368" s="2">
        <v>8</v>
      </c>
      <c r="M368" s="2" t="s">
        <v>29</v>
      </c>
      <c r="N368" s="2">
        <v>1806.72</v>
      </c>
    </row>
    <row r="369" spans="1:14" ht="15" x14ac:dyDescent="0.25">
      <c r="A369" s="2" t="s">
        <v>1446</v>
      </c>
      <c r="B369" s="3">
        <v>45407</v>
      </c>
      <c r="C369" s="2" t="s">
        <v>1447</v>
      </c>
      <c r="D369" s="2" t="s">
        <v>58</v>
      </c>
      <c r="E369" s="2">
        <v>5</v>
      </c>
      <c r="F369" s="2">
        <v>658.77</v>
      </c>
      <c r="G369" s="2" t="s">
        <v>1032</v>
      </c>
      <c r="H369" s="2" t="s">
        <v>60</v>
      </c>
      <c r="I369" s="2" t="s">
        <v>89</v>
      </c>
      <c r="J369" s="2" t="s">
        <v>1448</v>
      </c>
      <c r="K369" s="2">
        <v>10</v>
      </c>
      <c r="L369" s="2" t="s">
        <v>37</v>
      </c>
      <c r="M369" s="2" t="s">
        <v>22</v>
      </c>
      <c r="N369" s="2">
        <v>3293.85</v>
      </c>
    </row>
    <row r="370" spans="1:14" ht="15" x14ac:dyDescent="0.25">
      <c r="A370" s="2" t="s">
        <v>1449</v>
      </c>
      <c r="B370" s="3">
        <v>45047</v>
      </c>
      <c r="C370" s="2" t="s">
        <v>1450</v>
      </c>
      <c r="D370" s="2" t="s">
        <v>16</v>
      </c>
      <c r="E370" s="2">
        <v>3</v>
      </c>
      <c r="F370" s="2">
        <v>271.02</v>
      </c>
      <c r="G370" s="2" t="s">
        <v>1451</v>
      </c>
      <c r="H370" s="2" t="s">
        <v>34</v>
      </c>
      <c r="I370" s="2" t="s">
        <v>35</v>
      </c>
      <c r="J370" s="2" t="s">
        <v>1452</v>
      </c>
      <c r="K370" s="2">
        <v>6</v>
      </c>
      <c r="M370" s="2" t="s">
        <v>76</v>
      </c>
      <c r="N370" s="2">
        <v>813.06</v>
      </c>
    </row>
    <row r="371" spans="1:14" ht="15" x14ac:dyDescent="0.25">
      <c r="A371" s="2" t="s">
        <v>1453</v>
      </c>
      <c r="B371" s="3">
        <v>45648</v>
      </c>
      <c r="C371" s="2" t="s">
        <v>1454</v>
      </c>
      <c r="D371" s="2" t="s">
        <v>16</v>
      </c>
      <c r="E371" s="2">
        <v>5</v>
      </c>
      <c r="F371" s="2">
        <v>375.25</v>
      </c>
      <c r="G371" s="2" t="s">
        <v>1455</v>
      </c>
      <c r="H371" s="2" t="s">
        <v>60</v>
      </c>
      <c r="I371" s="2" t="s">
        <v>89</v>
      </c>
      <c r="J371" s="2" t="s">
        <v>1456</v>
      </c>
      <c r="K371" s="2">
        <v>9</v>
      </c>
      <c r="L371" s="2" t="s">
        <v>21</v>
      </c>
      <c r="M371" s="2" t="s">
        <v>38</v>
      </c>
      <c r="N371" s="2">
        <v>1876.25</v>
      </c>
    </row>
    <row r="372" spans="1:14" ht="15" x14ac:dyDescent="0.25">
      <c r="A372" s="2" t="s">
        <v>1457</v>
      </c>
      <c r="B372" s="3">
        <v>45780</v>
      </c>
      <c r="C372" s="2" t="s">
        <v>1458</v>
      </c>
      <c r="D372" s="2" t="s">
        <v>25</v>
      </c>
      <c r="E372" s="2">
        <v>1</v>
      </c>
      <c r="F372" s="2">
        <v>312.11</v>
      </c>
      <c r="G372" s="2" t="s">
        <v>1459</v>
      </c>
      <c r="H372" s="2" t="s">
        <v>27</v>
      </c>
      <c r="I372" s="2" t="s">
        <v>35</v>
      </c>
      <c r="J372" s="2" t="s">
        <v>1460</v>
      </c>
      <c r="K372" s="2">
        <v>4</v>
      </c>
      <c r="L372" s="2" t="s">
        <v>81</v>
      </c>
      <c r="M372" s="2" t="s">
        <v>45</v>
      </c>
      <c r="N372" s="2">
        <v>312.11</v>
      </c>
    </row>
    <row r="373" spans="1:14" ht="15" x14ac:dyDescent="0.25">
      <c r="A373" s="2" t="s">
        <v>1461</v>
      </c>
      <c r="B373" s="3">
        <v>44931</v>
      </c>
      <c r="C373" s="2" t="s">
        <v>1462</v>
      </c>
      <c r="D373" s="2" t="s">
        <v>25</v>
      </c>
      <c r="E373" s="2">
        <v>5</v>
      </c>
      <c r="F373" s="2">
        <v>307.76</v>
      </c>
      <c r="G373" s="2" t="s">
        <v>88</v>
      </c>
      <c r="H373" s="2" t="s">
        <v>60</v>
      </c>
      <c r="I373" s="2" t="s">
        <v>89</v>
      </c>
      <c r="J373" s="2" t="s">
        <v>1463</v>
      </c>
      <c r="K373" s="2">
        <v>9</v>
      </c>
      <c r="L373" s="2" t="s">
        <v>37</v>
      </c>
      <c r="M373" s="2" t="s">
        <v>76</v>
      </c>
      <c r="N373" s="2">
        <v>1538.8</v>
      </c>
    </row>
    <row r="374" spans="1:14" ht="15" x14ac:dyDescent="0.25">
      <c r="A374" s="2" t="s">
        <v>1464</v>
      </c>
      <c r="B374" s="3">
        <v>45702</v>
      </c>
      <c r="C374" s="2" t="s">
        <v>1465</v>
      </c>
      <c r="D374" s="2" t="s">
        <v>41</v>
      </c>
      <c r="E374" s="2">
        <v>3</v>
      </c>
      <c r="F374" s="2">
        <v>483.53</v>
      </c>
      <c r="G374" s="2" t="s">
        <v>1466</v>
      </c>
      <c r="H374" s="2" t="s">
        <v>65</v>
      </c>
      <c r="I374" s="2" t="s">
        <v>43</v>
      </c>
      <c r="J374" s="2" t="s">
        <v>1467</v>
      </c>
      <c r="K374" s="2">
        <v>4</v>
      </c>
      <c r="M374" s="2" t="s">
        <v>29</v>
      </c>
      <c r="N374" s="2">
        <v>1450.59</v>
      </c>
    </row>
    <row r="375" spans="1:14" ht="15" x14ac:dyDescent="0.25">
      <c r="A375" s="2" t="s">
        <v>1468</v>
      </c>
      <c r="B375" s="3">
        <v>44928</v>
      </c>
      <c r="C375" s="2" t="s">
        <v>1469</v>
      </c>
      <c r="D375" s="2" t="s">
        <v>58</v>
      </c>
      <c r="E375" s="2">
        <v>3</v>
      </c>
      <c r="F375" s="2">
        <v>341.15</v>
      </c>
      <c r="G375" s="2" t="s">
        <v>1470</v>
      </c>
      <c r="H375" s="2" t="s">
        <v>65</v>
      </c>
      <c r="I375" s="2" t="s">
        <v>89</v>
      </c>
      <c r="J375" s="2" t="s">
        <v>1471</v>
      </c>
      <c r="K375" s="2">
        <v>4</v>
      </c>
      <c r="L375" s="2" t="s">
        <v>37</v>
      </c>
      <c r="M375" s="2" t="s">
        <v>22</v>
      </c>
      <c r="N375" s="2">
        <v>1023.45</v>
      </c>
    </row>
    <row r="376" spans="1:14" ht="15" x14ac:dyDescent="0.25">
      <c r="A376" s="2" t="s">
        <v>1472</v>
      </c>
      <c r="B376" s="3">
        <v>45551</v>
      </c>
      <c r="C376" s="2" t="s">
        <v>1473</v>
      </c>
      <c r="D376" s="2" t="s">
        <v>16</v>
      </c>
      <c r="E376" s="2">
        <v>1</v>
      </c>
      <c r="F376" s="2">
        <v>571.9</v>
      </c>
      <c r="G376" s="2" t="s">
        <v>327</v>
      </c>
      <c r="H376" s="2" t="s">
        <v>60</v>
      </c>
      <c r="I376" s="2" t="s">
        <v>89</v>
      </c>
      <c r="J376" s="2" t="s">
        <v>1474</v>
      </c>
      <c r="K376" s="2">
        <v>1</v>
      </c>
      <c r="L376" s="2" t="s">
        <v>81</v>
      </c>
      <c r="M376" s="2" t="s">
        <v>22</v>
      </c>
      <c r="N376" s="2">
        <v>571.9</v>
      </c>
    </row>
    <row r="377" spans="1:14" ht="15" x14ac:dyDescent="0.25">
      <c r="A377" s="2" t="s">
        <v>1475</v>
      </c>
      <c r="B377" s="3">
        <v>45673</v>
      </c>
      <c r="C377" s="2" t="s">
        <v>1476</v>
      </c>
      <c r="D377" s="2" t="s">
        <v>16</v>
      </c>
      <c r="E377" s="2">
        <v>4</v>
      </c>
      <c r="F377" s="2">
        <v>95.03</v>
      </c>
      <c r="G377" s="2" t="s">
        <v>1477</v>
      </c>
      <c r="H377" s="2" t="s">
        <v>27</v>
      </c>
      <c r="I377" s="2" t="s">
        <v>19</v>
      </c>
      <c r="J377" s="2" t="s">
        <v>1478</v>
      </c>
      <c r="K377" s="2">
        <v>8</v>
      </c>
      <c r="L377" s="2" t="s">
        <v>37</v>
      </c>
      <c r="M377" s="2" t="s">
        <v>45</v>
      </c>
      <c r="N377" s="2">
        <v>380.12</v>
      </c>
    </row>
    <row r="378" spans="1:14" ht="15" x14ac:dyDescent="0.25">
      <c r="A378" s="2" t="s">
        <v>1479</v>
      </c>
      <c r="B378" s="3">
        <v>45162</v>
      </c>
      <c r="C378" s="2" t="s">
        <v>1480</v>
      </c>
      <c r="D378" s="2" t="s">
        <v>16</v>
      </c>
      <c r="E378" s="2">
        <v>5</v>
      </c>
      <c r="F378" s="2">
        <v>201.22</v>
      </c>
      <c r="G378" s="2" t="s">
        <v>1481</v>
      </c>
      <c r="H378" s="2" t="s">
        <v>18</v>
      </c>
      <c r="I378" s="2" t="s">
        <v>89</v>
      </c>
      <c r="J378" s="2" t="s">
        <v>1482</v>
      </c>
      <c r="K378" s="2">
        <v>6</v>
      </c>
      <c r="L378" s="2" t="s">
        <v>37</v>
      </c>
      <c r="M378" s="2" t="s">
        <v>45</v>
      </c>
      <c r="N378" s="2">
        <v>1006.1</v>
      </c>
    </row>
    <row r="379" spans="1:14" ht="15" x14ac:dyDescent="0.25">
      <c r="A379" s="2" t="s">
        <v>1483</v>
      </c>
      <c r="B379" s="3">
        <v>45495</v>
      </c>
      <c r="C379" s="2" t="s">
        <v>1484</v>
      </c>
      <c r="D379" s="2" t="s">
        <v>16</v>
      </c>
      <c r="E379" s="2">
        <v>1</v>
      </c>
      <c r="F379" s="2">
        <v>260.26</v>
      </c>
      <c r="G379" s="2" t="s">
        <v>1229</v>
      </c>
      <c r="H379" s="2" t="s">
        <v>27</v>
      </c>
      <c r="I379" s="2" t="s">
        <v>89</v>
      </c>
      <c r="J379" s="2" t="s">
        <v>1485</v>
      </c>
      <c r="K379" s="2">
        <v>5</v>
      </c>
      <c r="L379" s="2" t="s">
        <v>81</v>
      </c>
      <c r="M379" s="2" t="s">
        <v>22</v>
      </c>
      <c r="N379" s="2">
        <v>260.26</v>
      </c>
    </row>
    <row r="380" spans="1:14" ht="15" x14ac:dyDescent="0.25">
      <c r="A380" s="2" t="s">
        <v>1486</v>
      </c>
      <c r="B380" s="3">
        <v>45323</v>
      </c>
      <c r="C380" s="2" t="s">
        <v>1487</v>
      </c>
      <c r="D380" s="2" t="s">
        <v>41</v>
      </c>
      <c r="E380" s="2">
        <v>5</v>
      </c>
      <c r="F380" s="2">
        <v>64.5</v>
      </c>
      <c r="G380" s="2" t="s">
        <v>1488</v>
      </c>
      <c r="H380" s="2" t="s">
        <v>34</v>
      </c>
      <c r="I380" s="2" t="s">
        <v>89</v>
      </c>
      <c r="J380" s="2" t="s">
        <v>1489</v>
      </c>
      <c r="K380" s="2">
        <v>8</v>
      </c>
      <c r="L380" s="2" t="s">
        <v>81</v>
      </c>
      <c r="M380" s="2" t="s">
        <v>22</v>
      </c>
      <c r="N380" s="2">
        <v>322.5</v>
      </c>
    </row>
    <row r="381" spans="1:14" ht="15" x14ac:dyDescent="0.25">
      <c r="A381" s="2" t="s">
        <v>1490</v>
      </c>
      <c r="B381" s="3">
        <v>45556</v>
      </c>
      <c r="C381" s="2" t="s">
        <v>1491</v>
      </c>
      <c r="D381" s="2" t="s">
        <v>25</v>
      </c>
      <c r="E381" s="2">
        <v>3</v>
      </c>
      <c r="F381" s="2">
        <v>297.67</v>
      </c>
      <c r="G381" s="2" t="s">
        <v>739</v>
      </c>
      <c r="H381" s="2" t="s">
        <v>27</v>
      </c>
      <c r="I381" s="2" t="s">
        <v>19</v>
      </c>
      <c r="J381" s="2" t="s">
        <v>1492</v>
      </c>
      <c r="K381" s="2">
        <v>6</v>
      </c>
      <c r="M381" s="2" t="s">
        <v>76</v>
      </c>
      <c r="N381" s="2">
        <v>893.01</v>
      </c>
    </row>
    <row r="382" spans="1:14" ht="15" x14ac:dyDescent="0.25">
      <c r="A382" s="2" t="s">
        <v>1493</v>
      </c>
      <c r="B382" s="3">
        <v>45402</v>
      </c>
      <c r="C382" s="2" t="s">
        <v>1494</v>
      </c>
      <c r="D382" s="2" t="s">
        <v>48</v>
      </c>
      <c r="E382" s="2">
        <v>4</v>
      </c>
      <c r="F382" s="2">
        <v>331.9</v>
      </c>
      <c r="G382" s="2" t="s">
        <v>1081</v>
      </c>
      <c r="H382" s="2" t="s">
        <v>65</v>
      </c>
      <c r="I382" s="2" t="s">
        <v>89</v>
      </c>
      <c r="J382" s="2" t="s">
        <v>1495</v>
      </c>
      <c r="K382" s="2">
        <v>5</v>
      </c>
      <c r="L382" s="2" t="s">
        <v>21</v>
      </c>
      <c r="M382" s="2" t="s">
        <v>22</v>
      </c>
      <c r="N382" s="2">
        <v>1327.6</v>
      </c>
    </row>
    <row r="383" spans="1:14" ht="15" x14ac:dyDescent="0.25">
      <c r="A383" s="2" t="s">
        <v>1496</v>
      </c>
      <c r="B383" s="3">
        <v>45084</v>
      </c>
      <c r="C383" s="2" t="s">
        <v>1497</v>
      </c>
      <c r="D383" s="2" t="s">
        <v>41</v>
      </c>
      <c r="E383" s="2">
        <v>1</v>
      </c>
      <c r="F383" s="2">
        <v>191.76</v>
      </c>
      <c r="G383" s="2" t="s">
        <v>223</v>
      </c>
      <c r="H383" s="2" t="s">
        <v>34</v>
      </c>
      <c r="I383" s="2" t="s">
        <v>43</v>
      </c>
      <c r="J383" s="2" t="s">
        <v>1498</v>
      </c>
      <c r="K383" s="2">
        <v>1</v>
      </c>
      <c r="L383" s="2" t="s">
        <v>37</v>
      </c>
      <c r="M383" s="2" t="s">
        <v>22</v>
      </c>
      <c r="N383" s="2">
        <v>191.76</v>
      </c>
    </row>
    <row r="384" spans="1:14" ht="15" x14ac:dyDescent="0.25">
      <c r="A384" s="2" t="s">
        <v>1499</v>
      </c>
      <c r="B384" s="3">
        <v>45687</v>
      </c>
      <c r="C384" s="2" t="s">
        <v>1500</v>
      </c>
      <c r="D384" s="2" t="s">
        <v>48</v>
      </c>
      <c r="E384" s="2">
        <v>4</v>
      </c>
      <c r="F384" s="2">
        <v>263.08999999999997</v>
      </c>
      <c r="G384" s="2" t="s">
        <v>1501</v>
      </c>
      <c r="H384" s="2" t="s">
        <v>18</v>
      </c>
      <c r="I384" s="2" t="s">
        <v>19</v>
      </c>
      <c r="J384" s="2" t="s">
        <v>1502</v>
      </c>
      <c r="K384" s="2">
        <v>8</v>
      </c>
      <c r="L384" s="2" t="s">
        <v>21</v>
      </c>
      <c r="M384" s="2" t="s">
        <v>76</v>
      </c>
      <c r="N384" s="2">
        <v>1052.3599999999999</v>
      </c>
    </row>
    <row r="385" spans="1:14" ht="15" x14ac:dyDescent="0.25">
      <c r="A385" s="2" t="s">
        <v>1503</v>
      </c>
      <c r="B385" s="3">
        <v>44946</v>
      </c>
      <c r="C385" s="2" t="s">
        <v>1504</v>
      </c>
      <c r="D385" s="2" t="s">
        <v>41</v>
      </c>
      <c r="E385" s="2">
        <v>4</v>
      </c>
      <c r="F385" s="2">
        <v>393.8</v>
      </c>
      <c r="G385" s="2" t="s">
        <v>407</v>
      </c>
      <c r="H385" s="2" t="s">
        <v>34</v>
      </c>
      <c r="I385" s="2" t="s">
        <v>89</v>
      </c>
      <c r="J385" s="2" t="s">
        <v>1505</v>
      </c>
      <c r="K385" s="2">
        <v>7</v>
      </c>
      <c r="L385" s="2" t="s">
        <v>21</v>
      </c>
      <c r="M385" s="2" t="s">
        <v>38</v>
      </c>
      <c r="N385" s="2">
        <v>1575.2</v>
      </c>
    </row>
    <row r="386" spans="1:14" ht="15" x14ac:dyDescent="0.25">
      <c r="A386" s="2" t="s">
        <v>1506</v>
      </c>
      <c r="B386" s="3">
        <v>45620</v>
      </c>
      <c r="C386" s="2" t="s">
        <v>1507</v>
      </c>
      <c r="D386" s="2" t="s">
        <v>41</v>
      </c>
      <c r="E386" s="2">
        <v>3</v>
      </c>
      <c r="F386" s="2">
        <v>553.57000000000005</v>
      </c>
      <c r="G386" s="2" t="s">
        <v>1508</v>
      </c>
      <c r="H386" s="2" t="s">
        <v>34</v>
      </c>
      <c r="I386" s="2" t="s">
        <v>43</v>
      </c>
      <c r="J386" s="2" t="s">
        <v>1509</v>
      </c>
      <c r="K386" s="2">
        <v>4</v>
      </c>
      <c r="L386" s="2" t="s">
        <v>37</v>
      </c>
      <c r="M386" s="2" t="s">
        <v>45</v>
      </c>
      <c r="N386" s="2">
        <v>1660.71</v>
      </c>
    </row>
    <row r="387" spans="1:14" ht="15" x14ac:dyDescent="0.25">
      <c r="A387" s="2" t="s">
        <v>1510</v>
      </c>
      <c r="B387" s="3">
        <v>45230</v>
      </c>
      <c r="C387" s="2" t="s">
        <v>1511</v>
      </c>
      <c r="D387" s="2" t="s">
        <v>41</v>
      </c>
      <c r="E387" s="2">
        <v>5</v>
      </c>
      <c r="F387" s="2">
        <v>191.63</v>
      </c>
      <c r="G387" s="2" t="s">
        <v>293</v>
      </c>
      <c r="H387" s="2" t="s">
        <v>60</v>
      </c>
      <c r="I387" s="2" t="s">
        <v>50</v>
      </c>
      <c r="J387" s="2" t="s">
        <v>1512</v>
      </c>
      <c r="K387" s="2">
        <v>6</v>
      </c>
      <c r="L387" s="2" t="s">
        <v>37</v>
      </c>
      <c r="M387" s="2" t="s">
        <v>45</v>
      </c>
      <c r="N387" s="2">
        <v>958.15</v>
      </c>
    </row>
    <row r="388" spans="1:14" ht="15" x14ac:dyDescent="0.25">
      <c r="A388" s="2" t="s">
        <v>1513</v>
      </c>
      <c r="B388" s="3">
        <v>45044</v>
      </c>
      <c r="C388" s="2" t="s">
        <v>1514</v>
      </c>
      <c r="D388" s="2" t="s">
        <v>32</v>
      </c>
      <c r="E388" s="2">
        <v>1</v>
      </c>
      <c r="F388" s="2">
        <v>93.02</v>
      </c>
      <c r="G388" s="2" t="s">
        <v>1515</v>
      </c>
      <c r="H388" s="2" t="s">
        <v>27</v>
      </c>
      <c r="I388" s="2" t="s">
        <v>43</v>
      </c>
      <c r="J388" s="2" t="s">
        <v>1516</v>
      </c>
      <c r="K388" s="2">
        <v>4</v>
      </c>
      <c r="M388" s="2" t="s">
        <v>38</v>
      </c>
      <c r="N388" s="2">
        <v>93.02</v>
      </c>
    </row>
    <row r="389" spans="1:14" ht="15" x14ac:dyDescent="0.25">
      <c r="A389" s="2" t="s">
        <v>1517</v>
      </c>
      <c r="B389" s="3">
        <v>45470</v>
      </c>
      <c r="C389" s="2" t="s">
        <v>1518</v>
      </c>
      <c r="D389" s="2" t="s">
        <v>48</v>
      </c>
      <c r="E389" s="2">
        <v>2</v>
      </c>
      <c r="F389" s="2">
        <v>39.53</v>
      </c>
      <c r="G389" s="2" t="s">
        <v>69</v>
      </c>
      <c r="H389" s="2" t="s">
        <v>34</v>
      </c>
      <c r="I389" s="2" t="s">
        <v>19</v>
      </c>
      <c r="J389" s="2" t="s">
        <v>1519</v>
      </c>
      <c r="K389" s="2">
        <v>3</v>
      </c>
      <c r="L389" s="2" t="s">
        <v>81</v>
      </c>
      <c r="M389" s="2" t="s">
        <v>76</v>
      </c>
      <c r="N389" s="2">
        <v>79.06</v>
      </c>
    </row>
    <row r="390" spans="1:14" ht="15" x14ac:dyDescent="0.25">
      <c r="A390" s="2" t="s">
        <v>1520</v>
      </c>
      <c r="B390" s="3">
        <v>45288</v>
      </c>
      <c r="C390" s="2" t="s">
        <v>1521</v>
      </c>
      <c r="D390" s="2" t="s">
        <v>48</v>
      </c>
      <c r="E390" s="2">
        <v>3</v>
      </c>
      <c r="F390" s="2">
        <v>633.97</v>
      </c>
      <c r="G390" s="2" t="s">
        <v>438</v>
      </c>
      <c r="H390" s="2" t="s">
        <v>65</v>
      </c>
      <c r="I390" s="2" t="s">
        <v>89</v>
      </c>
      <c r="J390" s="2" t="s">
        <v>1522</v>
      </c>
      <c r="K390" s="2">
        <v>7</v>
      </c>
      <c r="L390" s="2" t="s">
        <v>81</v>
      </c>
      <c r="M390" s="2" t="s">
        <v>45</v>
      </c>
      <c r="N390" s="2">
        <v>1901.91</v>
      </c>
    </row>
    <row r="391" spans="1:14" ht="15" x14ac:dyDescent="0.25">
      <c r="A391" s="2" t="s">
        <v>1523</v>
      </c>
      <c r="B391" s="3">
        <v>45277</v>
      </c>
      <c r="C391" s="2" t="s">
        <v>1524</v>
      </c>
      <c r="D391" s="2" t="s">
        <v>73</v>
      </c>
      <c r="E391" s="2">
        <v>4</v>
      </c>
      <c r="F391" s="2">
        <v>697.5</v>
      </c>
      <c r="G391" s="2" t="s">
        <v>1525</v>
      </c>
      <c r="H391" s="2" t="s">
        <v>65</v>
      </c>
      <c r="I391" s="2" t="s">
        <v>19</v>
      </c>
      <c r="J391" s="2" t="s">
        <v>1526</v>
      </c>
      <c r="K391" s="2">
        <v>7</v>
      </c>
      <c r="L391" s="2" t="s">
        <v>37</v>
      </c>
      <c r="M391" s="2" t="s">
        <v>29</v>
      </c>
      <c r="N391" s="2">
        <v>2790</v>
      </c>
    </row>
    <row r="392" spans="1:14" ht="15" x14ac:dyDescent="0.25">
      <c r="A392" s="2" t="s">
        <v>1527</v>
      </c>
      <c r="B392" s="3">
        <v>45121</v>
      </c>
      <c r="C392" s="2" t="s">
        <v>1528</v>
      </c>
      <c r="D392" s="2" t="s">
        <v>48</v>
      </c>
      <c r="E392" s="2">
        <v>5</v>
      </c>
      <c r="F392" s="2">
        <v>508.69</v>
      </c>
      <c r="G392" s="2" t="s">
        <v>1376</v>
      </c>
      <c r="H392" s="2" t="s">
        <v>65</v>
      </c>
      <c r="I392" s="2" t="s">
        <v>50</v>
      </c>
      <c r="J392" s="2" t="s">
        <v>1529</v>
      </c>
      <c r="K392" s="2">
        <v>10</v>
      </c>
      <c r="L392" s="2" t="s">
        <v>37</v>
      </c>
      <c r="M392" s="2" t="s">
        <v>76</v>
      </c>
      <c r="N392" s="2">
        <v>2543.4499999999998</v>
      </c>
    </row>
    <row r="393" spans="1:14" ht="15" x14ac:dyDescent="0.25">
      <c r="A393" s="2" t="s">
        <v>1530</v>
      </c>
      <c r="B393" s="3">
        <v>45673</v>
      </c>
      <c r="C393" s="2" t="s">
        <v>1531</v>
      </c>
      <c r="D393" s="2" t="s">
        <v>58</v>
      </c>
      <c r="E393" s="2">
        <v>2</v>
      </c>
      <c r="F393" s="2">
        <v>527.46</v>
      </c>
      <c r="G393" s="2" t="s">
        <v>1137</v>
      </c>
      <c r="H393" s="2" t="s">
        <v>18</v>
      </c>
      <c r="I393" s="2" t="s">
        <v>35</v>
      </c>
      <c r="J393" s="2" t="s">
        <v>1532</v>
      </c>
      <c r="K393" s="2">
        <v>3</v>
      </c>
      <c r="L393" s="2" t="s">
        <v>37</v>
      </c>
      <c r="M393" s="2" t="s">
        <v>29</v>
      </c>
      <c r="N393" s="2">
        <v>1054.92</v>
      </c>
    </row>
    <row r="394" spans="1:14" ht="15" x14ac:dyDescent="0.25">
      <c r="A394" s="2" t="s">
        <v>1533</v>
      </c>
      <c r="B394" s="3">
        <v>45350</v>
      </c>
      <c r="C394" s="2" t="s">
        <v>1534</v>
      </c>
      <c r="D394" s="2" t="s">
        <v>25</v>
      </c>
      <c r="E394" s="2">
        <v>1</v>
      </c>
      <c r="F394" s="2">
        <v>627.20000000000005</v>
      </c>
      <c r="G394" s="2" t="s">
        <v>1427</v>
      </c>
      <c r="H394" s="2" t="s">
        <v>27</v>
      </c>
      <c r="I394" s="2" t="s">
        <v>50</v>
      </c>
      <c r="J394" s="2" t="s">
        <v>1535</v>
      </c>
      <c r="K394" s="2">
        <v>1</v>
      </c>
      <c r="L394" s="2" t="s">
        <v>81</v>
      </c>
      <c r="M394" s="2" t="s">
        <v>38</v>
      </c>
      <c r="N394" s="2">
        <v>627.20000000000005</v>
      </c>
    </row>
    <row r="395" spans="1:14" ht="15" x14ac:dyDescent="0.25">
      <c r="A395" s="2" t="s">
        <v>1536</v>
      </c>
      <c r="B395" s="3">
        <v>45487</v>
      </c>
      <c r="C395" s="2" t="s">
        <v>1537</v>
      </c>
      <c r="D395" s="2" t="s">
        <v>48</v>
      </c>
      <c r="E395" s="2">
        <v>1</v>
      </c>
      <c r="F395" s="2">
        <v>75.010000000000005</v>
      </c>
      <c r="G395" s="2" t="s">
        <v>1538</v>
      </c>
      <c r="H395" s="2" t="s">
        <v>34</v>
      </c>
      <c r="I395" s="2" t="s">
        <v>43</v>
      </c>
      <c r="J395" s="2" t="s">
        <v>1539</v>
      </c>
      <c r="K395" s="2">
        <v>3</v>
      </c>
      <c r="M395" s="2" t="s">
        <v>76</v>
      </c>
      <c r="N395" s="2">
        <v>75.010000000000005</v>
      </c>
    </row>
    <row r="396" spans="1:14" ht="15" x14ac:dyDescent="0.25">
      <c r="A396" s="2" t="s">
        <v>1540</v>
      </c>
      <c r="B396" s="3">
        <v>45112</v>
      </c>
      <c r="C396" s="2" t="s">
        <v>1541</v>
      </c>
      <c r="D396" s="2" t="s">
        <v>73</v>
      </c>
      <c r="E396" s="2">
        <v>5</v>
      </c>
      <c r="F396" s="2">
        <v>529.54999999999995</v>
      </c>
      <c r="G396" s="2" t="s">
        <v>1542</v>
      </c>
      <c r="H396" s="2" t="s">
        <v>60</v>
      </c>
      <c r="I396" s="2" t="s">
        <v>19</v>
      </c>
      <c r="J396" s="2" t="s">
        <v>1543</v>
      </c>
      <c r="K396" s="2">
        <v>10</v>
      </c>
      <c r="M396" s="2" t="s">
        <v>45</v>
      </c>
      <c r="N396" s="2">
        <v>2647.75</v>
      </c>
    </row>
    <row r="397" spans="1:14" ht="15" x14ac:dyDescent="0.25">
      <c r="A397" s="2" t="s">
        <v>1544</v>
      </c>
      <c r="B397" s="3">
        <v>45772</v>
      </c>
      <c r="C397" s="2" t="s">
        <v>1545</v>
      </c>
      <c r="D397" s="2" t="s">
        <v>25</v>
      </c>
      <c r="E397" s="2">
        <v>3</v>
      </c>
      <c r="F397" s="2">
        <v>127.41</v>
      </c>
      <c r="G397" s="2" t="s">
        <v>169</v>
      </c>
      <c r="H397" s="2" t="s">
        <v>60</v>
      </c>
      <c r="I397" s="2" t="s">
        <v>50</v>
      </c>
      <c r="J397" s="2" t="s">
        <v>1546</v>
      </c>
      <c r="K397" s="2">
        <v>7</v>
      </c>
      <c r="L397" s="2" t="s">
        <v>21</v>
      </c>
      <c r="M397" s="2" t="s">
        <v>29</v>
      </c>
      <c r="N397" s="2">
        <v>382.23</v>
      </c>
    </row>
    <row r="398" spans="1:14" ht="15" x14ac:dyDescent="0.25">
      <c r="A398" s="2" t="s">
        <v>1547</v>
      </c>
      <c r="B398" s="3">
        <v>45261</v>
      </c>
      <c r="C398" s="2" t="s">
        <v>1548</v>
      </c>
      <c r="D398" s="2" t="s">
        <v>32</v>
      </c>
      <c r="E398" s="2">
        <v>5</v>
      </c>
      <c r="F398" s="2">
        <v>287.13</v>
      </c>
      <c r="G398" s="2" t="s">
        <v>1549</v>
      </c>
      <c r="H398" s="2" t="s">
        <v>27</v>
      </c>
      <c r="I398" s="2" t="s">
        <v>19</v>
      </c>
      <c r="J398" s="2" t="s">
        <v>1550</v>
      </c>
      <c r="K398" s="2">
        <v>10</v>
      </c>
      <c r="L398" s="2" t="s">
        <v>21</v>
      </c>
      <c r="M398" s="2" t="s">
        <v>38</v>
      </c>
      <c r="N398" s="2">
        <v>1435.65</v>
      </c>
    </row>
    <row r="399" spans="1:14" ht="15" x14ac:dyDescent="0.25">
      <c r="A399" s="2" t="s">
        <v>1551</v>
      </c>
      <c r="B399" s="3">
        <v>45197</v>
      </c>
      <c r="C399" s="2" t="s">
        <v>1552</v>
      </c>
      <c r="D399" s="2" t="s">
        <v>16</v>
      </c>
      <c r="E399" s="2">
        <v>1</v>
      </c>
      <c r="F399" s="2">
        <v>427.06</v>
      </c>
      <c r="G399" s="2" t="s">
        <v>1553</v>
      </c>
      <c r="H399" s="2" t="s">
        <v>27</v>
      </c>
      <c r="I399" s="2" t="s">
        <v>35</v>
      </c>
      <c r="J399" s="2" t="s">
        <v>1554</v>
      </c>
      <c r="K399" s="2">
        <v>1</v>
      </c>
      <c r="L399" s="2" t="s">
        <v>81</v>
      </c>
      <c r="M399" s="2" t="s">
        <v>29</v>
      </c>
      <c r="N399" s="2">
        <v>427.06</v>
      </c>
    </row>
    <row r="400" spans="1:14" ht="15" x14ac:dyDescent="0.25">
      <c r="A400" s="2" t="s">
        <v>1555</v>
      </c>
      <c r="B400" s="3">
        <v>45539</v>
      </c>
      <c r="C400" s="2" t="s">
        <v>1556</v>
      </c>
      <c r="D400" s="2" t="s">
        <v>25</v>
      </c>
      <c r="E400" s="2">
        <v>5</v>
      </c>
      <c r="F400" s="2">
        <v>53.93</v>
      </c>
      <c r="G400" s="2" t="s">
        <v>841</v>
      </c>
      <c r="H400" s="2" t="s">
        <v>60</v>
      </c>
      <c r="I400" s="2" t="s">
        <v>19</v>
      </c>
      <c r="J400" s="2" t="s">
        <v>1557</v>
      </c>
      <c r="K400" s="2">
        <v>7</v>
      </c>
      <c r="L400" s="2" t="s">
        <v>21</v>
      </c>
      <c r="M400" s="2" t="s">
        <v>22</v>
      </c>
      <c r="N400" s="2">
        <v>269.64999999999998</v>
      </c>
    </row>
    <row r="401" spans="1:14" ht="15" x14ac:dyDescent="0.25">
      <c r="A401" s="2" t="s">
        <v>1558</v>
      </c>
      <c r="B401" s="3">
        <v>45298</v>
      </c>
      <c r="C401" s="2" t="s">
        <v>1559</v>
      </c>
      <c r="D401" s="2" t="s">
        <v>32</v>
      </c>
      <c r="E401" s="2">
        <v>5</v>
      </c>
      <c r="F401" s="2">
        <v>423.93</v>
      </c>
      <c r="G401" s="2" t="s">
        <v>1560</v>
      </c>
      <c r="H401" s="2" t="s">
        <v>18</v>
      </c>
      <c r="I401" s="2" t="s">
        <v>43</v>
      </c>
      <c r="J401" s="2" t="s">
        <v>1561</v>
      </c>
      <c r="K401" s="2">
        <v>5</v>
      </c>
      <c r="L401" s="2" t="s">
        <v>37</v>
      </c>
      <c r="M401" s="2" t="s">
        <v>45</v>
      </c>
      <c r="N401" s="2">
        <v>2119.65</v>
      </c>
    </row>
    <row r="402" spans="1:14" ht="15" x14ac:dyDescent="0.25">
      <c r="A402" s="2" t="s">
        <v>1562</v>
      </c>
      <c r="B402" s="3">
        <v>45563</v>
      </c>
      <c r="C402" s="2" t="s">
        <v>1563</v>
      </c>
      <c r="D402" s="2" t="s">
        <v>73</v>
      </c>
      <c r="E402" s="2">
        <v>4</v>
      </c>
      <c r="F402" s="2">
        <v>160.22</v>
      </c>
      <c r="G402" s="2" t="s">
        <v>1564</v>
      </c>
      <c r="H402" s="2" t="s">
        <v>18</v>
      </c>
      <c r="I402" s="2" t="s">
        <v>43</v>
      </c>
      <c r="J402" s="2" t="s">
        <v>1565</v>
      </c>
      <c r="K402" s="2">
        <v>9</v>
      </c>
      <c r="L402" s="2" t="s">
        <v>81</v>
      </c>
      <c r="M402" s="2" t="s">
        <v>22</v>
      </c>
      <c r="N402" s="2">
        <v>640.88</v>
      </c>
    </row>
    <row r="403" spans="1:14" ht="15" x14ac:dyDescent="0.25">
      <c r="A403" s="2" t="s">
        <v>1566</v>
      </c>
      <c r="B403" s="3">
        <v>45756</v>
      </c>
      <c r="C403" s="2" t="s">
        <v>1567</v>
      </c>
      <c r="D403" s="2" t="s">
        <v>48</v>
      </c>
      <c r="E403" s="2">
        <v>1</v>
      </c>
      <c r="F403" s="2">
        <v>538.67999999999995</v>
      </c>
      <c r="G403" s="2" t="s">
        <v>1427</v>
      </c>
      <c r="H403" s="2" t="s">
        <v>18</v>
      </c>
      <c r="I403" s="2" t="s">
        <v>43</v>
      </c>
      <c r="J403" s="2" t="s">
        <v>1568</v>
      </c>
      <c r="K403" s="2">
        <v>6</v>
      </c>
      <c r="M403" s="2" t="s">
        <v>29</v>
      </c>
      <c r="N403" s="2">
        <v>538.67999999999995</v>
      </c>
    </row>
    <row r="404" spans="1:14" ht="15" x14ac:dyDescent="0.25">
      <c r="A404" s="2" t="s">
        <v>1569</v>
      </c>
      <c r="B404" s="3">
        <v>45025</v>
      </c>
      <c r="C404" s="2" t="s">
        <v>1570</v>
      </c>
      <c r="D404" s="2" t="s">
        <v>48</v>
      </c>
      <c r="E404" s="2">
        <v>5</v>
      </c>
      <c r="F404" s="2">
        <v>337.38</v>
      </c>
      <c r="G404" s="2" t="s">
        <v>1571</v>
      </c>
      <c r="H404" s="2" t="s">
        <v>60</v>
      </c>
      <c r="I404" s="2" t="s">
        <v>19</v>
      </c>
      <c r="J404" s="2" t="s">
        <v>1572</v>
      </c>
      <c r="K404" s="2">
        <v>5</v>
      </c>
      <c r="M404" s="2" t="s">
        <v>29</v>
      </c>
      <c r="N404" s="2">
        <v>1686.9</v>
      </c>
    </row>
    <row r="405" spans="1:14" ht="15" x14ac:dyDescent="0.25">
      <c r="A405" s="2" t="s">
        <v>1573</v>
      </c>
      <c r="B405" s="3">
        <v>45606</v>
      </c>
      <c r="C405" s="2" t="s">
        <v>1574</v>
      </c>
      <c r="D405" s="2" t="s">
        <v>32</v>
      </c>
      <c r="E405" s="2">
        <v>1</v>
      </c>
      <c r="F405" s="2">
        <v>620.21</v>
      </c>
      <c r="G405" s="2" t="s">
        <v>1121</v>
      </c>
      <c r="H405" s="2" t="s">
        <v>27</v>
      </c>
      <c r="I405" s="2" t="s">
        <v>43</v>
      </c>
      <c r="J405" s="2" t="s">
        <v>1575</v>
      </c>
      <c r="K405" s="2">
        <v>1</v>
      </c>
      <c r="L405" s="2" t="s">
        <v>37</v>
      </c>
      <c r="M405" s="2" t="s">
        <v>29</v>
      </c>
      <c r="N405" s="2">
        <v>620.21</v>
      </c>
    </row>
    <row r="406" spans="1:14" ht="15" x14ac:dyDescent="0.25">
      <c r="A406" s="2" t="s">
        <v>1576</v>
      </c>
      <c r="B406" s="3">
        <v>44994</v>
      </c>
      <c r="C406" s="2" t="s">
        <v>1577</v>
      </c>
      <c r="D406" s="2" t="s">
        <v>16</v>
      </c>
      <c r="E406" s="2">
        <v>2</v>
      </c>
      <c r="F406" s="2">
        <v>99.1</v>
      </c>
      <c r="G406" s="2" t="s">
        <v>305</v>
      </c>
      <c r="H406" s="2" t="s">
        <v>65</v>
      </c>
      <c r="I406" s="2" t="s">
        <v>50</v>
      </c>
      <c r="J406" s="2" t="s">
        <v>1578</v>
      </c>
      <c r="K406" s="2">
        <v>6</v>
      </c>
      <c r="M406" s="2" t="s">
        <v>22</v>
      </c>
      <c r="N406" s="2">
        <v>198.2</v>
      </c>
    </row>
    <row r="407" spans="1:14" ht="15" x14ac:dyDescent="0.25">
      <c r="A407" s="2" t="s">
        <v>1579</v>
      </c>
      <c r="B407" s="3">
        <v>45683</v>
      </c>
      <c r="C407" s="2" t="s">
        <v>1580</v>
      </c>
      <c r="D407" s="2" t="s">
        <v>16</v>
      </c>
      <c r="E407" s="2">
        <v>4</v>
      </c>
      <c r="F407" s="2">
        <v>451.97</v>
      </c>
      <c r="G407" s="2" t="s">
        <v>1444</v>
      </c>
      <c r="H407" s="2" t="s">
        <v>27</v>
      </c>
      <c r="I407" s="2" t="s">
        <v>35</v>
      </c>
      <c r="J407" s="2" t="s">
        <v>1581</v>
      </c>
      <c r="K407" s="2">
        <v>7</v>
      </c>
      <c r="L407" s="2" t="s">
        <v>81</v>
      </c>
      <c r="M407" s="2" t="s">
        <v>38</v>
      </c>
      <c r="N407" s="2">
        <v>1807.88</v>
      </c>
    </row>
    <row r="408" spans="1:14" ht="15" x14ac:dyDescent="0.25">
      <c r="A408" s="2" t="s">
        <v>1582</v>
      </c>
      <c r="B408" s="3">
        <v>45270</v>
      </c>
      <c r="C408" s="2" t="s">
        <v>1583</v>
      </c>
      <c r="D408" s="2" t="s">
        <v>32</v>
      </c>
      <c r="E408" s="2">
        <v>4</v>
      </c>
      <c r="F408" s="2">
        <v>66.099999999999994</v>
      </c>
      <c r="G408" s="2" t="s">
        <v>763</v>
      </c>
      <c r="H408" s="2" t="s">
        <v>65</v>
      </c>
      <c r="I408" s="2" t="s">
        <v>43</v>
      </c>
      <c r="J408" s="2" t="s">
        <v>1584</v>
      </c>
      <c r="K408" s="2">
        <v>9</v>
      </c>
      <c r="L408" s="2" t="s">
        <v>81</v>
      </c>
      <c r="M408" s="2" t="s">
        <v>76</v>
      </c>
      <c r="N408" s="2">
        <v>264.39999999999998</v>
      </c>
    </row>
    <row r="409" spans="1:14" ht="15" x14ac:dyDescent="0.25">
      <c r="A409" s="2" t="s">
        <v>1585</v>
      </c>
      <c r="B409" s="3">
        <v>45151</v>
      </c>
      <c r="C409" s="2" t="s">
        <v>1586</v>
      </c>
      <c r="D409" s="2" t="s">
        <v>32</v>
      </c>
      <c r="E409" s="2">
        <v>4</v>
      </c>
      <c r="F409" s="2">
        <v>547.32000000000005</v>
      </c>
      <c r="G409" s="2" t="s">
        <v>1054</v>
      </c>
      <c r="H409" s="2" t="s">
        <v>65</v>
      </c>
      <c r="I409" s="2" t="s">
        <v>43</v>
      </c>
      <c r="J409" s="2" t="s">
        <v>1587</v>
      </c>
      <c r="K409" s="2">
        <v>8</v>
      </c>
      <c r="L409" s="2" t="s">
        <v>37</v>
      </c>
      <c r="M409" s="2" t="s">
        <v>22</v>
      </c>
      <c r="N409" s="2">
        <v>2189.2800000000002</v>
      </c>
    </row>
    <row r="410" spans="1:14" ht="15" x14ac:dyDescent="0.25">
      <c r="A410" s="2" t="s">
        <v>1588</v>
      </c>
      <c r="B410" s="3">
        <v>45658</v>
      </c>
      <c r="C410" s="2" t="s">
        <v>1589</v>
      </c>
      <c r="D410" s="2" t="s">
        <v>48</v>
      </c>
      <c r="E410" s="2">
        <v>3</v>
      </c>
      <c r="F410" s="2">
        <v>412.53</v>
      </c>
      <c r="G410" s="2" t="s">
        <v>1590</v>
      </c>
      <c r="H410" s="2" t="s">
        <v>27</v>
      </c>
      <c r="I410" s="2" t="s">
        <v>89</v>
      </c>
      <c r="J410" s="2" t="s">
        <v>1591</v>
      </c>
      <c r="K410" s="2">
        <v>6</v>
      </c>
      <c r="L410" s="2" t="s">
        <v>81</v>
      </c>
      <c r="M410" s="2" t="s">
        <v>76</v>
      </c>
      <c r="N410" s="2">
        <v>1237.5899999999999</v>
      </c>
    </row>
    <row r="411" spans="1:14" ht="15" x14ac:dyDescent="0.25">
      <c r="A411" s="2" t="s">
        <v>1592</v>
      </c>
      <c r="B411" s="3">
        <v>45105</v>
      </c>
      <c r="C411" s="2" t="s">
        <v>1593</v>
      </c>
      <c r="D411" s="2" t="s">
        <v>73</v>
      </c>
      <c r="E411" s="2">
        <v>5</v>
      </c>
      <c r="F411" s="2">
        <v>84.13</v>
      </c>
      <c r="G411" s="2" t="s">
        <v>1594</v>
      </c>
      <c r="H411" s="2" t="s">
        <v>27</v>
      </c>
      <c r="I411" s="2" t="s">
        <v>50</v>
      </c>
      <c r="J411" s="2" t="s">
        <v>1595</v>
      </c>
      <c r="K411" s="2">
        <v>9</v>
      </c>
      <c r="L411" s="2" t="s">
        <v>21</v>
      </c>
      <c r="M411" s="2" t="s">
        <v>76</v>
      </c>
      <c r="N411" s="2">
        <v>420.65</v>
      </c>
    </row>
    <row r="412" spans="1:14" ht="15" x14ac:dyDescent="0.25">
      <c r="A412" s="2" t="s">
        <v>1596</v>
      </c>
      <c r="B412" s="3">
        <v>45309</v>
      </c>
      <c r="C412" s="2" t="s">
        <v>1597</v>
      </c>
      <c r="D412" s="2" t="s">
        <v>32</v>
      </c>
      <c r="E412" s="2">
        <v>2</v>
      </c>
      <c r="F412" s="2">
        <v>518.23</v>
      </c>
      <c r="G412" s="2" t="s">
        <v>1598</v>
      </c>
      <c r="H412" s="2" t="s">
        <v>18</v>
      </c>
      <c r="I412" s="2" t="s">
        <v>19</v>
      </c>
      <c r="J412" s="2" t="s">
        <v>1599</v>
      </c>
      <c r="K412" s="2">
        <v>5</v>
      </c>
      <c r="M412" s="2" t="s">
        <v>38</v>
      </c>
      <c r="N412" s="2">
        <v>1036.46</v>
      </c>
    </row>
    <row r="413" spans="1:14" ht="15" x14ac:dyDescent="0.25">
      <c r="A413" s="2" t="s">
        <v>1600</v>
      </c>
      <c r="B413" s="3">
        <v>45462</v>
      </c>
      <c r="C413" s="2" t="s">
        <v>1601</v>
      </c>
      <c r="D413" s="2" t="s">
        <v>73</v>
      </c>
      <c r="E413" s="2">
        <v>2</v>
      </c>
      <c r="F413" s="2">
        <v>39.51</v>
      </c>
      <c r="G413" s="2" t="s">
        <v>630</v>
      </c>
      <c r="H413" s="2" t="s">
        <v>27</v>
      </c>
      <c r="I413" s="2" t="s">
        <v>19</v>
      </c>
      <c r="J413" s="2" t="s">
        <v>1602</v>
      </c>
      <c r="K413" s="2">
        <v>5</v>
      </c>
      <c r="M413" s="2" t="s">
        <v>45</v>
      </c>
      <c r="N413" s="2">
        <v>79.02</v>
      </c>
    </row>
    <row r="414" spans="1:14" ht="15" x14ac:dyDescent="0.25">
      <c r="A414" s="2" t="s">
        <v>1603</v>
      </c>
      <c r="B414" s="3">
        <v>45758</v>
      </c>
      <c r="C414" s="2" t="s">
        <v>1604</v>
      </c>
      <c r="D414" s="2" t="s">
        <v>32</v>
      </c>
      <c r="E414" s="2">
        <v>5</v>
      </c>
      <c r="F414" s="2">
        <v>133.01</v>
      </c>
      <c r="G414" s="2" t="s">
        <v>1605</v>
      </c>
      <c r="H414" s="2" t="s">
        <v>34</v>
      </c>
      <c r="I414" s="2" t="s">
        <v>43</v>
      </c>
      <c r="J414" s="2" t="s">
        <v>1606</v>
      </c>
      <c r="K414" s="2">
        <v>10</v>
      </c>
      <c r="M414" s="2" t="s">
        <v>45</v>
      </c>
      <c r="N414" s="2">
        <v>665.05</v>
      </c>
    </row>
    <row r="415" spans="1:14" ht="15" x14ac:dyDescent="0.25">
      <c r="A415" s="2" t="s">
        <v>1607</v>
      </c>
      <c r="B415" s="3">
        <v>45207</v>
      </c>
      <c r="C415" s="2" t="s">
        <v>1608</v>
      </c>
      <c r="D415" s="2" t="s">
        <v>32</v>
      </c>
      <c r="E415" s="2">
        <v>1</v>
      </c>
      <c r="F415" s="2">
        <v>118.8</v>
      </c>
      <c r="G415" s="2" t="s">
        <v>1609</v>
      </c>
      <c r="H415" s="2" t="s">
        <v>27</v>
      </c>
      <c r="I415" s="2" t="s">
        <v>50</v>
      </c>
      <c r="J415" s="2" t="s">
        <v>1610</v>
      </c>
      <c r="K415" s="2">
        <v>6</v>
      </c>
      <c r="L415" s="2" t="s">
        <v>21</v>
      </c>
      <c r="M415" s="2" t="s">
        <v>38</v>
      </c>
      <c r="N415" s="2">
        <v>118.8</v>
      </c>
    </row>
    <row r="416" spans="1:14" ht="15" x14ac:dyDescent="0.25">
      <c r="A416" s="2" t="s">
        <v>1611</v>
      </c>
      <c r="B416" s="3">
        <v>45781</v>
      </c>
      <c r="C416" s="2" t="s">
        <v>1612</v>
      </c>
      <c r="D416" s="2" t="s">
        <v>73</v>
      </c>
      <c r="E416" s="2">
        <v>2</v>
      </c>
      <c r="F416" s="2">
        <v>139.57</v>
      </c>
      <c r="G416" s="2" t="s">
        <v>1613</v>
      </c>
      <c r="H416" s="2" t="s">
        <v>65</v>
      </c>
      <c r="I416" s="2" t="s">
        <v>50</v>
      </c>
      <c r="J416" s="2" t="s">
        <v>1614</v>
      </c>
      <c r="K416" s="2">
        <v>4</v>
      </c>
      <c r="L416" s="2" t="s">
        <v>81</v>
      </c>
      <c r="M416" s="2" t="s">
        <v>45</v>
      </c>
      <c r="N416" s="2">
        <v>279.14</v>
      </c>
    </row>
    <row r="417" spans="1:14" ht="15" x14ac:dyDescent="0.25">
      <c r="A417" s="2" t="s">
        <v>1615</v>
      </c>
      <c r="B417" s="3">
        <v>45753</v>
      </c>
      <c r="C417" s="2" t="s">
        <v>1616</v>
      </c>
      <c r="D417" s="2" t="s">
        <v>41</v>
      </c>
      <c r="E417" s="2">
        <v>1</v>
      </c>
      <c r="F417" s="2">
        <v>184.15</v>
      </c>
      <c r="G417" s="2" t="s">
        <v>1074</v>
      </c>
      <c r="H417" s="2" t="s">
        <v>60</v>
      </c>
      <c r="I417" s="2" t="s">
        <v>19</v>
      </c>
      <c r="J417" s="2" t="s">
        <v>1617</v>
      </c>
      <c r="K417" s="2">
        <v>5</v>
      </c>
      <c r="L417" s="2" t="s">
        <v>37</v>
      </c>
      <c r="M417" s="2" t="s">
        <v>45</v>
      </c>
      <c r="N417" s="2">
        <v>184.15</v>
      </c>
    </row>
    <row r="418" spans="1:14" ht="15" x14ac:dyDescent="0.25">
      <c r="A418" s="2" t="s">
        <v>1618</v>
      </c>
      <c r="B418" s="3">
        <v>45125</v>
      </c>
      <c r="C418" s="2" t="s">
        <v>1619</v>
      </c>
      <c r="D418" s="2" t="s">
        <v>58</v>
      </c>
      <c r="E418" s="2">
        <v>2</v>
      </c>
      <c r="F418" s="2">
        <v>644.04999999999995</v>
      </c>
      <c r="G418" s="2" t="s">
        <v>1620</v>
      </c>
      <c r="H418" s="2" t="s">
        <v>60</v>
      </c>
      <c r="I418" s="2" t="s">
        <v>35</v>
      </c>
      <c r="J418" s="2" t="s">
        <v>1621</v>
      </c>
      <c r="K418" s="2">
        <v>5</v>
      </c>
      <c r="L418" s="2" t="s">
        <v>81</v>
      </c>
      <c r="M418" s="2" t="s">
        <v>29</v>
      </c>
      <c r="N418" s="2">
        <v>1288.0999999999999</v>
      </c>
    </row>
    <row r="419" spans="1:14" ht="15" x14ac:dyDescent="0.25">
      <c r="A419" s="2" t="s">
        <v>1622</v>
      </c>
      <c r="B419" s="3">
        <v>45223</v>
      </c>
      <c r="C419" s="2" t="s">
        <v>1623</v>
      </c>
      <c r="D419" s="2" t="s">
        <v>58</v>
      </c>
      <c r="E419" s="2">
        <v>5</v>
      </c>
      <c r="F419" s="2">
        <v>55.41</v>
      </c>
      <c r="G419" s="2" t="s">
        <v>1624</v>
      </c>
      <c r="H419" s="2" t="s">
        <v>27</v>
      </c>
      <c r="I419" s="2" t="s">
        <v>35</v>
      </c>
      <c r="J419" s="2" t="s">
        <v>1625</v>
      </c>
      <c r="K419" s="2">
        <v>5</v>
      </c>
      <c r="M419" s="2" t="s">
        <v>76</v>
      </c>
      <c r="N419" s="2">
        <v>277.05</v>
      </c>
    </row>
    <row r="420" spans="1:14" ht="15" x14ac:dyDescent="0.25">
      <c r="A420" s="2" t="s">
        <v>1626</v>
      </c>
      <c r="B420" s="3">
        <v>44937</v>
      </c>
      <c r="C420" s="2" t="s">
        <v>1627</v>
      </c>
      <c r="D420" s="2" t="s">
        <v>48</v>
      </c>
      <c r="E420" s="2">
        <v>1</v>
      </c>
      <c r="F420" s="2">
        <v>310.93</v>
      </c>
      <c r="G420" s="2" t="s">
        <v>1628</v>
      </c>
      <c r="H420" s="2" t="s">
        <v>27</v>
      </c>
      <c r="I420" s="2" t="s">
        <v>35</v>
      </c>
      <c r="J420" s="2" t="s">
        <v>1629</v>
      </c>
      <c r="K420" s="2">
        <v>3</v>
      </c>
      <c r="M420" s="2" t="s">
        <v>45</v>
      </c>
      <c r="N420" s="2">
        <v>310.93</v>
      </c>
    </row>
    <row r="421" spans="1:14" ht="15" x14ac:dyDescent="0.25">
      <c r="A421" s="2" t="s">
        <v>1630</v>
      </c>
      <c r="B421" s="3">
        <v>45399</v>
      </c>
      <c r="C421" s="2" t="s">
        <v>1631</v>
      </c>
      <c r="D421" s="2" t="s">
        <v>32</v>
      </c>
      <c r="E421" s="2">
        <v>2</v>
      </c>
      <c r="F421" s="2">
        <v>216.66</v>
      </c>
      <c r="G421" s="2" t="s">
        <v>1376</v>
      </c>
      <c r="H421" s="2" t="s">
        <v>18</v>
      </c>
      <c r="I421" s="2" t="s">
        <v>89</v>
      </c>
      <c r="J421" s="2" t="s">
        <v>1632</v>
      </c>
      <c r="K421" s="2">
        <v>6</v>
      </c>
      <c r="L421" s="2" t="s">
        <v>37</v>
      </c>
      <c r="M421" s="2" t="s">
        <v>22</v>
      </c>
      <c r="N421" s="2">
        <v>433.32</v>
      </c>
    </row>
    <row r="422" spans="1:14" ht="15" x14ac:dyDescent="0.25">
      <c r="A422" s="2" t="s">
        <v>1633</v>
      </c>
      <c r="B422" s="3">
        <v>45625</v>
      </c>
      <c r="C422" s="2" t="s">
        <v>1634</v>
      </c>
      <c r="D422" s="2" t="s">
        <v>25</v>
      </c>
      <c r="E422" s="2">
        <v>1</v>
      </c>
      <c r="F422" s="2">
        <v>452.7</v>
      </c>
      <c r="G422" s="2" t="s">
        <v>1635</v>
      </c>
      <c r="H422" s="2" t="s">
        <v>18</v>
      </c>
      <c r="I422" s="2" t="s">
        <v>19</v>
      </c>
      <c r="J422" s="2" t="s">
        <v>1636</v>
      </c>
      <c r="K422" s="2">
        <v>5</v>
      </c>
      <c r="L422" s="2" t="s">
        <v>37</v>
      </c>
      <c r="M422" s="2" t="s">
        <v>22</v>
      </c>
      <c r="N422" s="2">
        <v>452.7</v>
      </c>
    </row>
    <row r="423" spans="1:14" ht="15" x14ac:dyDescent="0.25">
      <c r="A423" s="2" t="s">
        <v>1637</v>
      </c>
      <c r="B423" s="3">
        <v>45214</v>
      </c>
      <c r="C423" s="2" t="s">
        <v>1638</v>
      </c>
      <c r="D423" s="2" t="s">
        <v>41</v>
      </c>
      <c r="E423" s="2">
        <v>2</v>
      </c>
      <c r="F423" s="2">
        <v>288.20999999999998</v>
      </c>
      <c r="G423" s="2" t="s">
        <v>1639</v>
      </c>
      <c r="H423" s="2" t="s">
        <v>18</v>
      </c>
      <c r="I423" s="2" t="s">
        <v>35</v>
      </c>
      <c r="J423" s="2" t="s">
        <v>1640</v>
      </c>
      <c r="K423" s="2">
        <v>5</v>
      </c>
      <c r="M423" s="2" t="s">
        <v>38</v>
      </c>
      <c r="N423" s="2">
        <v>576.41999999999996</v>
      </c>
    </row>
    <row r="424" spans="1:14" ht="15" x14ac:dyDescent="0.25">
      <c r="A424" s="2" t="s">
        <v>1641</v>
      </c>
      <c r="B424" s="3">
        <v>45082</v>
      </c>
      <c r="C424" s="2" t="s">
        <v>1642</v>
      </c>
      <c r="D424" s="2" t="s">
        <v>25</v>
      </c>
      <c r="E424" s="2">
        <v>4</v>
      </c>
      <c r="F424" s="2">
        <v>206.6</v>
      </c>
      <c r="G424" s="2" t="s">
        <v>105</v>
      </c>
      <c r="H424" s="2" t="s">
        <v>60</v>
      </c>
      <c r="I424" s="2" t="s">
        <v>43</v>
      </c>
      <c r="J424" s="2" t="s">
        <v>1643</v>
      </c>
      <c r="K424" s="2">
        <v>6</v>
      </c>
      <c r="L424" s="2" t="s">
        <v>81</v>
      </c>
      <c r="M424" s="2" t="s">
        <v>29</v>
      </c>
      <c r="N424" s="2">
        <v>826.4</v>
      </c>
    </row>
    <row r="425" spans="1:14" ht="15" x14ac:dyDescent="0.25">
      <c r="A425" s="2" t="s">
        <v>1644</v>
      </c>
      <c r="B425" s="3">
        <v>45493</v>
      </c>
      <c r="C425" s="2" t="s">
        <v>1645</v>
      </c>
      <c r="D425" s="2" t="s">
        <v>48</v>
      </c>
      <c r="E425" s="2">
        <v>4</v>
      </c>
      <c r="F425" s="2">
        <v>685.2</v>
      </c>
      <c r="G425" s="2" t="s">
        <v>1125</v>
      </c>
      <c r="H425" s="2" t="s">
        <v>60</v>
      </c>
      <c r="I425" s="2" t="s">
        <v>35</v>
      </c>
      <c r="J425" s="2" t="s">
        <v>1646</v>
      </c>
      <c r="K425" s="2">
        <v>6</v>
      </c>
      <c r="L425" s="2" t="s">
        <v>81</v>
      </c>
      <c r="M425" s="2" t="s">
        <v>76</v>
      </c>
      <c r="N425" s="2">
        <v>2740.8</v>
      </c>
    </row>
    <row r="426" spans="1:14" ht="15" x14ac:dyDescent="0.25">
      <c r="A426" s="2" t="s">
        <v>1647</v>
      </c>
      <c r="B426" s="3">
        <v>45028</v>
      </c>
      <c r="C426" s="2" t="s">
        <v>1648</v>
      </c>
      <c r="D426" s="2" t="s">
        <v>41</v>
      </c>
      <c r="E426" s="2">
        <v>5</v>
      </c>
      <c r="F426" s="2">
        <v>22.94</v>
      </c>
      <c r="G426" s="2" t="s">
        <v>1260</v>
      </c>
      <c r="H426" s="2" t="s">
        <v>65</v>
      </c>
      <c r="I426" s="2" t="s">
        <v>89</v>
      </c>
      <c r="J426" s="2" t="s">
        <v>1649</v>
      </c>
      <c r="K426" s="2">
        <v>10</v>
      </c>
      <c r="M426" s="2" t="s">
        <v>38</v>
      </c>
      <c r="N426" s="2">
        <v>114.7</v>
      </c>
    </row>
    <row r="427" spans="1:14" ht="15" x14ac:dyDescent="0.25">
      <c r="A427" s="2" t="s">
        <v>1650</v>
      </c>
      <c r="B427" s="3">
        <v>44994</v>
      </c>
      <c r="C427" s="2" t="s">
        <v>1651</v>
      </c>
      <c r="D427" s="2" t="s">
        <v>58</v>
      </c>
      <c r="E427" s="2">
        <v>2</v>
      </c>
      <c r="F427" s="2">
        <v>301.88</v>
      </c>
      <c r="G427" s="2" t="s">
        <v>1652</v>
      </c>
      <c r="H427" s="2" t="s">
        <v>60</v>
      </c>
      <c r="I427" s="2" t="s">
        <v>43</v>
      </c>
      <c r="J427" s="2" t="s">
        <v>1653</v>
      </c>
      <c r="K427" s="2">
        <v>5</v>
      </c>
      <c r="L427" s="2" t="s">
        <v>81</v>
      </c>
      <c r="M427" s="2" t="s">
        <v>38</v>
      </c>
      <c r="N427" s="2">
        <v>603.76</v>
      </c>
    </row>
    <row r="428" spans="1:14" ht="15" x14ac:dyDescent="0.25">
      <c r="A428" s="2" t="s">
        <v>1654</v>
      </c>
      <c r="B428" s="3">
        <v>45732</v>
      </c>
      <c r="C428" s="2" t="s">
        <v>1655</v>
      </c>
      <c r="D428" s="2" t="s">
        <v>16</v>
      </c>
      <c r="E428" s="2">
        <v>5</v>
      </c>
      <c r="F428" s="2">
        <v>57.45</v>
      </c>
      <c r="G428" s="2" t="s">
        <v>1656</v>
      </c>
      <c r="H428" s="2" t="s">
        <v>65</v>
      </c>
      <c r="I428" s="2" t="s">
        <v>35</v>
      </c>
      <c r="J428" s="2" t="s">
        <v>1657</v>
      </c>
      <c r="K428" s="2">
        <v>10</v>
      </c>
      <c r="M428" s="2" t="s">
        <v>45</v>
      </c>
      <c r="N428" s="2">
        <v>287.25</v>
      </c>
    </row>
    <row r="429" spans="1:14" ht="15" x14ac:dyDescent="0.25">
      <c r="A429" s="2" t="s">
        <v>1658</v>
      </c>
      <c r="B429" s="3">
        <v>45644</v>
      </c>
      <c r="C429" s="2" t="s">
        <v>1659</v>
      </c>
      <c r="D429" s="2" t="s">
        <v>73</v>
      </c>
      <c r="E429" s="2">
        <v>1</v>
      </c>
      <c r="F429" s="2">
        <v>161.24</v>
      </c>
      <c r="G429" s="2" t="s">
        <v>1660</v>
      </c>
      <c r="H429" s="2" t="s">
        <v>34</v>
      </c>
      <c r="I429" s="2" t="s">
        <v>89</v>
      </c>
      <c r="J429" s="2" t="s">
        <v>1661</v>
      </c>
      <c r="K429" s="2">
        <v>3</v>
      </c>
      <c r="L429" s="2" t="s">
        <v>81</v>
      </c>
      <c r="M429" s="2" t="s">
        <v>22</v>
      </c>
      <c r="N429" s="2">
        <v>161.24</v>
      </c>
    </row>
    <row r="430" spans="1:14" ht="15" x14ac:dyDescent="0.25">
      <c r="A430" s="2" t="s">
        <v>1662</v>
      </c>
      <c r="B430" s="3">
        <v>45622</v>
      </c>
      <c r="C430" s="2" t="s">
        <v>1663</v>
      </c>
      <c r="D430" s="2" t="s">
        <v>41</v>
      </c>
      <c r="E430" s="2">
        <v>4</v>
      </c>
      <c r="F430" s="2">
        <v>262.58</v>
      </c>
      <c r="G430" s="2" t="s">
        <v>161</v>
      </c>
      <c r="H430" s="2" t="s">
        <v>27</v>
      </c>
      <c r="I430" s="2" t="s">
        <v>35</v>
      </c>
      <c r="J430" s="2" t="s">
        <v>1664</v>
      </c>
      <c r="K430" s="2">
        <v>8</v>
      </c>
      <c r="L430" s="2" t="s">
        <v>81</v>
      </c>
      <c r="M430" s="2" t="s">
        <v>38</v>
      </c>
      <c r="N430" s="2">
        <v>1050.32</v>
      </c>
    </row>
    <row r="431" spans="1:14" ht="15" x14ac:dyDescent="0.25">
      <c r="A431" s="2" t="s">
        <v>1665</v>
      </c>
      <c r="B431" s="3">
        <v>45645</v>
      </c>
      <c r="C431" s="2" t="s">
        <v>1666</v>
      </c>
      <c r="D431" s="2" t="s">
        <v>48</v>
      </c>
      <c r="E431" s="2">
        <v>4</v>
      </c>
      <c r="F431" s="2">
        <v>515.19000000000005</v>
      </c>
      <c r="G431" s="2" t="s">
        <v>466</v>
      </c>
      <c r="H431" s="2" t="s">
        <v>34</v>
      </c>
      <c r="I431" s="2" t="s">
        <v>89</v>
      </c>
      <c r="J431" s="2" t="s">
        <v>1667</v>
      </c>
      <c r="K431" s="2">
        <v>9</v>
      </c>
      <c r="L431" s="2" t="s">
        <v>21</v>
      </c>
      <c r="M431" s="2" t="s">
        <v>45</v>
      </c>
      <c r="N431" s="2">
        <v>2060.7600000000002</v>
      </c>
    </row>
    <row r="432" spans="1:14" ht="15" x14ac:dyDescent="0.25">
      <c r="A432" s="2" t="s">
        <v>1668</v>
      </c>
      <c r="B432" s="3">
        <v>45084</v>
      </c>
      <c r="C432" s="2" t="s">
        <v>1669</v>
      </c>
      <c r="D432" s="2" t="s">
        <v>25</v>
      </c>
      <c r="E432" s="2">
        <v>1</v>
      </c>
      <c r="F432" s="2">
        <v>450.07</v>
      </c>
      <c r="G432" s="2" t="s">
        <v>1670</v>
      </c>
      <c r="H432" s="2" t="s">
        <v>60</v>
      </c>
      <c r="I432" s="2" t="s">
        <v>19</v>
      </c>
      <c r="J432" s="2" t="s">
        <v>1671</v>
      </c>
      <c r="K432" s="2">
        <v>6</v>
      </c>
      <c r="L432" s="2" t="s">
        <v>37</v>
      </c>
      <c r="M432" s="2" t="s">
        <v>76</v>
      </c>
      <c r="N432" s="2">
        <v>450.07</v>
      </c>
    </row>
    <row r="433" spans="1:14" ht="15" x14ac:dyDescent="0.25">
      <c r="A433" s="2" t="s">
        <v>1672</v>
      </c>
      <c r="B433" s="3">
        <v>45571</v>
      </c>
      <c r="C433" s="2" t="s">
        <v>1673</v>
      </c>
      <c r="D433" s="2" t="s">
        <v>48</v>
      </c>
      <c r="E433" s="2">
        <v>1</v>
      </c>
      <c r="F433" s="2">
        <v>52.54</v>
      </c>
      <c r="G433" s="2" t="s">
        <v>652</v>
      </c>
      <c r="H433" s="2" t="s">
        <v>18</v>
      </c>
      <c r="I433" s="2" t="s">
        <v>35</v>
      </c>
      <c r="J433" s="2" t="s">
        <v>1674</v>
      </c>
      <c r="K433" s="2">
        <v>6</v>
      </c>
      <c r="L433" s="2" t="s">
        <v>81</v>
      </c>
      <c r="M433" s="2" t="s">
        <v>45</v>
      </c>
      <c r="N433" s="2">
        <v>52.54</v>
      </c>
    </row>
    <row r="434" spans="1:14" ht="15" x14ac:dyDescent="0.25">
      <c r="A434" s="2" t="s">
        <v>1675</v>
      </c>
      <c r="B434" s="3">
        <v>45173</v>
      </c>
      <c r="C434" s="2" t="s">
        <v>1676</v>
      </c>
      <c r="D434" s="2" t="s">
        <v>32</v>
      </c>
      <c r="E434" s="2">
        <v>2</v>
      </c>
      <c r="F434" s="2">
        <v>424.32</v>
      </c>
      <c r="G434" s="2" t="s">
        <v>1677</v>
      </c>
      <c r="H434" s="2" t="s">
        <v>34</v>
      </c>
      <c r="I434" s="2" t="s">
        <v>43</v>
      </c>
      <c r="J434" s="2" t="s">
        <v>1678</v>
      </c>
      <c r="K434" s="2">
        <v>6</v>
      </c>
      <c r="M434" s="2" t="s">
        <v>29</v>
      </c>
      <c r="N434" s="2">
        <v>848.64</v>
      </c>
    </row>
    <row r="435" spans="1:14" ht="15" x14ac:dyDescent="0.25">
      <c r="A435" s="2" t="s">
        <v>1679</v>
      </c>
      <c r="B435" s="3">
        <v>45164</v>
      </c>
      <c r="C435" s="2" t="s">
        <v>1680</v>
      </c>
      <c r="D435" s="2" t="s">
        <v>16</v>
      </c>
      <c r="E435" s="2">
        <v>3</v>
      </c>
      <c r="F435" s="2">
        <v>631.64</v>
      </c>
      <c r="G435" s="2" t="s">
        <v>996</v>
      </c>
      <c r="H435" s="2" t="s">
        <v>34</v>
      </c>
      <c r="I435" s="2" t="s">
        <v>43</v>
      </c>
      <c r="J435" s="2" t="s">
        <v>1681</v>
      </c>
      <c r="K435" s="2">
        <v>3</v>
      </c>
      <c r="L435" s="2" t="s">
        <v>37</v>
      </c>
      <c r="M435" s="2" t="s">
        <v>45</v>
      </c>
      <c r="N435" s="2">
        <v>1894.92</v>
      </c>
    </row>
    <row r="436" spans="1:14" ht="15" x14ac:dyDescent="0.25">
      <c r="A436" s="2" t="s">
        <v>1682</v>
      </c>
      <c r="B436" s="3">
        <v>45221</v>
      </c>
      <c r="C436" s="2" t="s">
        <v>1683</v>
      </c>
      <c r="D436" s="2" t="s">
        <v>48</v>
      </c>
      <c r="E436" s="2">
        <v>5</v>
      </c>
      <c r="F436" s="2">
        <v>327.68</v>
      </c>
      <c r="G436" s="2" t="s">
        <v>316</v>
      </c>
      <c r="H436" s="2" t="s">
        <v>34</v>
      </c>
      <c r="I436" s="2" t="s">
        <v>43</v>
      </c>
      <c r="J436" s="2" t="s">
        <v>1684</v>
      </c>
      <c r="K436" s="2">
        <v>6</v>
      </c>
      <c r="M436" s="2" t="s">
        <v>45</v>
      </c>
      <c r="N436" s="2">
        <v>1638.4</v>
      </c>
    </row>
    <row r="437" spans="1:14" ht="15" x14ac:dyDescent="0.25">
      <c r="A437" s="2" t="s">
        <v>1685</v>
      </c>
      <c r="B437" s="3">
        <v>45073</v>
      </c>
      <c r="C437" s="2" t="s">
        <v>1686</v>
      </c>
      <c r="D437" s="2" t="s">
        <v>48</v>
      </c>
      <c r="E437" s="2">
        <v>1</v>
      </c>
      <c r="F437" s="2">
        <v>414.47</v>
      </c>
      <c r="G437" s="2" t="s">
        <v>1256</v>
      </c>
      <c r="H437" s="2" t="s">
        <v>18</v>
      </c>
      <c r="I437" s="2" t="s">
        <v>43</v>
      </c>
      <c r="J437" s="2" t="s">
        <v>1687</v>
      </c>
      <c r="K437" s="2">
        <v>3</v>
      </c>
      <c r="L437" s="2" t="s">
        <v>37</v>
      </c>
      <c r="M437" s="2" t="s">
        <v>22</v>
      </c>
      <c r="N437" s="2">
        <v>414.47</v>
      </c>
    </row>
    <row r="438" spans="1:14" ht="15" x14ac:dyDescent="0.25">
      <c r="A438" s="2" t="s">
        <v>1688</v>
      </c>
      <c r="B438" s="3">
        <v>44968</v>
      </c>
      <c r="C438" s="2" t="s">
        <v>1689</v>
      </c>
      <c r="D438" s="2" t="s">
        <v>58</v>
      </c>
      <c r="E438" s="2">
        <v>4</v>
      </c>
      <c r="F438" s="2">
        <v>221.33</v>
      </c>
      <c r="G438" s="2" t="s">
        <v>652</v>
      </c>
      <c r="H438" s="2" t="s">
        <v>27</v>
      </c>
      <c r="I438" s="2" t="s">
        <v>89</v>
      </c>
      <c r="J438" s="2" t="s">
        <v>1690</v>
      </c>
      <c r="K438" s="2">
        <v>5</v>
      </c>
      <c r="M438" s="2" t="s">
        <v>76</v>
      </c>
      <c r="N438" s="2">
        <v>885.32</v>
      </c>
    </row>
    <row r="439" spans="1:14" ht="15" x14ac:dyDescent="0.25">
      <c r="A439" s="2" t="s">
        <v>1691</v>
      </c>
      <c r="B439" s="3">
        <v>45400</v>
      </c>
      <c r="C439" s="2" t="s">
        <v>1692</v>
      </c>
      <c r="D439" s="2" t="s">
        <v>25</v>
      </c>
      <c r="E439" s="2">
        <v>1</v>
      </c>
      <c r="F439" s="2">
        <v>512.39</v>
      </c>
      <c r="G439" s="2" t="s">
        <v>1693</v>
      </c>
      <c r="H439" s="2" t="s">
        <v>27</v>
      </c>
      <c r="I439" s="2" t="s">
        <v>50</v>
      </c>
      <c r="J439" s="2" t="s">
        <v>1694</v>
      </c>
      <c r="K439" s="2">
        <v>2</v>
      </c>
      <c r="L439" s="2" t="s">
        <v>37</v>
      </c>
      <c r="M439" s="2" t="s">
        <v>22</v>
      </c>
      <c r="N439" s="2">
        <v>512.39</v>
      </c>
    </row>
    <row r="440" spans="1:14" ht="15" x14ac:dyDescent="0.25">
      <c r="A440" s="2" t="s">
        <v>1695</v>
      </c>
      <c r="B440" s="3">
        <v>45660</v>
      </c>
      <c r="C440" s="2" t="s">
        <v>1696</v>
      </c>
      <c r="D440" s="2" t="s">
        <v>32</v>
      </c>
      <c r="E440" s="2">
        <v>3</v>
      </c>
      <c r="F440" s="2">
        <v>459.34</v>
      </c>
      <c r="G440" s="2" t="s">
        <v>1697</v>
      </c>
      <c r="H440" s="2" t="s">
        <v>60</v>
      </c>
      <c r="I440" s="2" t="s">
        <v>89</v>
      </c>
      <c r="J440" s="2" t="s">
        <v>1698</v>
      </c>
      <c r="K440" s="2">
        <v>3</v>
      </c>
      <c r="L440" s="2" t="s">
        <v>21</v>
      </c>
      <c r="M440" s="2" t="s">
        <v>22</v>
      </c>
      <c r="N440" s="2">
        <v>1378.02</v>
      </c>
    </row>
    <row r="441" spans="1:14" ht="15" x14ac:dyDescent="0.25">
      <c r="A441" s="2" t="s">
        <v>1699</v>
      </c>
      <c r="B441" s="3">
        <v>45543</v>
      </c>
      <c r="C441" s="2" t="s">
        <v>1700</v>
      </c>
      <c r="D441" s="2" t="s">
        <v>32</v>
      </c>
      <c r="E441" s="2">
        <v>1</v>
      </c>
      <c r="F441" s="2">
        <v>146.32</v>
      </c>
      <c r="G441" s="2" t="s">
        <v>1701</v>
      </c>
      <c r="H441" s="2" t="s">
        <v>27</v>
      </c>
      <c r="I441" s="2" t="s">
        <v>19</v>
      </c>
      <c r="J441" s="2" t="s">
        <v>1702</v>
      </c>
      <c r="K441" s="2">
        <v>4</v>
      </c>
      <c r="L441" s="2" t="s">
        <v>81</v>
      </c>
      <c r="M441" s="2" t="s">
        <v>45</v>
      </c>
      <c r="N441" s="2">
        <v>146.32</v>
      </c>
    </row>
    <row r="442" spans="1:14" ht="15" x14ac:dyDescent="0.25">
      <c r="A442" s="2" t="s">
        <v>1703</v>
      </c>
      <c r="B442" s="3">
        <v>45601</v>
      </c>
      <c r="C442" s="2" t="s">
        <v>1704</v>
      </c>
      <c r="D442" s="2" t="s">
        <v>73</v>
      </c>
      <c r="E442" s="2">
        <v>4</v>
      </c>
      <c r="F442" s="2">
        <v>83.6</v>
      </c>
      <c r="G442" s="2" t="s">
        <v>1244</v>
      </c>
      <c r="H442" s="2" t="s">
        <v>18</v>
      </c>
      <c r="I442" s="2" t="s">
        <v>89</v>
      </c>
      <c r="J442" s="2" t="s">
        <v>1705</v>
      </c>
      <c r="K442" s="2">
        <v>4</v>
      </c>
      <c r="L442" s="2" t="s">
        <v>21</v>
      </c>
      <c r="M442" s="2" t="s">
        <v>45</v>
      </c>
      <c r="N442" s="2">
        <v>334.4</v>
      </c>
    </row>
    <row r="443" spans="1:14" ht="15" x14ac:dyDescent="0.25">
      <c r="A443" s="2" t="s">
        <v>1706</v>
      </c>
      <c r="B443" s="3">
        <v>45273</v>
      </c>
      <c r="C443" s="2" t="s">
        <v>1707</v>
      </c>
      <c r="D443" s="2" t="s">
        <v>48</v>
      </c>
      <c r="E443" s="2">
        <v>2</v>
      </c>
      <c r="F443" s="2">
        <v>328.54</v>
      </c>
      <c r="G443" s="2" t="s">
        <v>1708</v>
      </c>
      <c r="H443" s="2" t="s">
        <v>60</v>
      </c>
      <c r="I443" s="2" t="s">
        <v>43</v>
      </c>
      <c r="J443" s="2" t="s">
        <v>1709</v>
      </c>
      <c r="K443" s="2">
        <v>6</v>
      </c>
      <c r="L443" s="2" t="s">
        <v>37</v>
      </c>
      <c r="M443" s="2" t="s">
        <v>38</v>
      </c>
      <c r="N443" s="2">
        <v>657.08</v>
      </c>
    </row>
    <row r="444" spans="1:14" ht="15" x14ac:dyDescent="0.25">
      <c r="A444" s="2" t="s">
        <v>1710</v>
      </c>
      <c r="B444" s="3">
        <v>45418</v>
      </c>
      <c r="C444" s="2" t="s">
        <v>1711</v>
      </c>
      <c r="D444" s="2" t="s">
        <v>41</v>
      </c>
      <c r="E444" s="2">
        <v>5</v>
      </c>
      <c r="F444" s="2">
        <v>314.94</v>
      </c>
      <c r="G444" s="2" t="s">
        <v>1712</v>
      </c>
      <c r="H444" s="2" t="s">
        <v>65</v>
      </c>
      <c r="I444" s="2" t="s">
        <v>89</v>
      </c>
      <c r="J444" s="2" t="s">
        <v>1713</v>
      </c>
      <c r="K444" s="2">
        <v>8</v>
      </c>
      <c r="L444" s="2" t="s">
        <v>21</v>
      </c>
      <c r="M444" s="2" t="s">
        <v>22</v>
      </c>
      <c r="N444" s="2">
        <v>1574.7</v>
      </c>
    </row>
    <row r="445" spans="1:14" ht="15" x14ac:dyDescent="0.25">
      <c r="A445" s="2" t="s">
        <v>1714</v>
      </c>
      <c r="B445" s="3">
        <v>45426</v>
      </c>
      <c r="C445" s="2" t="s">
        <v>1715</v>
      </c>
      <c r="D445" s="2" t="s">
        <v>41</v>
      </c>
      <c r="E445" s="2">
        <v>2</v>
      </c>
      <c r="F445" s="2">
        <v>69.64</v>
      </c>
      <c r="G445" s="2" t="s">
        <v>289</v>
      </c>
      <c r="H445" s="2" t="s">
        <v>65</v>
      </c>
      <c r="I445" s="2" t="s">
        <v>43</v>
      </c>
      <c r="J445" s="2" t="s">
        <v>1716</v>
      </c>
      <c r="K445" s="2">
        <v>6</v>
      </c>
      <c r="M445" s="2" t="s">
        <v>45</v>
      </c>
      <c r="N445" s="2">
        <v>139.28</v>
      </c>
    </row>
    <row r="446" spans="1:14" ht="15" x14ac:dyDescent="0.25">
      <c r="A446" s="2" t="s">
        <v>1717</v>
      </c>
      <c r="B446" s="3">
        <v>45451</v>
      </c>
      <c r="C446" s="2" t="s">
        <v>1718</v>
      </c>
      <c r="D446" s="2" t="s">
        <v>48</v>
      </c>
      <c r="E446" s="2">
        <v>1</v>
      </c>
      <c r="F446" s="2">
        <v>135.16999999999999</v>
      </c>
      <c r="G446" s="2" t="s">
        <v>1719</v>
      </c>
      <c r="H446" s="2" t="s">
        <v>27</v>
      </c>
      <c r="I446" s="2" t="s">
        <v>19</v>
      </c>
      <c r="J446" s="2" t="s">
        <v>1720</v>
      </c>
      <c r="K446" s="2">
        <v>6</v>
      </c>
      <c r="L446" s="2" t="s">
        <v>37</v>
      </c>
      <c r="M446" s="2" t="s">
        <v>22</v>
      </c>
      <c r="N446" s="2">
        <v>135.16999999999999</v>
      </c>
    </row>
    <row r="447" spans="1:14" ht="15" x14ac:dyDescent="0.25">
      <c r="A447" s="2" t="s">
        <v>1721</v>
      </c>
      <c r="B447" s="3">
        <v>45374</v>
      </c>
      <c r="C447" s="2" t="s">
        <v>1722</v>
      </c>
      <c r="D447" s="2" t="s">
        <v>25</v>
      </c>
      <c r="E447" s="2">
        <v>1</v>
      </c>
      <c r="F447" s="2">
        <v>487.21</v>
      </c>
      <c r="G447" s="2" t="s">
        <v>1723</v>
      </c>
      <c r="H447" s="2" t="s">
        <v>65</v>
      </c>
      <c r="I447" s="2" t="s">
        <v>50</v>
      </c>
      <c r="J447" s="2" t="s">
        <v>1724</v>
      </c>
      <c r="K447" s="2">
        <v>3</v>
      </c>
      <c r="L447" s="2" t="s">
        <v>21</v>
      </c>
      <c r="M447" s="2" t="s">
        <v>29</v>
      </c>
      <c r="N447" s="2">
        <v>487.21</v>
      </c>
    </row>
    <row r="448" spans="1:14" ht="15" x14ac:dyDescent="0.25">
      <c r="A448" s="2" t="s">
        <v>1725</v>
      </c>
      <c r="B448" s="3">
        <v>45217</v>
      </c>
      <c r="C448" s="2" t="s">
        <v>1726</v>
      </c>
      <c r="D448" s="2" t="s">
        <v>58</v>
      </c>
      <c r="E448" s="2">
        <v>5</v>
      </c>
      <c r="F448" s="2">
        <v>509.58</v>
      </c>
      <c r="G448" s="2" t="s">
        <v>1727</v>
      </c>
      <c r="H448" s="2" t="s">
        <v>27</v>
      </c>
      <c r="I448" s="2" t="s">
        <v>50</v>
      </c>
      <c r="J448" s="2" t="s">
        <v>1728</v>
      </c>
      <c r="K448" s="2">
        <v>6</v>
      </c>
      <c r="L448" s="2" t="s">
        <v>37</v>
      </c>
      <c r="M448" s="2" t="s">
        <v>22</v>
      </c>
      <c r="N448" s="2">
        <v>2547.9</v>
      </c>
    </row>
    <row r="449" spans="1:14" ht="15" x14ac:dyDescent="0.25">
      <c r="A449" s="2" t="s">
        <v>1729</v>
      </c>
      <c r="B449" s="3">
        <v>45389</v>
      </c>
      <c r="C449" s="2" t="s">
        <v>1730</v>
      </c>
      <c r="D449" s="2" t="s">
        <v>48</v>
      </c>
      <c r="E449" s="2">
        <v>2</v>
      </c>
      <c r="F449" s="2">
        <v>416.81</v>
      </c>
      <c r="G449" s="2" t="s">
        <v>1731</v>
      </c>
      <c r="H449" s="2" t="s">
        <v>65</v>
      </c>
      <c r="I449" s="2" t="s">
        <v>43</v>
      </c>
      <c r="J449" s="2" t="s">
        <v>1732</v>
      </c>
      <c r="K449" s="2">
        <v>2</v>
      </c>
      <c r="M449" s="2" t="s">
        <v>45</v>
      </c>
      <c r="N449" s="2">
        <v>833.62</v>
      </c>
    </row>
    <row r="450" spans="1:14" ht="15" x14ac:dyDescent="0.25">
      <c r="A450" s="2" t="s">
        <v>1733</v>
      </c>
      <c r="B450" s="3">
        <v>45173</v>
      </c>
      <c r="C450" s="2" t="s">
        <v>1734</v>
      </c>
      <c r="D450" s="2" t="s">
        <v>58</v>
      </c>
      <c r="E450" s="2">
        <v>2</v>
      </c>
      <c r="F450" s="2">
        <v>160</v>
      </c>
      <c r="G450" s="2" t="s">
        <v>1735</v>
      </c>
      <c r="H450" s="2" t="s">
        <v>65</v>
      </c>
      <c r="I450" s="2" t="s">
        <v>89</v>
      </c>
      <c r="J450" s="2" t="s">
        <v>1736</v>
      </c>
      <c r="K450" s="2">
        <v>4</v>
      </c>
      <c r="L450" s="2" t="s">
        <v>21</v>
      </c>
      <c r="M450" s="2" t="s">
        <v>22</v>
      </c>
      <c r="N450" s="2">
        <v>320</v>
      </c>
    </row>
    <row r="451" spans="1:14" ht="15" x14ac:dyDescent="0.25">
      <c r="A451" s="2" t="s">
        <v>1737</v>
      </c>
      <c r="B451" s="3">
        <v>45530</v>
      </c>
      <c r="C451" s="2" t="s">
        <v>1738</v>
      </c>
      <c r="D451" s="2" t="s">
        <v>32</v>
      </c>
      <c r="E451" s="2">
        <v>3</v>
      </c>
      <c r="F451" s="2">
        <v>253.05</v>
      </c>
      <c r="G451" s="2" t="s">
        <v>1739</v>
      </c>
      <c r="H451" s="2" t="s">
        <v>27</v>
      </c>
      <c r="I451" s="2" t="s">
        <v>89</v>
      </c>
      <c r="J451" s="2" t="s">
        <v>1740</v>
      </c>
      <c r="K451" s="2">
        <v>3</v>
      </c>
      <c r="M451" s="2" t="s">
        <v>22</v>
      </c>
      <c r="N451" s="2">
        <v>759.15000000000009</v>
      </c>
    </row>
    <row r="452" spans="1:14" ht="15" x14ac:dyDescent="0.25">
      <c r="A452" s="2" t="s">
        <v>1741</v>
      </c>
      <c r="B452" s="3">
        <v>45306</v>
      </c>
      <c r="C452" s="2" t="s">
        <v>1742</v>
      </c>
      <c r="D452" s="2" t="s">
        <v>16</v>
      </c>
      <c r="E452" s="2">
        <v>5</v>
      </c>
      <c r="F452" s="2">
        <v>615.1</v>
      </c>
      <c r="G452" s="2" t="s">
        <v>1743</v>
      </c>
      <c r="H452" s="2" t="s">
        <v>60</v>
      </c>
      <c r="I452" s="2" t="s">
        <v>43</v>
      </c>
      <c r="J452" s="2" t="s">
        <v>1744</v>
      </c>
      <c r="K452" s="2">
        <v>10</v>
      </c>
      <c r="L452" s="2" t="s">
        <v>81</v>
      </c>
      <c r="M452" s="2" t="s">
        <v>22</v>
      </c>
      <c r="N452" s="2">
        <v>3075.5</v>
      </c>
    </row>
    <row r="453" spans="1:14" ht="15" x14ac:dyDescent="0.25">
      <c r="A453" s="2" t="s">
        <v>1745</v>
      </c>
      <c r="B453" s="3">
        <v>45017</v>
      </c>
      <c r="C453" s="2" t="s">
        <v>1746</v>
      </c>
      <c r="D453" s="2" t="s">
        <v>16</v>
      </c>
      <c r="E453" s="2">
        <v>1</v>
      </c>
      <c r="F453" s="2">
        <v>183.18</v>
      </c>
      <c r="G453" s="2" t="s">
        <v>450</v>
      </c>
      <c r="H453" s="2" t="s">
        <v>18</v>
      </c>
      <c r="I453" s="2" t="s">
        <v>35</v>
      </c>
      <c r="J453" s="2" t="s">
        <v>1747</v>
      </c>
      <c r="K453" s="2">
        <v>6</v>
      </c>
      <c r="L453" s="2" t="s">
        <v>21</v>
      </c>
      <c r="M453" s="2" t="s">
        <v>38</v>
      </c>
      <c r="N453" s="2">
        <v>183.18</v>
      </c>
    </row>
    <row r="454" spans="1:14" ht="15" x14ac:dyDescent="0.25">
      <c r="A454" s="2" t="s">
        <v>1748</v>
      </c>
      <c r="B454" s="3">
        <v>45130</v>
      </c>
      <c r="C454" s="2" t="s">
        <v>1749</v>
      </c>
      <c r="D454" s="2" t="s">
        <v>48</v>
      </c>
      <c r="E454" s="2">
        <v>1</v>
      </c>
      <c r="F454" s="2">
        <v>75.78</v>
      </c>
      <c r="G454" s="2" t="s">
        <v>1750</v>
      </c>
      <c r="H454" s="2" t="s">
        <v>65</v>
      </c>
      <c r="I454" s="2" t="s">
        <v>89</v>
      </c>
      <c r="J454" s="2" t="s">
        <v>1751</v>
      </c>
      <c r="K454" s="2">
        <v>5</v>
      </c>
      <c r="L454" s="2" t="s">
        <v>21</v>
      </c>
      <c r="M454" s="2" t="s">
        <v>76</v>
      </c>
      <c r="N454" s="2">
        <v>75.78</v>
      </c>
    </row>
    <row r="455" spans="1:14" ht="15" x14ac:dyDescent="0.25">
      <c r="A455" s="2" t="s">
        <v>1752</v>
      </c>
      <c r="B455" s="3">
        <v>45779</v>
      </c>
      <c r="C455" s="2" t="s">
        <v>1753</v>
      </c>
      <c r="D455" s="2" t="s">
        <v>32</v>
      </c>
      <c r="E455" s="2">
        <v>1</v>
      </c>
      <c r="F455" s="2">
        <v>675.57</v>
      </c>
      <c r="G455" s="2" t="s">
        <v>1754</v>
      </c>
      <c r="H455" s="2" t="s">
        <v>65</v>
      </c>
      <c r="I455" s="2" t="s">
        <v>19</v>
      </c>
      <c r="J455" s="2" t="s">
        <v>1755</v>
      </c>
      <c r="K455" s="2">
        <v>1</v>
      </c>
      <c r="L455" s="2" t="s">
        <v>81</v>
      </c>
      <c r="M455" s="2" t="s">
        <v>45</v>
      </c>
      <c r="N455" s="2">
        <v>675.57</v>
      </c>
    </row>
    <row r="456" spans="1:14" ht="15" x14ac:dyDescent="0.25">
      <c r="A456" s="2" t="s">
        <v>1756</v>
      </c>
      <c r="B456" s="3">
        <v>45623</v>
      </c>
      <c r="C456" s="2" t="s">
        <v>1757</v>
      </c>
      <c r="D456" s="2" t="s">
        <v>58</v>
      </c>
      <c r="E456" s="2">
        <v>1</v>
      </c>
      <c r="F456" s="2">
        <v>109.29</v>
      </c>
      <c r="G456" s="2" t="s">
        <v>1758</v>
      </c>
      <c r="H456" s="2" t="s">
        <v>18</v>
      </c>
      <c r="I456" s="2" t="s">
        <v>35</v>
      </c>
      <c r="J456" s="2" t="s">
        <v>1759</v>
      </c>
      <c r="K456" s="2">
        <v>5</v>
      </c>
      <c r="L456" s="2" t="s">
        <v>37</v>
      </c>
      <c r="M456" s="2" t="s">
        <v>76</v>
      </c>
      <c r="N456" s="2">
        <v>109.29</v>
      </c>
    </row>
    <row r="457" spans="1:14" ht="15" x14ac:dyDescent="0.25">
      <c r="A457" s="2" t="s">
        <v>1760</v>
      </c>
      <c r="B457" s="3">
        <v>45377</v>
      </c>
      <c r="C457" s="2" t="s">
        <v>1761</v>
      </c>
      <c r="D457" s="2" t="s">
        <v>25</v>
      </c>
      <c r="E457" s="2">
        <v>1</v>
      </c>
      <c r="F457" s="2">
        <v>639.83000000000004</v>
      </c>
      <c r="G457" s="2" t="s">
        <v>1762</v>
      </c>
      <c r="H457" s="2" t="s">
        <v>18</v>
      </c>
      <c r="I457" s="2" t="s">
        <v>89</v>
      </c>
      <c r="J457" s="2" t="s">
        <v>1763</v>
      </c>
      <c r="K457" s="2">
        <v>2</v>
      </c>
      <c r="L457" s="2" t="s">
        <v>21</v>
      </c>
      <c r="M457" s="2" t="s">
        <v>29</v>
      </c>
      <c r="N457" s="2">
        <v>639.83000000000004</v>
      </c>
    </row>
    <row r="458" spans="1:14" ht="15" x14ac:dyDescent="0.25">
      <c r="A458" s="2" t="s">
        <v>1764</v>
      </c>
      <c r="B458" s="3">
        <v>45103</v>
      </c>
      <c r="C458" s="2" t="s">
        <v>1765</v>
      </c>
      <c r="D458" s="2" t="s">
        <v>73</v>
      </c>
      <c r="E458" s="2">
        <v>5</v>
      </c>
      <c r="F458" s="2">
        <v>62.81</v>
      </c>
      <c r="G458" s="2" t="s">
        <v>1364</v>
      </c>
      <c r="H458" s="2" t="s">
        <v>34</v>
      </c>
      <c r="I458" s="2" t="s">
        <v>19</v>
      </c>
      <c r="J458" s="2" t="s">
        <v>1766</v>
      </c>
      <c r="K458" s="2">
        <v>9</v>
      </c>
      <c r="L458" s="2" t="s">
        <v>21</v>
      </c>
      <c r="M458" s="2" t="s">
        <v>45</v>
      </c>
      <c r="N458" s="2">
        <v>314.05</v>
      </c>
    </row>
    <row r="459" spans="1:14" ht="15" x14ac:dyDescent="0.25">
      <c r="A459" s="2" t="s">
        <v>1767</v>
      </c>
      <c r="B459" s="3">
        <v>45802</v>
      </c>
      <c r="C459" s="2" t="s">
        <v>1768</v>
      </c>
      <c r="D459" s="2" t="s">
        <v>73</v>
      </c>
      <c r="E459" s="2">
        <v>4</v>
      </c>
      <c r="F459" s="2">
        <v>615.83000000000004</v>
      </c>
      <c r="G459" s="2" t="s">
        <v>1769</v>
      </c>
      <c r="H459" s="2" t="s">
        <v>27</v>
      </c>
      <c r="I459" s="2" t="s">
        <v>43</v>
      </c>
      <c r="J459" s="2" t="s">
        <v>1770</v>
      </c>
      <c r="K459" s="2">
        <v>4</v>
      </c>
      <c r="L459" s="2" t="s">
        <v>81</v>
      </c>
      <c r="M459" s="2" t="s">
        <v>22</v>
      </c>
      <c r="N459" s="2">
        <v>2463.3200000000002</v>
      </c>
    </row>
    <row r="460" spans="1:14" ht="15" x14ac:dyDescent="0.25">
      <c r="A460" s="2" t="s">
        <v>1771</v>
      </c>
      <c r="B460" s="3">
        <v>45475</v>
      </c>
      <c r="C460" s="2" t="s">
        <v>1772</v>
      </c>
      <c r="D460" s="2" t="s">
        <v>16</v>
      </c>
      <c r="E460" s="2">
        <v>4</v>
      </c>
      <c r="F460" s="2">
        <v>510.58</v>
      </c>
      <c r="G460" s="2" t="s">
        <v>399</v>
      </c>
      <c r="H460" s="2" t="s">
        <v>34</v>
      </c>
      <c r="I460" s="2" t="s">
        <v>43</v>
      </c>
      <c r="J460" s="2" t="s">
        <v>1773</v>
      </c>
      <c r="K460" s="2">
        <v>7</v>
      </c>
      <c r="L460" s="2" t="s">
        <v>81</v>
      </c>
      <c r="M460" s="2" t="s">
        <v>38</v>
      </c>
      <c r="N460" s="2">
        <v>2042.32</v>
      </c>
    </row>
    <row r="461" spans="1:14" ht="15" x14ac:dyDescent="0.25">
      <c r="A461" s="2" t="s">
        <v>1774</v>
      </c>
      <c r="B461" s="3">
        <v>45497</v>
      </c>
      <c r="C461" s="2" t="s">
        <v>1775</v>
      </c>
      <c r="D461" s="2" t="s">
        <v>73</v>
      </c>
      <c r="E461" s="2">
        <v>1</v>
      </c>
      <c r="F461" s="2">
        <v>334.39</v>
      </c>
      <c r="G461" s="2" t="s">
        <v>1670</v>
      </c>
      <c r="H461" s="2" t="s">
        <v>34</v>
      </c>
      <c r="I461" s="2" t="s">
        <v>43</v>
      </c>
      <c r="J461" s="2" t="s">
        <v>1776</v>
      </c>
      <c r="K461" s="2">
        <v>2</v>
      </c>
      <c r="M461" s="2" t="s">
        <v>22</v>
      </c>
      <c r="N461" s="2">
        <v>334.39</v>
      </c>
    </row>
    <row r="462" spans="1:14" ht="15" x14ac:dyDescent="0.25">
      <c r="A462" s="2" t="s">
        <v>1777</v>
      </c>
      <c r="B462" s="3">
        <v>45571</v>
      </c>
      <c r="C462" s="2" t="s">
        <v>1778</v>
      </c>
      <c r="D462" s="2" t="s">
        <v>58</v>
      </c>
      <c r="E462" s="2">
        <v>1</v>
      </c>
      <c r="F462" s="2">
        <v>144.25</v>
      </c>
      <c r="G462" s="2" t="s">
        <v>1779</v>
      </c>
      <c r="H462" s="2" t="s">
        <v>65</v>
      </c>
      <c r="I462" s="2" t="s">
        <v>43</v>
      </c>
      <c r="J462" s="2" t="s">
        <v>1780</v>
      </c>
      <c r="K462" s="2">
        <v>2</v>
      </c>
      <c r="L462" s="2" t="s">
        <v>81</v>
      </c>
      <c r="M462" s="2" t="s">
        <v>29</v>
      </c>
      <c r="N462" s="2">
        <v>144.25</v>
      </c>
    </row>
    <row r="463" spans="1:14" ht="15" x14ac:dyDescent="0.25">
      <c r="A463" s="2" t="s">
        <v>1781</v>
      </c>
      <c r="B463" s="3">
        <v>45451</v>
      </c>
      <c r="C463" s="2" t="s">
        <v>1782</v>
      </c>
      <c r="D463" s="2" t="s">
        <v>32</v>
      </c>
      <c r="E463" s="2">
        <v>1</v>
      </c>
      <c r="F463" s="2">
        <v>401.82</v>
      </c>
      <c r="G463" s="2" t="s">
        <v>972</v>
      </c>
      <c r="H463" s="2" t="s">
        <v>34</v>
      </c>
      <c r="I463" s="2" t="s">
        <v>19</v>
      </c>
      <c r="J463" s="2" t="s">
        <v>1783</v>
      </c>
      <c r="K463" s="2">
        <v>5</v>
      </c>
      <c r="L463" s="2" t="s">
        <v>37</v>
      </c>
      <c r="M463" s="2" t="s">
        <v>76</v>
      </c>
      <c r="N463" s="2">
        <v>401.82</v>
      </c>
    </row>
    <row r="464" spans="1:14" ht="15" x14ac:dyDescent="0.25">
      <c r="A464" s="2" t="s">
        <v>1784</v>
      </c>
      <c r="B464" s="3">
        <v>45747</v>
      </c>
      <c r="C464" s="2" t="s">
        <v>1785</v>
      </c>
      <c r="D464" s="2" t="s">
        <v>25</v>
      </c>
      <c r="E464" s="2">
        <v>1</v>
      </c>
      <c r="F464" s="2">
        <v>252.68</v>
      </c>
      <c r="G464" s="2" t="s">
        <v>1786</v>
      </c>
      <c r="H464" s="2" t="s">
        <v>27</v>
      </c>
      <c r="I464" s="2" t="s">
        <v>35</v>
      </c>
      <c r="J464" s="2" t="s">
        <v>1787</v>
      </c>
      <c r="K464" s="2">
        <v>1</v>
      </c>
      <c r="M464" s="2" t="s">
        <v>29</v>
      </c>
      <c r="N464" s="2">
        <v>252.68</v>
      </c>
    </row>
    <row r="465" spans="1:14" ht="15" x14ac:dyDescent="0.25">
      <c r="A465" s="2" t="s">
        <v>1788</v>
      </c>
      <c r="B465" s="3">
        <v>45072</v>
      </c>
      <c r="C465" s="2" t="s">
        <v>1789</v>
      </c>
      <c r="D465" s="2" t="s">
        <v>58</v>
      </c>
      <c r="E465" s="2">
        <v>5</v>
      </c>
      <c r="F465" s="2">
        <v>662.78</v>
      </c>
      <c r="G465" s="2" t="s">
        <v>1790</v>
      </c>
      <c r="H465" s="2" t="s">
        <v>18</v>
      </c>
      <c r="I465" s="2" t="s">
        <v>19</v>
      </c>
      <c r="J465" s="2" t="s">
        <v>1791</v>
      </c>
      <c r="K465" s="2">
        <v>9</v>
      </c>
      <c r="L465" s="2" t="s">
        <v>21</v>
      </c>
      <c r="M465" s="2" t="s">
        <v>22</v>
      </c>
      <c r="N465" s="2">
        <v>3313.9</v>
      </c>
    </row>
    <row r="466" spans="1:14" ht="15" x14ac:dyDescent="0.25">
      <c r="A466" s="2" t="s">
        <v>1792</v>
      </c>
      <c r="B466" s="3">
        <v>44999</v>
      </c>
      <c r="C466" s="2" t="s">
        <v>1793</v>
      </c>
      <c r="D466" s="2" t="s">
        <v>32</v>
      </c>
      <c r="E466" s="2">
        <v>4</v>
      </c>
      <c r="F466" s="2">
        <v>434.42</v>
      </c>
      <c r="G466" s="2" t="s">
        <v>1794</v>
      </c>
      <c r="H466" s="2" t="s">
        <v>27</v>
      </c>
      <c r="I466" s="2" t="s">
        <v>35</v>
      </c>
      <c r="J466" s="2" t="s">
        <v>1795</v>
      </c>
      <c r="K466" s="2">
        <v>6</v>
      </c>
      <c r="L466" s="2" t="s">
        <v>37</v>
      </c>
      <c r="M466" s="2" t="s">
        <v>76</v>
      </c>
      <c r="N466" s="2">
        <v>1737.68</v>
      </c>
    </row>
    <row r="467" spans="1:14" ht="15" x14ac:dyDescent="0.25">
      <c r="A467" s="2" t="s">
        <v>1796</v>
      </c>
      <c r="B467" s="3">
        <v>45348</v>
      </c>
      <c r="C467" s="2" t="s">
        <v>1797</v>
      </c>
      <c r="D467" s="2" t="s">
        <v>48</v>
      </c>
      <c r="E467" s="2">
        <v>5</v>
      </c>
      <c r="F467" s="2">
        <v>513.49</v>
      </c>
      <c r="G467" s="2" t="s">
        <v>1798</v>
      </c>
      <c r="H467" s="2" t="s">
        <v>60</v>
      </c>
      <c r="I467" s="2" t="s">
        <v>35</v>
      </c>
      <c r="J467" s="2" t="s">
        <v>1799</v>
      </c>
      <c r="K467" s="2">
        <v>8</v>
      </c>
      <c r="M467" s="2" t="s">
        <v>76</v>
      </c>
      <c r="N467" s="2">
        <v>2567.4499999999998</v>
      </c>
    </row>
    <row r="468" spans="1:14" ht="15" x14ac:dyDescent="0.25">
      <c r="A468" s="2" t="s">
        <v>1800</v>
      </c>
      <c r="B468" s="3">
        <v>45125</v>
      </c>
      <c r="C468" s="2" t="s">
        <v>1801</v>
      </c>
      <c r="D468" s="2" t="s">
        <v>25</v>
      </c>
      <c r="E468" s="2">
        <v>1</v>
      </c>
      <c r="F468" s="2">
        <v>432.47</v>
      </c>
      <c r="G468" s="2" t="s">
        <v>161</v>
      </c>
      <c r="H468" s="2" t="s">
        <v>65</v>
      </c>
      <c r="I468" s="2" t="s">
        <v>50</v>
      </c>
      <c r="J468" s="2" t="s">
        <v>1802</v>
      </c>
      <c r="K468" s="2">
        <v>4</v>
      </c>
      <c r="L468" s="2" t="s">
        <v>37</v>
      </c>
      <c r="M468" s="2" t="s">
        <v>29</v>
      </c>
      <c r="N468" s="2">
        <v>432.47</v>
      </c>
    </row>
    <row r="469" spans="1:14" ht="15" x14ac:dyDescent="0.25">
      <c r="A469" s="2" t="s">
        <v>1803</v>
      </c>
      <c r="B469" s="3">
        <v>45534</v>
      </c>
      <c r="C469" s="2" t="s">
        <v>1804</v>
      </c>
      <c r="D469" s="2" t="s">
        <v>73</v>
      </c>
      <c r="E469" s="2">
        <v>1</v>
      </c>
      <c r="F469" s="2">
        <v>45.94</v>
      </c>
      <c r="G469" s="2" t="s">
        <v>763</v>
      </c>
      <c r="H469" s="2" t="s">
        <v>65</v>
      </c>
      <c r="I469" s="2" t="s">
        <v>35</v>
      </c>
      <c r="J469" s="2" t="s">
        <v>1805</v>
      </c>
      <c r="K469" s="2">
        <v>2</v>
      </c>
      <c r="L469" s="2" t="s">
        <v>81</v>
      </c>
      <c r="M469" s="2" t="s">
        <v>38</v>
      </c>
      <c r="N469" s="2">
        <v>45.94</v>
      </c>
    </row>
    <row r="470" spans="1:14" ht="15" x14ac:dyDescent="0.25">
      <c r="A470" s="2" t="s">
        <v>1806</v>
      </c>
      <c r="B470" s="3">
        <v>45829</v>
      </c>
      <c r="C470" s="2" t="s">
        <v>1807</v>
      </c>
      <c r="D470" s="2" t="s">
        <v>25</v>
      </c>
      <c r="E470" s="2">
        <v>1</v>
      </c>
      <c r="F470" s="2">
        <v>418.36</v>
      </c>
      <c r="G470" s="2" t="s">
        <v>1808</v>
      </c>
      <c r="H470" s="2" t="s">
        <v>34</v>
      </c>
      <c r="I470" s="2" t="s">
        <v>50</v>
      </c>
      <c r="J470" s="2" t="s">
        <v>1809</v>
      </c>
      <c r="K470" s="2">
        <v>5</v>
      </c>
      <c r="L470" s="2" t="s">
        <v>37</v>
      </c>
      <c r="M470" s="2" t="s">
        <v>38</v>
      </c>
      <c r="N470" s="2">
        <v>418.36</v>
      </c>
    </row>
    <row r="471" spans="1:14" ht="15" x14ac:dyDescent="0.25">
      <c r="A471" s="2" t="s">
        <v>1810</v>
      </c>
      <c r="B471" s="3">
        <v>45256</v>
      </c>
      <c r="C471" s="2" t="s">
        <v>1811</v>
      </c>
      <c r="D471" s="2" t="s">
        <v>41</v>
      </c>
      <c r="E471" s="2">
        <v>5</v>
      </c>
      <c r="F471" s="2">
        <v>676.98</v>
      </c>
      <c r="G471" s="2" t="s">
        <v>618</v>
      </c>
      <c r="H471" s="2" t="s">
        <v>65</v>
      </c>
      <c r="I471" s="2" t="s">
        <v>35</v>
      </c>
      <c r="J471" s="2" t="s">
        <v>1812</v>
      </c>
      <c r="K471" s="2">
        <v>5</v>
      </c>
      <c r="M471" s="2" t="s">
        <v>45</v>
      </c>
      <c r="N471" s="2">
        <v>3384.9</v>
      </c>
    </row>
    <row r="472" spans="1:14" ht="15" x14ac:dyDescent="0.25">
      <c r="A472" s="2" t="s">
        <v>1813</v>
      </c>
      <c r="B472" s="3">
        <v>45198</v>
      </c>
      <c r="C472" s="2" t="s">
        <v>1814</v>
      </c>
      <c r="D472" s="2" t="s">
        <v>32</v>
      </c>
      <c r="E472" s="2">
        <v>4</v>
      </c>
      <c r="F472" s="2">
        <v>263.62</v>
      </c>
      <c r="G472" s="2" t="s">
        <v>1815</v>
      </c>
      <c r="H472" s="2" t="s">
        <v>65</v>
      </c>
      <c r="I472" s="2" t="s">
        <v>19</v>
      </c>
      <c r="J472" s="2" t="s">
        <v>1816</v>
      </c>
      <c r="K472" s="2">
        <v>5</v>
      </c>
      <c r="L472" s="2" t="s">
        <v>21</v>
      </c>
      <c r="M472" s="2" t="s">
        <v>38</v>
      </c>
      <c r="N472" s="2">
        <v>1054.48</v>
      </c>
    </row>
    <row r="473" spans="1:14" ht="15" x14ac:dyDescent="0.25">
      <c r="A473" s="2" t="s">
        <v>1817</v>
      </c>
      <c r="B473" s="3">
        <v>45766</v>
      </c>
      <c r="C473" s="2" t="s">
        <v>1818</v>
      </c>
      <c r="D473" s="2" t="s">
        <v>73</v>
      </c>
      <c r="E473" s="2">
        <v>5</v>
      </c>
      <c r="F473" s="2">
        <v>551.27</v>
      </c>
      <c r="G473" s="2" t="s">
        <v>1819</v>
      </c>
      <c r="H473" s="2" t="s">
        <v>27</v>
      </c>
      <c r="I473" s="2" t="s">
        <v>35</v>
      </c>
      <c r="J473" s="2" t="s">
        <v>1820</v>
      </c>
      <c r="K473" s="2">
        <v>7</v>
      </c>
      <c r="L473" s="2" t="s">
        <v>37</v>
      </c>
      <c r="M473" s="2" t="s">
        <v>29</v>
      </c>
      <c r="N473" s="2">
        <v>2756.35</v>
      </c>
    </row>
    <row r="474" spans="1:14" ht="15" x14ac:dyDescent="0.25">
      <c r="A474" s="2" t="s">
        <v>1821</v>
      </c>
      <c r="B474" s="3">
        <v>44932</v>
      </c>
      <c r="C474" s="2" t="s">
        <v>1822</v>
      </c>
      <c r="D474" s="2" t="s">
        <v>41</v>
      </c>
      <c r="E474" s="2">
        <v>3</v>
      </c>
      <c r="F474" s="2">
        <v>508.12</v>
      </c>
      <c r="G474" s="2" t="s">
        <v>1823</v>
      </c>
      <c r="H474" s="2" t="s">
        <v>34</v>
      </c>
      <c r="I474" s="2" t="s">
        <v>35</v>
      </c>
      <c r="J474" s="2" t="s">
        <v>1824</v>
      </c>
      <c r="K474" s="2">
        <v>8</v>
      </c>
      <c r="L474" s="2" t="s">
        <v>37</v>
      </c>
      <c r="M474" s="2" t="s">
        <v>29</v>
      </c>
      <c r="N474" s="2">
        <v>1524.36</v>
      </c>
    </row>
    <row r="475" spans="1:14" ht="15" x14ac:dyDescent="0.25">
      <c r="A475" s="2" t="s">
        <v>1825</v>
      </c>
      <c r="B475" s="3">
        <v>45713</v>
      </c>
      <c r="C475" s="2" t="s">
        <v>1826</v>
      </c>
      <c r="D475" s="2" t="s">
        <v>41</v>
      </c>
      <c r="E475" s="2">
        <v>2</v>
      </c>
      <c r="F475" s="2">
        <v>14.93</v>
      </c>
      <c r="G475" s="2" t="s">
        <v>1827</v>
      </c>
      <c r="H475" s="2" t="s">
        <v>27</v>
      </c>
      <c r="I475" s="2" t="s">
        <v>19</v>
      </c>
      <c r="J475" s="2" t="s">
        <v>1828</v>
      </c>
      <c r="K475" s="2">
        <v>4</v>
      </c>
      <c r="M475" s="2" t="s">
        <v>45</v>
      </c>
      <c r="N475" s="2">
        <v>29.86</v>
      </c>
    </row>
    <row r="476" spans="1:14" ht="15" x14ac:dyDescent="0.25">
      <c r="A476" s="2" t="s">
        <v>1829</v>
      </c>
      <c r="B476" s="3">
        <v>45245</v>
      </c>
      <c r="C476" s="2" t="s">
        <v>1830</v>
      </c>
      <c r="D476" s="2" t="s">
        <v>48</v>
      </c>
      <c r="E476" s="2">
        <v>3</v>
      </c>
      <c r="F476" s="2">
        <v>229.34</v>
      </c>
      <c r="G476" s="2" t="s">
        <v>1340</v>
      </c>
      <c r="H476" s="2" t="s">
        <v>34</v>
      </c>
      <c r="I476" s="2" t="s">
        <v>19</v>
      </c>
      <c r="J476" s="2" t="s">
        <v>1831</v>
      </c>
      <c r="K476" s="2">
        <v>6</v>
      </c>
      <c r="L476" s="2" t="s">
        <v>21</v>
      </c>
      <c r="M476" s="2" t="s">
        <v>29</v>
      </c>
      <c r="N476" s="2">
        <v>688.02</v>
      </c>
    </row>
    <row r="477" spans="1:14" ht="15" x14ac:dyDescent="0.25">
      <c r="A477" s="2" t="s">
        <v>1832</v>
      </c>
      <c r="B477" s="3">
        <v>45766</v>
      </c>
      <c r="C477" s="2" t="s">
        <v>1833</v>
      </c>
      <c r="D477" s="2" t="s">
        <v>32</v>
      </c>
      <c r="E477" s="2">
        <v>2</v>
      </c>
      <c r="F477" s="2">
        <v>438.62</v>
      </c>
      <c r="G477" s="2" t="s">
        <v>1834</v>
      </c>
      <c r="H477" s="2" t="s">
        <v>65</v>
      </c>
      <c r="I477" s="2" t="s">
        <v>35</v>
      </c>
      <c r="J477" s="2" t="s">
        <v>1835</v>
      </c>
      <c r="K477" s="2">
        <v>3</v>
      </c>
      <c r="L477" s="2" t="s">
        <v>21</v>
      </c>
      <c r="M477" s="2" t="s">
        <v>45</v>
      </c>
      <c r="N477" s="2">
        <v>877.24</v>
      </c>
    </row>
    <row r="478" spans="1:14" ht="15" x14ac:dyDescent="0.25">
      <c r="A478" s="2" t="s">
        <v>1836</v>
      </c>
      <c r="B478" s="3">
        <v>45306</v>
      </c>
      <c r="C478" s="2" t="s">
        <v>1837</v>
      </c>
      <c r="D478" s="2" t="s">
        <v>25</v>
      </c>
      <c r="E478" s="2">
        <v>2</v>
      </c>
      <c r="F478" s="2">
        <v>513.59</v>
      </c>
      <c r="G478" s="2" t="s">
        <v>1838</v>
      </c>
      <c r="H478" s="2" t="s">
        <v>27</v>
      </c>
      <c r="I478" s="2" t="s">
        <v>43</v>
      </c>
      <c r="J478" s="2" t="s">
        <v>1839</v>
      </c>
      <c r="K478" s="2">
        <v>4</v>
      </c>
      <c r="L478" s="2" t="s">
        <v>37</v>
      </c>
      <c r="M478" s="2" t="s">
        <v>29</v>
      </c>
      <c r="N478" s="2">
        <v>1027.18</v>
      </c>
    </row>
    <row r="479" spans="1:14" ht="15" x14ac:dyDescent="0.25">
      <c r="A479" s="2" t="s">
        <v>1840</v>
      </c>
      <c r="B479" s="3">
        <v>45721</v>
      </c>
      <c r="C479" s="2" t="s">
        <v>1841</v>
      </c>
      <c r="D479" s="2" t="s">
        <v>25</v>
      </c>
      <c r="E479" s="2">
        <v>2</v>
      </c>
      <c r="F479" s="2">
        <v>253.74</v>
      </c>
      <c r="G479" s="2" t="s">
        <v>1842</v>
      </c>
      <c r="H479" s="2" t="s">
        <v>27</v>
      </c>
      <c r="I479" s="2" t="s">
        <v>19</v>
      </c>
      <c r="J479" s="2" t="s">
        <v>1843</v>
      </c>
      <c r="K479" s="2">
        <v>5</v>
      </c>
      <c r="L479" s="2" t="s">
        <v>21</v>
      </c>
      <c r="M479" s="2" t="s">
        <v>76</v>
      </c>
      <c r="N479" s="2">
        <v>507.48</v>
      </c>
    </row>
    <row r="480" spans="1:14" ht="15" x14ac:dyDescent="0.25">
      <c r="A480" s="2" t="s">
        <v>1844</v>
      </c>
      <c r="B480" s="3">
        <v>45597</v>
      </c>
      <c r="C480" s="2" t="s">
        <v>1845</v>
      </c>
      <c r="D480" s="2" t="s">
        <v>32</v>
      </c>
      <c r="E480" s="2">
        <v>3</v>
      </c>
      <c r="F480" s="2">
        <v>62.77</v>
      </c>
      <c r="G480" s="2" t="s">
        <v>105</v>
      </c>
      <c r="H480" s="2" t="s">
        <v>60</v>
      </c>
      <c r="I480" s="2" t="s">
        <v>19</v>
      </c>
      <c r="J480" s="2" t="s">
        <v>1846</v>
      </c>
      <c r="K480" s="2">
        <v>6</v>
      </c>
      <c r="L480" s="2" t="s">
        <v>37</v>
      </c>
      <c r="M480" s="2" t="s">
        <v>29</v>
      </c>
      <c r="N480" s="2">
        <v>188.31</v>
      </c>
    </row>
    <row r="481" spans="1:14" ht="15" x14ac:dyDescent="0.25">
      <c r="A481" s="2" t="s">
        <v>1847</v>
      </c>
      <c r="B481" s="3">
        <v>44975</v>
      </c>
      <c r="C481" s="2" t="s">
        <v>1848</v>
      </c>
      <c r="D481" s="2" t="s">
        <v>16</v>
      </c>
      <c r="E481" s="2">
        <v>4</v>
      </c>
      <c r="F481" s="2">
        <v>25.29</v>
      </c>
      <c r="G481" s="2" t="s">
        <v>1849</v>
      </c>
      <c r="H481" s="2" t="s">
        <v>34</v>
      </c>
      <c r="I481" s="2" t="s">
        <v>89</v>
      </c>
      <c r="J481" s="2" t="s">
        <v>1850</v>
      </c>
      <c r="K481" s="2">
        <v>8</v>
      </c>
      <c r="M481" s="2" t="s">
        <v>76</v>
      </c>
      <c r="N481" s="2">
        <v>101.16</v>
      </c>
    </row>
    <row r="482" spans="1:14" ht="15" x14ac:dyDescent="0.25">
      <c r="A482" s="2" t="s">
        <v>1851</v>
      </c>
      <c r="B482" s="3">
        <v>45093</v>
      </c>
      <c r="C482" s="2" t="s">
        <v>1852</v>
      </c>
      <c r="D482" s="2" t="s">
        <v>41</v>
      </c>
      <c r="E482" s="2">
        <v>1</v>
      </c>
      <c r="F482" s="2">
        <v>335.1</v>
      </c>
      <c r="G482" s="2" t="s">
        <v>458</v>
      </c>
      <c r="H482" s="2" t="s">
        <v>18</v>
      </c>
      <c r="I482" s="2" t="s">
        <v>89</v>
      </c>
      <c r="J482" s="2" t="s">
        <v>1853</v>
      </c>
      <c r="K482" s="2">
        <v>6</v>
      </c>
      <c r="L482" s="2" t="s">
        <v>37</v>
      </c>
      <c r="M482" s="2" t="s">
        <v>29</v>
      </c>
      <c r="N482" s="2">
        <v>335.1</v>
      </c>
    </row>
    <row r="483" spans="1:14" ht="15" x14ac:dyDescent="0.25">
      <c r="A483" s="2" t="s">
        <v>1854</v>
      </c>
      <c r="B483" s="3">
        <v>45039</v>
      </c>
      <c r="C483" s="2" t="s">
        <v>1855</v>
      </c>
      <c r="D483" s="2" t="s">
        <v>58</v>
      </c>
      <c r="E483" s="2">
        <v>4</v>
      </c>
      <c r="F483" s="2">
        <v>484.85</v>
      </c>
      <c r="G483" s="2" t="s">
        <v>866</v>
      </c>
      <c r="H483" s="2" t="s">
        <v>18</v>
      </c>
      <c r="I483" s="2" t="s">
        <v>50</v>
      </c>
      <c r="J483" s="2" t="s">
        <v>1856</v>
      </c>
      <c r="K483" s="2">
        <v>5</v>
      </c>
      <c r="L483" s="2" t="s">
        <v>81</v>
      </c>
      <c r="M483" s="2" t="s">
        <v>29</v>
      </c>
      <c r="N483" s="2">
        <v>1939.4</v>
      </c>
    </row>
    <row r="484" spans="1:14" ht="15" x14ac:dyDescent="0.25">
      <c r="A484" s="2" t="s">
        <v>1857</v>
      </c>
      <c r="B484" s="3">
        <v>45718</v>
      </c>
      <c r="C484" s="2" t="s">
        <v>1858</v>
      </c>
      <c r="D484" s="2" t="s">
        <v>16</v>
      </c>
      <c r="E484" s="2">
        <v>3</v>
      </c>
      <c r="F484" s="2">
        <v>381.41</v>
      </c>
      <c r="G484" s="2" t="s">
        <v>367</v>
      </c>
      <c r="H484" s="2" t="s">
        <v>27</v>
      </c>
      <c r="I484" s="2" t="s">
        <v>89</v>
      </c>
      <c r="J484" s="2" t="s">
        <v>1859</v>
      </c>
      <c r="K484" s="2">
        <v>6</v>
      </c>
      <c r="M484" s="2" t="s">
        <v>22</v>
      </c>
      <c r="N484" s="2">
        <v>1144.23</v>
      </c>
    </row>
    <row r="485" spans="1:14" ht="15" x14ac:dyDescent="0.25">
      <c r="A485" s="2" t="s">
        <v>1860</v>
      </c>
      <c r="B485" s="3">
        <v>44944</v>
      </c>
      <c r="C485" s="2" t="s">
        <v>1861</v>
      </c>
      <c r="D485" s="2" t="s">
        <v>25</v>
      </c>
      <c r="E485" s="2">
        <v>5</v>
      </c>
      <c r="F485" s="2">
        <v>347.92</v>
      </c>
      <c r="G485" s="2" t="s">
        <v>1862</v>
      </c>
      <c r="H485" s="2" t="s">
        <v>65</v>
      </c>
      <c r="I485" s="2" t="s">
        <v>89</v>
      </c>
      <c r="J485" s="2" t="s">
        <v>1863</v>
      </c>
      <c r="K485" s="2">
        <v>6</v>
      </c>
      <c r="L485" s="2" t="s">
        <v>81</v>
      </c>
      <c r="M485" s="2" t="s">
        <v>76</v>
      </c>
      <c r="N485" s="2">
        <v>1739.6</v>
      </c>
    </row>
    <row r="486" spans="1:14" ht="15" x14ac:dyDescent="0.25">
      <c r="A486" s="2" t="s">
        <v>1864</v>
      </c>
      <c r="B486" s="3">
        <v>45441</v>
      </c>
      <c r="C486" s="2" t="s">
        <v>1865</v>
      </c>
      <c r="D486" s="2" t="s">
        <v>41</v>
      </c>
      <c r="E486" s="2">
        <v>4</v>
      </c>
      <c r="F486" s="2">
        <v>15.01</v>
      </c>
      <c r="G486" s="2" t="s">
        <v>1594</v>
      </c>
      <c r="H486" s="2" t="s">
        <v>65</v>
      </c>
      <c r="I486" s="2" t="s">
        <v>35</v>
      </c>
      <c r="J486" s="2" t="s">
        <v>1866</v>
      </c>
      <c r="K486" s="2">
        <v>6</v>
      </c>
      <c r="M486" s="2" t="s">
        <v>45</v>
      </c>
      <c r="N486" s="2">
        <v>60.04</v>
      </c>
    </row>
    <row r="487" spans="1:14" ht="15" x14ac:dyDescent="0.25">
      <c r="A487" s="2" t="s">
        <v>1867</v>
      </c>
      <c r="B487" s="3">
        <v>45139</v>
      </c>
      <c r="C487" s="2" t="s">
        <v>1868</v>
      </c>
      <c r="D487" s="2" t="s">
        <v>41</v>
      </c>
      <c r="E487" s="2">
        <v>3</v>
      </c>
      <c r="F487" s="2">
        <v>404.79</v>
      </c>
      <c r="G487" s="2" t="s">
        <v>1869</v>
      </c>
      <c r="H487" s="2" t="s">
        <v>65</v>
      </c>
      <c r="I487" s="2" t="s">
        <v>19</v>
      </c>
      <c r="J487" s="2" t="s">
        <v>1870</v>
      </c>
      <c r="K487" s="2">
        <v>6</v>
      </c>
      <c r="L487" s="2" t="s">
        <v>21</v>
      </c>
      <c r="M487" s="2" t="s">
        <v>22</v>
      </c>
      <c r="N487" s="2">
        <v>1214.3699999999999</v>
      </c>
    </row>
    <row r="488" spans="1:14" ht="15" x14ac:dyDescent="0.25">
      <c r="A488" s="2" t="s">
        <v>1871</v>
      </c>
      <c r="B488" s="3">
        <v>44960</v>
      </c>
      <c r="C488" s="2" t="s">
        <v>1872</v>
      </c>
      <c r="D488" s="2" t="s">
        <v>48</v>
      </c>
      <c r="E488" s="2">
        <v>4</v>
      </c>
      <c r="F488" s="2">
        <v>611.26</v>
      </c>
      <c r="G488" s="2" t="s">
        <v>1525</v>
      </c>
      <c r="H488" s="2" t="s">
        <v>65</v>
      </c>
      <c r="I488" s="2" t="s">
        <v>19</v>
      </c>
      <c r="J488" s="2" t="s">
        <v>1873</v>
      </c>
      <c r="K488" s="2">
        <v>5</v>
      </c>
      <c r="L488" s="2" t="s">
        <v>21</v>
      </c>
      <c r="M488" s="2" t="s">
        <v>29</v>
      </c>
      <c r="N488" s="2">
        <v>2445.04</v>
      </c>
    </row>
    <row r="489" spans="1:14" ht="15" x14ac:dyDescent="0.25">
      <c r="A489" s="2" t="s">
        <v>1874</v>
      </c>
      <c r="B489" s="3">
        <v>44994</v>
      </c>
      <c r="C489" s="2" t="s">
        <v>1875</v>
      </c>
      <c r="D489" s="2" t="s">
        <v>48</v>
      </c>
      <c r="E489" s="2">
        <v>3</v>
      </c>
      <c r="F489" s="2">
        <v>346.52</v>
      </c>
      <c r="G489" s="2" t="s">
        <v>1876</v>
      </c>
      <c r="H489" s="2" t="s">
        <v>34</v>
      </c>
      <c r="I489" s="2" t="s">
        <v>89</v>
      </c>
      <c r="J489" s="2" t="s">
        <v>1877</v>
      </c>
      <c r="K489" s="2">
        <v>3</v>
      </c>
      <c r="L489" s="2" t="s">
        <v>21</v>
      </c>
      <c r="M489" s="2" t="s">
        <v>76</v>
      </c>
      <c r="N489" s="2">
        <v>1039.56</v>
      </c>
    </row>
    <row r="490" spans="1:14" ht="15" x14ac:dyDescent="0.25">
      <c r="A490" s="2" t="s">
        <v>1878</v>
      </c>
      <c r="B490" s="3">
        <v>45631</v>
      </c>
      <c r="C490" s="2" t="s">
        <v>1879</v>
      </c>
      <c r="D490" s="2" t="s">
        <v>41</v>
      </c>
      <c r="E490" s="2">
        <v>1</v>
      </c>
      <c r="F490" s="2">
        <v>36.65</v>
      </c>
      <c r="G490" s="2" t="s">
        <v>1880</v>
      </c>
      <c r="H490" s="2" t="s">
        <v>27</v>
      </c>
      <c r="I490" s="2" t="s">
        <v>35</v>
      </c>
      <c r="J490" s="2" t="s">
        <v>1881</v>
      </c>
      <c r="K490" s="2">
        <v>1</v>
      </c>
      <c r="L490" s="2" t="s">
        <v>81</v>
      </c>
      <c r="M490" s="2" t="s">
        <v>38</v>
      </c>
      <c r="N490" s="2">
        <v>36.65</v>
      </c>
    </row>
    <row r="491" spans="1:14" ht="15" x14ac:dyDescent="0.25">
      <c r="A491" s="2" t="s">
        <v>1882</v>
      </c>
      <c r="B491" s="3">
        <v>45174</v>
      </c>
      <c r="C491" s="2" t="s">
        <v>1883</v>
      </c>
      <c r="D491" s="2" t="s">
        <v>32</v>
      </c>
      <c r="E491" s="2">
        <v>3</v>
      </c>
      <c r="F491" s="2">
        <v>149.34</v>
      </c>
      <c r="G491" s="2" t="s">
        <v>1066</v>
      </c>
      <c r="H491" s="2" t="s">
        <v>60</v>
      </c>
      <c r="I491" s="2" t="s">
        <v>35</v>
      </c>
      <c r="J491" s="2" t="s">
        <v>1884</v>
      </c>
      <c r="K491" s="2">
        <v>7</v>
      </c>
      <c r="L491" s="2" t="s">
        <v>81</v>
      </c>
      <c r="M491" s="2" t="s">
        <v>38</v>
      </c>
      <c r="N491" s="2">
        <v>448.02</v>
      </c>
    </row>
    <row r="492" spans="1:14" ht="15" x14ac:dyDescent="0.25">
      <c r="A492" s="2" t="s">
        <v>1885</v>
      </c>
      <c r="B492" s="3">
        <v>45495</v>
      </c>
      <c r="C492" s="2" t="s">
        <v>1886</v>
      </c>
      <c r="D492" s="2" t="s">
        <v>41</v>
      </c>
      <c r="E492" s="2">
        <v>5</v>
      </c>
      <c r="F492" s="2">
        <v>467.81</v>
      </c>
      <c r="G492" s="2" t="s">
        <v>1887</v>
      </c>
      <c r="H492" s="2" t="s">
        <v>27</v>
      </c>
      <c r="I492" s="2" t="s">
        <v>35</v>
      </c>
      <c r="J492" s="2" t="s">
        <v>1888</v>
      </c>
      <c r="K492" s="2">
        <v>10</v>
      </c>
      <c r="M492" s="2" t="s">
        <v>45</v>
      </c>
      <c r="N492" s="2">
        <v>2339.0500000000002</v>
      </c>
    </row>
    <row r="493" spans="1:14" ht="15" x14ac:dyDescent="0.25">
      <c r="A493" s="2" t="s">
        <v>1889</v>
      </c>
      <c r="B493" s="3">
        <v>44931</v>
      </c>
      <c r="C493" s="2" t="s">
        <v>1890</v>
      </c>
      <c r="D493" s="2" t="s">
        <v>25</v>
      </c>
      <c r="E493" s="2">
        <v>5</v>
      </c>
      <c r="F493" s="2">
        <v>420.7</v>
      </c>
      <c r="G493" s="2" t="s">
        <v>1842</v>
      </c>
      <c r="H493" s="2" t="s">
        <v>65</v>
      </c>
      <c r="I493" s="2" t="s">
        <v>89</v>
      </c>
      <c r="J493" s="2" t="s">
        <v>1891</v>
      </c>
      <c r="K493" s="2">
        <v>5</v>
      </c>
      <c r="L493" s="2" t="s">
        <v>81</v>
      </c>
      <c r="M493" s="2" t="s">
        <v>45</v>
      </c>
      <c r="N493" s="2">
        <v>2103.5</v>
      </c>
    </row>
    <row r="494" spans="1:14" ht="15" x14ac:dyDescent="0.25">
      <c r="A494" s="2" t="s">
        <v>1892</v>
      </c>
      <c r="B494" s="3">
        <v>45224</v>
      </c>
      <c r="C494" s="2" t="s">
        <v>1893</v>
      </c>
      <c r="D494" s="2" t="s">
        <v>58</v>
      </c>
      <c r="E494" s="2">
        <v>5</v>
      </c>
      <c r="F494" s="2">
        <v>606.52</v>
      </c>
      <c r="G494" s="2" t="s">
        <v>351</v>
      </c>
      <c r="H494" s="2" t="s">
        <v>18</v>
      </c>
      <c r="I494" s="2" t="s">
        <v>19</v>
      </c>
      <c r="J494" s="2" t="s">
        <v>1894</v>
      </c>
      <c r="K494" s="2">
        <v>6</v>
      </c>
      <c r="L494" s="2" t="s">
        <v>21</v>
      </c>
      <c r="M494" s="2" t="s">
        <v>22</v>
      </c>
      <c r="N494" s="2">
        <v>3032.6</v>
      </c>
    </row>
    <row r="495" spans="1:14" ht="15" x14ac:dyDescent="0.25">
      <c r="A495" s="2" t="s">
        <v>1895</v>
      </c>
      <c r="B495" s="3">
        <v>45685</v>
      </c>
      <c r="C495" s="2" t="s">
        <v>1896</v>
      </c>
      <c r="D495" s="2" t="s">
        <v>25</v>
      </c>
      <c r="E495" s="2">
        <v>1</v>
      </c>
      <c r="F495" s="2">
        <v>420.26</v>
      </c>
      <c r="G495" s="2" t="s">
        <v>1897</v>
      </c>
      <c r="H495" s="2" t="s">
        <v>34</v>
      </c>
      <c r="I495" s="2" t="s">
        <v>89</v>
      </c>
      <c r="J495" s="2" t="s">
        <v>1898</v>
      </c>
      <c r="K495" s="2">
        <v>4</v>
      </c>
      <c r="L495" s="2" t="s">
        <v>37</v>
      </c>
      <c r="M495" s="2" t="s">
        <v>45</v>
      </c>
      <c r="N495" s="2">
        <v>420.26</v>
      </c>
    </row>
    <row r="496" spans="1:14" ht="15" x14ac:dyDescent="0.25">
      <c r="A496" s="2" t="s">
        <v>1899</v>
      </c>
      <c r="B496" s="3">
        <v>45126</v>
      </c>
      <c r="C496" s="2" t="s">
        <v>1900</v>
      </c>
      <c r="D496" s="2" t="s">
        <v>58</v>
      </c>
      <c r="E496" s="2">
        <v>3</v>
      </c>
      <c r="F496" s="2">
        <v>505.79</v>
      </c>
      <c r="G496" s="2" t="s">
        <v>1901</v>
      </c>
      <c r="H496" s="2" t="s">
        <v>18</v>
      </c>
      <c r="I496" s="2" t="s">
        <v>89</v>
      </c>
      <c r="J496" s="2" t="s">
        <v>1902</v>
      </c>
      <c r="K496" s="2">
        <v>3</v>
      </c>
      <c r="L496" s="2" t="s">
        <v>37</v>
      </c>
      <c r="M496" s="2" t="s">
        <v>29</v>
      </c>
      <c r="N496" s="2">
        <v>1517.37</v>
      </c>
    </row>
    <row r="497" spans="1:14" ht="15" x14ac:dyDescent="0.25">
      <c r="A497" s="2" t="s">
        <v>1903</v>
      </c>
      <c r="B497" s="3">
        <v>45813</v>
      </c>
      <c r="C497" s="2" t="s">
        <v>1904</v>
      </c>
      <c r="D497" s="2" t="s">
        <v>25</v>
      </c>
      <c r="E497" s="2">
        <v>4</v>
      </c>
      <c r="F497" s="2">
        <v>493.73</v>
      </c>
      <c r="G497" s="2" t="s">
        <v>634</v>
      </c>
      <c r="H497" s="2" t="s">
        <v>18</v>
      </c>
      <c r="I497" s="2" t="s">
        <v>89</v>
      </c>
      <c r="J497" s="2" t="s">
        <v>1905</v>
      </c>
      <c r="K497" s="2">
        <v>6</v>
      </c>
      <c r="L497" s="2" t="s">
        <v>21</v>
      </c>
      <c r="M497" s="2" t="s">
        <v>45</v>
      </c>
      <c r="N497" s="2">
        <v>1974.92</v>
      </c>
    </row>
    <row r="498" spans="1:14" ht="15" x14ac:dyDescent="0.25">
      <c r="A498" s="2" t="s">
        <v>1906</v>
      </c>
      <c r="B498" s="3">
        <v>45730</v>
      </c>
      <c r="C498" s="2" t="s">
        <v>1907</v>
      </c>
      <c r="D498" s="2" t="s">
        <v>48</v>
      </c>
      <c r="E498" s="2">
        <v>3</v>
      </c>
      <c r="F498" s="2">
        <v>201.21</v>
      </c>
      <c r="G498" s="2" t="s">
        <v>1908</v>
      </c>
      <c r="H498" s="2" t="s">
        <v>27</v>
      </c>
      <c r="I498" s="2" t="s">
        <v>35</v>
      </c>
      <c r="J498" s="2" t="s">
        <v>1909</v>
      </c>
      <c r="K498" s="2">
        <v>3</v>
      </c>
      <c r="L498" s="2" t="s">
        <v>21</v>
      </c>
      <c r="M498" s="2" t="s">
        <v>76</v>
      </c>
      <c r="N498" s="2">
        <v>603.63</v>
      </c>
    </row>
    <row r="499" spans="1:14" ht="15" x14ac:dyDescent="0.25">
      <c r="A499" s="2" t="s">
        <v>1910</v>
      </c>
      <c r="B499" s="3">
        <v>45589</v>
      </c>
      <c r="C499" s="2" t="s">
        <v>1911</v>
      </c>
      <c r="D499" s="2" t="s">
        <v>48</v>
      </c>
      <c r="E499" s="2">
        <v>3</v>
      </c>
      <c r="F499" s="2">
        <v>112.29</v>
      </c>
      <c r="G499" s="2" t="s">
        <v>1912</v>
      </c>
      <c r="H499" s="2" t="s">
        <v>60</v>
      </c>
      <c r="I499" s="2" t="s">
        <v>19</v>
      </c>
      <c r="J499" s="2" t="s">
        <v>1913</v>
      </c>
      <c r="K499" s="2">
        <v>6</v>
      </c>
      <c r="M499" s="2" t="s">
        <v>76</v>
      </c>
      <c r="N499" s="2">
        <v>336.87</v>
      </c>
    </row>
    <row r="500" spans="1:14" ht="15" x14ac:dyDescent="0.25">
      <c r="A500" s="2" t="s">
        <v>1914</v>
      </c>
      <c r="B500" s="3">
        <v>45119</v>
      </c>
      <c r="C500" s="2" t="s">
        <v>1915</v>
      </c>
      <c r="D500" s="2" t="s">
        <v>32</v>
      </c>
      <c r="E500" s="2">
        <v>4</v>
      </c>
      <c r="F500" s="2">
        <v>132.56</v>
      </c>
      <c r="G500" s="2" t="s">
        <v>988</v>
      </c>
      <c r="H500" s="2" t="s">
        <v>65</v>
      </c>
      <c r="I500" s="2" t="s">
        <v>43</v>
      </c>
      <c r="J500" s="2" t="s">
        <v>1916</v>
      </c>
      <c r="K500" s="2">
        <v>8</v>
      </c>
      <c r="L500" s="2" t="s">
        <v>81</v>
      </c>
      <c r="M500" s="2" t="s">
        <v>22</v>
      </c>
      <c r="N500" s="2">
        <v>530.24</v>
      </c>
    </row>
    <row r="501" spans="1:14" ht="15" x14ac:dyDescent="0.25">
      <c r="A501" s="2" t="s">
        <v>1917</v>
      </c>
      <c r="B501" s="3">
        <v>45022</v>
      </c>
      <c r="C501" s="2" t="s">
        <v>1918</v>
      </c>
      <c r="D501" s="2" t="s">
        <v>48</v>
      </c>
      <c r="E501" s="2">
        <v>3</v>
      </c>
      <c r="F501" s="2">
        <v>539.46</v>
      </c>
      <c r="G501" s="2" t="s">
        <v>1919</v>
      </c>
      <c r="H501" s="2" t="s">
        <v>34</v>
      </c>
      <c r="I501" s="2" t="s">
        <v>19</v>
      </c>
      <c r="J501" s="2" t="s">
        <v>1920</v>
      </c>
      <c r="K501" s="2">
        <v>4</v>
      </c>
      <c r="L501" s="2" t="s">
        <v>21</v>
      </c>
      <c r="M501" s="2" t="s">
        <v>45</v>
      </c>
      <c r="N501" s="2">
        <v>1618.38</v>
      </c>
    </row>
    <row r="502" spans="1:14" ht="15" x14ac:dyDescent="0.25">
      <c r="A502" s="2" t="s">
        <v>1921</v>
      </c>
      <c r="B502" s="3">
        <v>45389</v>
      </c>
      <c r="C502" s="2" t="s">
        <v>1922</v>
      </c>
      <c r="D502" s="2" t="s">
        <v>58</v>
      </c>
      <c r="E502" s="2">
        <v>5</v>
      </c>
      <c r="F502" s="2">
        <v>508.59</v>
      </c>
      <c r="G502" s="2" t="s">
        <v>1923</v>
      </c>
      <c r="H502" s="2" t="s">
        <v>65</v>
      </c>
      <c r="I502" s="2" t="s">
        <v>43</v>
      </c>
      <c r="J502" s="2" t="s">
        <v>1924</v>
      </c>
      <c r="K502" s="2">
        <v>8</v>
      </c>
      <c r="L502" s="2" t="s">
        <v>81</v>
      </c>
      <c r="M502" s="2" t="s">
        <v>45</v>
      </c>
      <c r="N502" s="2">
        <v>2542.9499999999998</v>
      </c>
    </row>
    <row r="503" spans="1:14" ht="15" x14ac:dyDescent="0.25">
      <c r="A503" s="2" t="s">
        <v>1925</v>
      </c>
      <c r="B503" s="3">
        <v>45326</v>
      </c>
      <c r="C503" s="2" t="s">
        <v>1926</v>
      </c>
      <c r="D503" s="2" t="s">
        <v>73</v>
      </c>
      <c r="E503" s="2">
        <v>4</v>
      </c>
      <c r="F503" s="2">
        <v>203.46</v>
      </c>
      <c r="G503" s="2" t="s">
        <v>685</v>
      </c>
      <c r="H503" s="2" t="s">
        <v>34</v>
      </c>
      <c r="I503" s="2" t="s">
        <v>89</v>
      </c>
      <c r="J503" s="2" t="s">
        <v>1927</v>
      </c>
      <c r="K503" s="2">
        <v>7</v>
      </c>
      <c r="L503" s="2" t="s">
        <v>21</v>
      </c>
      <c r="M503" s="2" t="s">
        <v>29</v>
      </c>
      <c r="N503" s="2">
        <v>813.84</v>
      </c>
    </row>
    <row r="504" spans="1:14" ht="15" x14ac:dyDescent="0.25">
      <c r="A504" s="2" t="s">
        <v>1928</v>
      </c>
      <c r="B504" s="3">
        <v>45066</v>
      </c>
      <c r="C504" s="2" t="s">
        <v>1929</v>
      </c>
      <c r="D504" s="2" t="s">
        <v>16</v>
      </c>
      <c r="E504" s="2">
        <v>3</v>
      </c>
      <c r="F504" s="2">
        <v>565.25</v>
      </c>
      <c r="G504" s="2" t="s">
        <v>1930</v>
      </c>
      <c r="H504" s="2" t="s">
        <v>18</v>
      </c>
      <c r="I504" s="2" t="s">
        <v>43</v>
      </c>
      <c r="J504" s="2" t="s">
        <v>1931</v>
      </c>
      <c r="K504" s="2">
        <v>7</v>
      </c>
      <c r="L504" s="2" t="s">
        <v>21</v>
      </c>
      <c r="M504" s="2" t="s">
        <v>38</v>
      </c>
      <c r="N504" s="2">
        <v>1695.75</v>
      </c>
    </row>
    <row r="505" spans="1:14" ht="15" x14ac:dyDescent="0.25">
      <c r="A505" s="2" t="s">
        <v>1932</v>
      </c>
      <c r="B505" s="3">
        <v>45169</v>
      </c>
      <c r="C505" s="2" t="s">
        <v>1933</v>
      </c>
      <c r="D505" s="2" t="s">
        <v>32</v>
      </c>
      <c r="E505" s="2">
        <v>3</v>
      </c>
      <c r="F505" s="2">
        <v>136.84</v>
      </c>
      <c r="G505" s="2" t="s">
        <v>1934</v>
      </c>
      <c r="H505" s="2" t="s">
        <v>27</v>
      </c>
      <c r="I505" s="2" t="s">
        <v>89</v>
      </c>
      <c r="J505" s="2" t="s">
        <v>1935</v>
      </c>
      <c r="K505" s="2">
        <v>4</v>
      </c>
      <c r="L505" s="2" t="s">
        <v>37</v>
      </c>
      <c r="M505" s="2" t="s">
        <v>45</v>
      </c>
      <c r="N505" s="2">
        <v>410.52</v>
      </c>
    </row>
    <row r="506" spans="1:14" ht="15" x14ac:dyDescent="0.25">
      <c r="A506" s="2" t="s">
        <v>1936</v>
      </c>
      <c r="B506" s="3">
        <v>45819</v>
      </c>
      <c r="C506" s="2" t="s">
        <v>1937</v>
      </c>
      <c r="D506" s="2" t="s">
        <v>16</v>
      </c>
      <c r="E506" s="2">
        <v>2</v>
      </c>
      <c r="F506" s="2">
        <v>464.5</v>
      </c>
      <c r="G506" s="2" t="s">
        <v>1938</v>
      </c>
      <c r="H506" s="2" t="s">
        <v>27</v>
      </c>
      <c r="I506" s="2" t="s">
        <v>35</v>
      </c>
      <c r="J506" s="2" t="s">
        <v>1939</v>
      </c>
      <c r="K506" s="2">
        <v>2</v>
      </c>
      <c r="L506" s="2" t="s">
        <v>81</v>
      </c>
      <c r="M506" s="2" t="s">
        <v>22</v>
      </c>
      <c r="N506" s="2">
        <v>929</v>
      </c>
    </row>
    <row r="507" spans="1:14" ht="15" x14ac:dyDescent="0.25">
      <c r="A507" s="2" t="s">
        <v>1940</v>
      </c>
      <c r="B507" s="3">
        <v>45088</v>
      </c>
      <c r="C507" s="2" t="s">
        <v>1941</v>
      </c>
      <c r="D507" s="2" t="s">
        <v>48</v>
      </c>
      <c r="E507" s="2">
        <v>2</v>
      </c>
      <c r="F507" s="2">
        <v>434.97</v>
      </c>
      <c r="G507" s="2" t="s">
        <v>1525</v>
      </c>
      <c r="H507" s="2" t="s">
        <v>27</v>
      </c>
      <c r="I507" s="2" t="s">
        <v>19</v>
      </c>
      <c r="J507" s="2" t="s">
        <v>1942</v>
      </c>
      <c r="K507" s="2">
        <v>7</v>
      </c>
      <c r="M507" s="2" t="s">
        <v>38</v>
      </c>
      <c r="N507" s="2">
        <v>869.94</v>
      </c>
    </row>
    <row r="508" spans="1:14" ht="15" x14ac:dyDescent="0.25">
      <c r="A508" s="2" t="s">
        <v>1943</v>
      </c>
      <c r="B508" s="3">
        <v>45132</v>
      </c>
      <c r="C508" s="2" t="s">
        <v>1944</v>
      </c>
      <c r="D508" s="2" t="s">
        <v>16</v>
      </c>
      <c r="E508" s="2">
        <v>2</v>
      </c>
      <c r="F508" s="2">
        <v>43.67</v>
      </c>
      <c r="G508" s="2" t="s">
        <v>1945</v>
      </c>
      <c r="H508" s="2" t="s">
        <v>65</v>
      </c>
      <c r="I508" s="2" t="s">
        <v>43</v>
      </c>
      <c r="J508" s="2" t="s">
        <v>1946</v>
      </c>
      <c r="K508" s="2">
        <v>4</v>
      </c>
      <c r="L508" s="2" t="s">
        <v>81</v>
      </c>
      <c r="M508" s="2" t="s">
        <v>22</v>
      </c>
      <c r="N508" s="2">
        <v>87.34</v>
      </c>
    </row>
    <row r="509" spans="1:14" ht="15" x14ac:dyDescent="0.25">
      <c r="A509" s="2" t="s">
        <v>1947</v>
      </c>
      <c r="B509" s="3">
        <v>45112</v>
      </c>
      <c r="C509" s="2" t="s">
        <v>1948</v>
      </c>
      <c r="D509" s="2" t="s">
        <v>25</v>
      </c>
      <c r="E509" s="2">
        <v>1</v>
      </c>
      <c r="F509" s="2">
        <v>171.59</v>
      </c>
      <c r="G509" s="2" t="s">
        <v>1299</v>
      </c>
      <c r="H509" s="2" t="s">
        <v>34</v>
      </c>
      <c r="I509" s="2" t="s">
        <v>89</v>
      </c>
      <c r="J509" s="2" t="s">
        <v>1949</v>
      </c>
      <c r="K509" s="2">
        <v>5</v>
      </c>
      <c r="L509" s="2" t="s">
        <v>81</v>
      </c>
      <c r="M509" s="2" t="s">
        <v>38</v>
      </c>
      <c r="N509" s="2">
        <v>171.59</v>
      </c>
    </row>
    <row r="510" spans="1:14" ht="15" x14ac:dyDescent="0.25">
      <c r="A510" s="2" t="s">
        <v>1950</v>
      </c>
      <c r="B510" s="3">
        <v>45791</v>
      </c>
      <c r="C510" s="2" t="s">
        <v>1951</v>
      </c>
      <c r="D510" s="2" t="s">
        <v>25</v>
      </c>
      <c r="E510" s="2">
        <v>1</v>
      </c>
      <c r="F510" s="2">
        <v>558.27</v>
      </c>
      <c r="G510" s="2" t="s">
        <v>1952</v>
      </c>
      <c r="H510" s="2" t="s">
        <v>27</v>
      </c>
      <c r="I510" s="2" t="s">
        <v>50</v>
      </c>
      <c r="J510" s="2" t="s">
        <v>1953</v>
      </c>
      <c r="K510" s="2">
        <v>1</v>
      </c>
      <c r="M510" s="2" t="s">
        <v>29</v>
      </c>
      <c r="N510" s="2">
        <v>558.27</v>
      </c>
    </row>
    <row r="511" spans="1:14" ht="15" x14ac:dyDescent="0.25">
      <c r="A511" s="2" t="s">
        <v>1954</v>
      </c>
      <c r="B511" s="3">
        <v>44972</v>
      </c>
      <c r="C511" s="2" t="s">
        <v>1955</v>
      </c>
      <c r="D511" s="2" t="s">
        <v>58</v>
      </c>
      <c r="E511" s="2">
        <v>2</v>
      </c>
      <c r="F511" s="2">
        <v>425.03</v>
      </c>
      <c r="G511" s="2" t="s">
        <v>1956</v>
      </c>
      <c r="H511" s="2" t="s">
        <v>65</v>
      </c>
      <c r="I511" s="2" t="s">
        <v>43</v>
      </c>
      <c r="J511" s="2" t="s">
        <v>1957</v>
      </c>
      <c r="K511" s="2">
        <v>2</v>
      </c>
      <c r="L511" s="2" t="s">
        <v>81</v>
      </c>
      <c r="M511" s="2" t="s">
        <v>76</v>
      </c>
      <c r="N511" s="2">
        <v>850.06</v>
      </c>
    </row>
    <row r="512" spans="1:14" ht="15" x14ac:dyDescent="0.25">
      <c r="A512" s="2" t="s">
        <v>1958</v>
      </c>
      <c r="B512" s="3">
        <v>45642</v>
      </c>
      <c r="C512" s="2" t="s">
        <v>1959</v>
      </c>
      <c r="D512" s="2" t="s">
        <v>48</v>
      </c>
      <c r="E512" s="2">
        <v>1</v>
      </c>
      <c r="F512" s="2">
        <v>376.76</v>
      </c>
      <c r="G512" s="2" t="s">
        <v>1960</v>
      </c>
      <c r="H512" s="2" t="s">
        <v>18</v>
      </c>
      <c r="I512" s="2" t="s">
        <v>50</v>
      </c>
      <c r="J512" s="2" t="s">
        <v>1961</v>
      </c>
      <c r="K512" s="2">
        <v>5</v>
      </c>
      <c r="L512" s="2" t="s">
        <v>21</v>
      </c>
      <c r="M512" s="2" t="s">
        <v>38</v>
      </c>
      <c r="N512" s="2">
        <v>376.76</v>
      </c>
    </row>
    <row r="513" spans="1:14" ht="15" x14ac:dyDescent="0.25">
      <c r="A513" s="2" t="s">
        <v>1962</v>
      </c>
      <c r="B513" s="3">
        <v>45366</v>
      </c>
      <c r="C513" s="2" t="s">
        <v>1963</v>
      </c>
      <c r="D513" s="2" t="s">
        <v>16</v>
      </c>
      <c r="E513" s="2">
        <v>5</v>
      </c>
      <c r="F513" s="2">
        <v>575.24</v>
      </c>
      <c r="G513" s="2" t="s">
        <v>201</v>
      </c>
      <c r="H513" s="2" t="s">
        <v>65</v>
      </c>
      <c r="I513" s="2" t="s">
        <v>50</v>
      </c>
      <c r="J513" s="2" t="s">
        <v>1964</v>
      </c>
      <c r="K513" s="2">
        <v>7</v>
      </c>
      <c r="L513" s="2" t="s">
        <v>81</v>
      </c>
      <c r="M513" s="2" t="s">
        <v>38</v>
      </c>
      <c r="N513" s="2">
        <v>2876.2</v>
      </c>
    </row>
    <row r="514" spans="1:14" ht="15" x14ac:dyDescent="0.25">
      <c r="A514" s="2" t="s">
        <v>1965</v>
      </c>
      <c r="B514" s="3">
        <v>45562</v>
      </c>
      <c r="C514" s="2" t="s">
        <v>1966</v>
      </c>
      <c r="D514" s="2" t="s">
        <v>73</v>
      </c>
      <c r="E514" s="2">
        <v>3</v>
      </c>
      <c r="F514" s="2">
        <v>568.02</v>
      </c>
      <c r="G514" s="2" t="s">
        <v>1190</v>
      </c>
      <c r="H514" s="2" t="s">
        <v>27</v>
      </c>
      <c r="I514" s="2" t="s">
        <v>89</v>
      </c>
      <c r="J514" s="2" t="s">
        <v>1967</v>
      </c>
      <c r="K514" s="2">
        <v>3</v>
      </c>
      <c r="L514" s="2" t="s">
        <v>37</v>
      </c>
      <c r="M514" s="2" t="s">
        <v>22</v>
      </c>
      <c r="N514" s="2">
        <v>1704.06</v>
      </c>
    </row>
    <row r="515" spans="1:14" ht="15" x14ac:dyDescent="0.25">
      <c r="A515" s="2" t="s">
        <v>1968</v>
      </c>
      <c r="B515" s="3">
        <v>45697</v>
      </c>
      <c r="C515" s="2" t="s">
        <v>1969</v>
      </c>
      <c r="D515" s="2" t="s">
        <v>32</v>
      </c>
      <c r="E515" s="2">
        <v>3</v>
      </c>
      <c r="F515" s="2">
        <v>94.88</v>
      </c>
      <c r="G515" s="2" t="s">
        <v>426</v>
      </c>
      <c r="H515" s="2" t="s">
        <v>60</v>
      </c>
      <c r="I515" s="2" t="s">
        <v>19</v>
      </c>
      <c r="J515" s="2" t="s">
        <v>1970</v>
      </c>
      <c r="K515" s="2">
        <v>8</v>
      </c>
      <c r="M515" s="2" t="s">
        <v>29</v>
      </c>
      <c r="N515" s="2">
        <v>284.64</v>
      </c>
    </row>
    <row r="516" spans="1:14" ht="15" x14ac:dyDescent="0.25">
      <c r="A516" s="2" t="s">
        <v>1971</v>
      </c>
      <c r="B516" s="3">
        <v>45032</v>
      </c>
      <c r="C516" s="2" t="s">
        <v>1972</v>
      </c>
      <c r="D516" s="2" t="s">
        <v>48</v>
      </c>
      <c r="E516" s="2">
        <v>3</v>
      </c>
      <c r="F516" s="2">
        <v>304.14999999999998</v>
      </c>
      <c r="G516" s="2" t="s">
        <v>1754</v>
      </c>
      <c r="H516" s="2" t="s">
        <v>60</v>
      </c>
      <c r="I516" s="2" t="s">
        <v>19</v>
      </c>
      <c r="J516" s="2" t="s">
        <v>1973</v>
      </c>
      <c r="K516" s="2">
        <v>3</v>
      </c>
      <c r="L516" s="2" t="s">
        <v>81</v>
      </c>
      <c r="M516" s="2" t="s">
        <v>22</v>
      </c>
      <c r="N516" s="2">
        <v>912.44999999999993</v>
      </c>
    </row>
    <row r="517" spans="1:14" ht="15" x14ac:dyDescent="0.25">
      <c r="A517" s="2" t="s">
        <v>1974</v>
      </c>
      <c r="B517" s="3">
        <v>44999</v>
      </c>
      <c r="C517" s="2" t="s">
        <v>1975</v>
      </c>
      <c r="D517" s="2" t="s">
        <v>25</v>
      </c>
      <c r="E517" s="2">
        <v>3</v>
      </c>
      <c r="F517" s="2">
        <v>553.52</v>
      </c>
      <c r="G517" s="2" t="s">
        <v>1743</v>
      </c>
      <c r="H517" s="2" t="s">
        <v>60</v>
      </c>
      <c r="I517" s="2" t="s">
        <v>19</v>
      </c>
      <c r="J517" s="2" t="s">
        <v>1976</v>
      </c>
      <c r="K517" s="2">
        <v>4</v>
      </c>
      <c r="L517" s="2" t="s">
        <v>37</v>
      </c>
      <c r="M517" s="2" t="s">
        <v>45</v>
      </c>
      <c r="N517" s="2">
        <v>1660.56</v>
      </c>
    </row>
    <row r="518" spans="1:14" ht="15" x14ac:dyDescent="0.25">
      <c r="A518" s="2" t="s">
        <v>1977</v>
      </c>
      <c r="B518" s="3">
        <v>45389</v>
      </c>
      <c r="C518" s="2" t="s">
        <v>1978</v>
      </c>
      <c r="D518" s="2" t="s">
        <v>16</v>
      </c>
      <c r="E518" s="2">
        <v>3</v>
      </c>
      <c r="F518" s="2">
        <v>166.99</v>
      </c>
      <c r="G518" s="2" t="s">
        <v>1172</v>
      </c>
      <c r="H518" s="2" t="s">
        <v>65</v>
      </c>
      <c r="I518" s="2" t="s">
        <v>43</v>
      </c>
      <c r="J518" s="2" t="s">
        <v>1979</v>
      </c>
      <c r="K518" s="2">
        <v>8</v>
      </c>
      <c r="M518" s="2" t="s">
        <v>45</v>
      </c>
      <c r="N518" s="2">
        <v>500.97</v>
      </c>
    </row>
    <row r="519" spans="1:14" ht="15" x14ac:dyDescent="0.25">
      <c r="A519" s="2" t="s">
        <v>1980</v>
      </c>
      <c r="B519" s="3">
        <v>45391</v>
      </c>
      <c r="C519" s="2" t="s">
        <v>1981</v>
      </c>
      <c r="D519" s="2" t="s">
        <v>32</v>
      </c>
      <c r="E519" s="2">
        <v>4</v>
      </c>
      <c r="F519" s="2">
        <v>198.35</v>
      </c>
      <c r="G519" s="2" t="s">
        <v>1849</v>
      </c>
      <c r="H519" s="2" t="s">
        <v>65</v>
      </c>
      <c r="I519" s="2" t="s">
        <v>35</v>
      </c>
      <c r="J519" s="2" t="s">
        <v>1982</v>
      </c>
      <c r="K519" s="2">
        <v>7</v>
      </c>
      <c r="L519" s="2" t="s">
        <v>37</v>
      </c>
      <c r="M519" s="2" t="s">
        <v>76</v>
      </c>
      <c r="N519" s="2">
        <v>793.4</v>
      </c>
    </row>
    <row r="520" spans="1:14" ht="15" x14ac:dyDescent="0.25">
      <c r="A520" s="2" t="s">
        <v>1983</v>
      </c>
      <c r="B520" s="3">
        <v>45821</v>
      </c>
      <c r="C520" s="2" t="s">
        <v>1984</v>
      </c>
      <c r="D520" s="2" t="s">
        <v>48</v>
      </c>
      <c r="E520" s="2">
        <v>4</v>
      </c>
      <c r="F520" s="2">
        <v>403.58</v>
      </c>
      <c r="G520" s="2" t="s">
        <v>1560</v>
      </c>
      <c r="H520" s="2" t="s">
        <v>27</v>
      </c>
      <c r="I520" s="2" t="s">
        <v>89</v>
      </c>
      <c r="J520" s="2" t="s">
        <v>1985</v>
      </c>
      <c r="K520" s="2">
        <v>9</v>
      </c>
      <c r="L520" s="2" t="s">
        <v>21</v>
      </c>
      <c r="M520" s="2" t="s">
        <v>29</v>
      </c>
      <c r="N520" s="2">
        <v>1614.32</v>
      </c>
    </row>
    <row r="521" spans="1:14" ht="15" x14ac:dyDescent="0.25">
      <c r="A521" s="2" t="s">
        <v>1986</v>
      </c>
      <c r="B521" s="3">
        <v>45787</v>
      </c>
      <c r="C521" s="2" t="s">
        <v>1987</v>
      </c>
      <c r="D521" s="2" t="s">
        <v>58</v>
      </c>
      <c r="E521" s="2">
        <v>4</v>
      </c>
      <c r="F521" s="2">
        <v>464.29</v>
      </c>
      <c r="G521" s="2" t="s">
        <v>1988</v>
      </c>
      <c r="H521" s="2" t="s">
        <v>18</v>
      </c>
      <c r="I521" s="2" t="s">
        <v>43</v>
      </c>
      <c r="J521" s="2" t="s">
        <v>1989</v>
      </c>
      <c r="K521" s="2">
        <v>5</v>
      </c>
      <c r="L521" s="2" t="s">
        <v>21</v>
      </c>
      <c r="M521" s="2" t="s">
        <v>38</v>
      </c>
      <c r="N521" s="2">
        <v>1857.16</v>
      </c>
    </row>
    <row r="522" spans="1:14" ht="15" x14ac:dyDescent="0.25">
      <c r="A522" s="2" t="s">
        <v>1990</v>
      </c>
      <c r="B522" s="3">
        <v>44995</v>
      </c>
      <c r="C522" s="2" t="s">
        <v>1991</v>
      </c>
      <c r="D522" s="2" t="s">
        <v>16</v>
      </c>
      <c r="E522" s="2">
        <v>3</v>
      </c>
      <c r="F522" s="2">
        <v>635.98</v>
      </c>
      <c r="G522" s="2" t="s">
        <v>1992</v>
      </c>
      <c r="H522" s="2" t="s">
        <v>65</v>
      </c>
      <c r="I522" s="2" t="s">
        <v>43</v>
      </c>
      <c r="J522" s="2" t="s">
        <v>1993</v>
      </c>
      <c r="K522" s="2">
        <v>5</v>
      </c>
      <c r="M522" s="2" t="s">
        <v>29</v>
      </c>
      <c r="N522" s="2">
        <v>1907.94</v>
      </c>
    </row>
    <row r="523" spans="1:14" ht="15" x14ac:dyDescent="0.25">
      <c r="A523" s="2" t="s">
        <v>1994</v>
      </c>
      <c r="B523" s="3">
        <v>45347</v>
      </c>
      <c r="C523" s="2" t="s">
        <v>1995</v>
      </c>
      <c r="D523" s="2" t="s">
        <v>25</v>
      </c>
      <c r="E523" s="2">
        <v>1</v>
      </c>
      <c r="F523" s="2">
        <v>528.05999999999995</v>
      </c>
      <c r="G523" s="2" t="s">
        <v>1996</v>
      </c>
      <c r="H523" s="2" t="s">
        <v>34</v>
      </c>
      <c r="I523" s="2" t="s">
        <v>19</v>
      </c>
      <c r="J523" s="2" t="s">
        <v>1997</v>
      </c>
      <c r="K523" s="2">
        <v>2</v>
      </c>
      <c r="M523" s="2" t="s">
        <v>45</v>
      </c>
      <c r="N523" s="2">
        <v>528.05999999999995</v>
      </c>
    </row>
    <row r="524" spans="1:14" ht="15" x14ac:dyDescent="0.25">
      <c r="A524" s="2" t="s">
        <v>1998</v>
      </c>
      <c r="B524" s="3">
        <v>45402</v>
      </c>
      <c r="C524" s="2" t="s">
        <v>1999</v>
      </c>
      <c r="D524" s="2" t="s">
        <v>41</v>
      </c>
      <c r="E524" s="2">
        <v>1</v>
      </c>
      <c r="F524" s="2">
        <v>515.32000000000005</v>
      </c>
      <c r="G524" s="2" t="s">
        <v>1121</v>
      </c>
      <c r="H524" s="2" t="s">
        <v>60</v>
      </c>
      <c r="I524" s="2" t="s">
        <v>35</v>
      </c>
      <c r="J524" s="2" t="s">
        <v>2000</v>
      </c>
      <c r="K524" s="2">
        <v>1</v>
      </c>
      <c r="L524" s="2" t="s">
        <v>37</v>
      </c>
      <c r="M524" s="2" t="s">
        <v>38</v>
      </c>
      <c r="N524" s="2">
        <v>515.32000000000005</v>
      </c>
    </row>
    <row r="525" spans="1:14" ht="15" x14ac:dyDescent="0.25">
      <c r="A525" s="2" t="s">
        <v>2001</v>
      </c>
      <c r="B525" s="3">
        <v>45706</v>
      </c>
      <c r="C525" s="2" t="s">
        <v>2002</v>
      </c>
      <c r="D525" s="2" t="s">
        <v>73</v>
      </c>
      <c r="E525" s="2">
        <v>4</v>
      </c>
      <c r="F525" s="2">
        <v>657.79</v>
      </c>
      <c r="G525" s="2" t="s">
        <v>1620</v>
      </c>
      <c r="H525" s="2" t="s">
        <v>34</v>
      </c>
      <c r="I525" s="2" t="s">
        <v>43</v>
      </c>
      <c r="J525" s="2" t="s">
        <v>2003</v>
      </c>
      <c r="K525" s="2">
        <v>6</v>
      </c>
      <c r="L525" s="2" t="s">
        <v>81</v>
      </c>
      <c r="M525" s="2" t="s">
        <v>76</v>
      </c>
      <c r="N525" s="2">
        <v>2631.16</v>
      </c>
    </row>
    <row r="526" spans="1:14" ht="15" x14ac:dyDescent="0.25">
      <c r="A526" s="2" t="s">
        <v>2004</v>
      </c>
      <c r="B526" s="3">
        <v>45224</v>
      </c>
      <c r="C526" s="2" t="s">
        <v>2005</v>
      </c>
      <c r="D526" s="2" t="s">
        <v>25</v>
      </c>
      <c r="E526" s="2">
        <v>1</v>
      </c>
      <c r="F526" s="2">
        <v>153</v>
      </c>
      <c r="G526" s="2" t="s">
        <v>351</v>
      </c>
      <c r="H526" s="2" t="s">
        <v>34</v>
      </c>
      <c r="I526" s="2" t="s">
        <v>43</v>
      </c>
      <c r="J526" s="2" t="s">
        <v>2006</v>
      </c>
      <c r="K526" s="2">
        <v>4</v>
      </c>
      <c r="M526" s="2" t="s">
        <v>29</v>
      </c>
      <c r="N526" s="2">
        <v>153</v>
      </c>
    </row>
    <row r="527" spans="1:14" ht="15" x14ac:dyDescent="0.25">
      <c r="A527" s="2" t="s">
        <v>2007</v>
      </c>
      <c r="B527" s="3">
        <v>45263</v>
      </c>
      <c r="C527" s="2" t="s">
        <v>2008</v>
      </c>
      <c r="D527" s="2" t="s">
        <v>16</v>
      </c>
      <c r="E527" s="2">
        <v>1</v>
      </c>
      <c r="F527" s="2">
        <v>668.48</v>
      </c>
      <c r="G527" s="2" t="s">
        <v>1743</v>
      </c>
      <c r="H527" s="2" t="s">
        <v>18</v>
      </c>
      <c r="I527" s="2" t="s">
        <v>19</v>
      </c>
      <c r="J527" s="2" t="s">
        <v>2009</v>
      </c>
      <c r="K527" s="2">
        <v>1</v>
      </c>
      <c r="L527" s="2" t="s">
        <v>21</v>
      </c>
      <c r="M527" s="2" t="s">
        <v>38</v>
      </c>
      <c r="N527" s="2">
        <v>668.48</v>
      </c>
    </row>
    <row r="528" spans="1:14" ht="15" x14ac:dyDescent="0.25">
      <c r="A528" s="2" t="s">
        <v>2010</v>
      </c>
      <c r="B528" s="3">
        <v>45351</v>
      </c>
      <c r="C528" s="2" t="s">
        <v>2011</v>
      </c>
      <c r="D528" s="2" t="s">
        <v>73</v>
      </c>
      <c r="E528" s="2">
        <v>2</v>
      </c>
      <c r="F528" s="2">
        <v>46.5</v>
      </c>
      <c r="G528" s="2" t="s">
        <v>407</v>
      </c>
      <c r="H528" s="2" t="s">
        <v>65</v>
      </c>
      <c r="I528" s="2" t="s">
        <v>43</v>
      </c>
      <c r="J528" s="2" t="s">
        <v>2012</v>
      </c>
      <c r="K528" s="2">
        <v>7</v>
      </c>
      <c r="L528" s="2" t="s">
        <v>81</v>
      </c>
      <c r="M528" s="2" t="s">
        <v>76</v>
      </c>
      <c r="N528" s="2">
        <v>93</v>
      </c>
    </row>
    <row r="529" spans="1:14" ht="15" x14ac:dyDescent="0.25">
      <c r="A529" s="2" t="s">
        <v>2013</v>
      </c>
      <c r="B529" s="3">
        <v>45523</v>
      </c>
      <c r="C529" s="2" t="s">
        <v>2014</v>
      </c>
      <c r="D529" s="2" t="s">
        <v>41</v>
      </c>
      <c r="E529" s="2">
        <v>5</v>
      </c>
      <c r="F529" s="2">
        <v>653.47</v>
      </c>
      <c r="G529" s="2" t="s">
        <v>371</v>
      </c>
      <c r="H529" s="2" t="s">
        <v>34</v>
      </c>
      <c r="I529" s="2" t="s">
        <v>35</v>
      </c>
      <c r="J529" s="2" t="s">
        <v>2015</v>
      </c>
      <c r="K529" s="2">
        <v>10</v>
      </c>
      <c r="L529" s="2" t="s">
        <v>21</v>
      </c>
      <c r="M529" s="2" t="s">
        <v>29</v>
      </c>
      <c r="N529" s="2">
        <v>3267.35</v>
      </c>
    </row>
    <row r="530" spans="1:14" ht="15" x14ac:dyDescent="0.25">
      <c r="A530" s="2" t="s">
        <v>2016</v>
      </c>
      <c r="B530" s="3">
        <v>45714</v>
      </c>
      <c r="C530" s="2" t="s">
        <v>2017</v>
      </c>
      <c r="D530" s="2" t="s">
        <v>41</v>
      </c>
      <c r="E530" s="2">
        <v>1</v>
      </c>
      <c r="F530" s="2">
        <v>628.89</v>
      </c>
      <c r="G530" s="2" t="s">
        <v>1758</v>
      </c>
      <c r="H530" s="2" t="s">
        <v>34</v>
      </c>
      <c r="I530" s="2" t="s">
        <v>43</v>
      </c>
      <c r="J530" s="2" t="s">
        <v>2018</v>
      </c>
      <c r="K530" s="2">
        <v>2</v>
      </c>
      <c r="L530" s="2" t="s">
        <v>21</v>
      </c>
      <c r="M530" s="2" t="s">
        <v>29</v>
      </c>
      <c r="N530" s="2">
        <v>628.89</v>
      </c>
    </row>
    <row r="531" spans="1:14" ht="15" x14ac:dyDescent="0.25">
      <c r="A531" s="2" t="s">
        <v>2019</v>
      </c>
      <c r="B531" s="3">
        <v>45389</v>
      </c>
      <c r="C531" s="2" t="s">
        <v>2020</v>
      </c>
      <c r="D531" s="2" t="s">
        <v>32</v>
      </c>
      <c r="E531" s="2">
        <v>2</v>
      </c>
      <c r="F531" s="2">
        <v>675.1</v>
      </c>
      <c r="G531" s="2" t="s">
        <v>2021</v>
      </c>
      <c r="H531" s="2" t="s">
        <v>65</v>
      </c>
      <c r="I531" s="2" t="s">
        <v>89</v>
      </c>
      <c r="J531" s="2" t="s">
        <v>2022</v>
      </c>
      <c r="K531" s="2">
        <v>4</v>
      </c>
      <c r="L531" s="2" t="s">
        <v>37</v>
      </c>
      <c r="M531" s="2" t="s">
        <v>76</v>
      </c>
      <c r="N531" s="2">
        <v>1350.2</v>
      </c>
    </row>
    <row r="532" spans="1:14" ht="15" x14ac:dyDescent="0.25">
      <c r="A532" s="2" t="s">
        <v>2023</v>
      </c>
      <c r="B532" s="3">
        <v>45491</v>
      </c>
      <c r="C532" s="2" t="s">
        <v>2024</v>
      </c>
      <c r="D532" s="2" t="s">
        <v>41</v>
      </c>
      <c r="E532" s="2">
        <v>4</v>
      </c>
      <c r="F532" s="2">
        <v>89.41</v>
      </c>
      <c r="G532" s="2" t="s">
        <v>2025</v>
      </c>
      <c r="H532" s="2" t="s">
        <v>27</v>
      </c>
      <c r="I532" s="2" t="s">
        <v>89</v>
      </c>
      <c r="J532" s="2" t="s">
        <v>2026</v>
      </c>
      <c r="K532" s="2">
        <v>9</v>
      </c>
      <c r="M532" s="2" t="s">
        <v>76</v>
      </c>
      <c r="N532" s="2">
        <v>357.64</v>
      </c>
    </row>
    <row r="533" spans="1:14" ht="15" x14ac:dyDescent="0.25">
      <c r="A533" s="2" t="s">
        <v>2027</v>
      </c>
      <c r="B533" s="3">
        <v>45475</v>
      </c>
      <c r="C533" s="2" t="s">
        <v>2028</v>
      </c>
      <c r="D533" s="2" t="s">
        <v>73</v>
      </c>
      <c r="E533" s="2">
        <v>5</v>
      </c>
      <c r="F533" s="2">
        <v>320.01</v>
      </c>
      <c r="G533" s="2" t="s">
        <v>2029</v>
      </c>
      <c r="H533" s="2" t="s">
        <v>60</v>
      </c>
      <c r="I533" s="2" t="s">
        <v>50</v>
      </c>
      <c r="J533" s="2" t="s">
        <v>2030</v>
      </c>
      <c r="K533" s="2">
        <v>6</v>
      </c>
      <c r="M533" s="2" t="s">
        <v>29</v>
      </c>
      <c r="N533" s="2">
        <v>1600.05</v>
      </c>
    </row>
    <row r="534" spans="1:14" ht="15" x14ac:dyDescent="0.25">
      <c r="A534" s="2" t="s">
        <v>2031</v>
      </c>
      <c r="B534" s="3">
        <v>45780</v>
      </c>
      <c r="C534" s="2" t="s">
        <v>2032</v>
      </c>
      <c r="D534" s="2" t="s">
        <v>58</v>
      </c>
      <c r="E534" s="2">
        <v>2</v>
      </c>
      <c r="F534" s="2">
        <v>41</v>
      </c>
      <c r="G534" s="2" t="s">
        <v>2033</v>
      </c>
      <c r="H534" s="2" t="s">
        <v>27</v>
      </c>
      <c r="I534" s="2" t="s">
        <v>50</v>
      </c>
      <c r="J534" s="2" t="s">
        <v>2034</v>
      </c>
      <c r="K534" s="2">
        <v>7</v>
      </c>
      <c r="M534" s="2" t="s">
        <v>38</v>
      </c>
      <c r="N534" s="2">
        <v>82</v>
      </c>
    </row>
    <row r="535" spans="1:14" ht="15" x14ac:dyDescent="0.25">
      <c r="A535" s="2" t="s">
        <v>2035</v>
      </c>
      <c r="B535" s="3">
        <v>44990</v>
      </c>
      <c r="C535" s="2" t="s">
        <v>2036</v>
      </c>
      <c r="D535" s="2" t="s">
        <v>73</v>
      </c>
      <c r="E535" s="2">
        <v>1</v>
      </c>
      <c r="F535" s="2">
        <v>565.85</v>
      </c>
      <c r="G535" s="2" t="s">
        <v>301</v>
      </c>
      <c r="H535" s="2" t="s">
        <v>60</v>
      </c>
      <c r="I535" s="2" t="s">
        <v>43</v>
      </c>
      <c r="J535" s="2" t="s">
        <v>2037</v>
      </c>
      <c r="K535" s="2">
        <v>1</v>
      </c>
      <c r="L535" s="2" t="s">
        <v>37</v>
      </c>
      <c r="M535" s="2" t="s">
        <v>45</v>
      </c>
      <c r="N535" s="2">
        <v>565.85</v>
      </c>
    </row>
    <row r="536" spans="1:14" ht="15" x14ac:dyDescent="0.25">
      <c r="A536" s="2" t="s">
        <v>2038</v>
      </c>
      <c r="B536" s="3">
        <v>45449</v>
      </c>
      <c r="C536" s="2" t="s">
        <v>2039</v>
      </c>
      <c r="D536" s="2" t="s">
        <v>41</v>
      </c>
      <c r="E536" s="2">
        <v>3</v>
      </c>
      <c r="F536" s="2">
        <v>648.59</v>
      </c>
      <c r="G536" s="2" t="s">
        <v>2040</v>
      </c>
      <c r="H536" s="2" t="s">
        <v>18</v>
      </c>
      <c r="I536" s="2" t="s">
        <v>35</v>
      </c>
      <c r="J536" s="2" t="s">
        <v>2041</v>
      </c>
      <c r="K536" s="2">
        <v>4</v>
      </c>
      <c r="L536" s="2" t="s">
        <v>21</v>
      </c>
      <c r="M536" s="2" t="s">
        <v>38</v>
      </c>
      <c r="N536" s="2">
        <v>1945.77</v>
      </c>
    </row>
    <row r="537" spans="1:14" ht="15" x14ac:dyDescent="0.25">
      <c r="A537" s="2" t="s">
        <v>2042</v>
      </c>
      <c r="B537" s="3">
        <v>45497</v>
      </c>
      <c r="C537" s="2" t="s">
        <v>2043</v>
      </c>
      <c r="D537" s="2" t="s">
        <v>16</v>
      </c>
      <c r="E537" s="2">
        <v>3</v>
      </c>
      <c r="F537" s="2">
        <v>68.12</v>
      </c>
      <c r="G537" s="2" t="s">
        <v>723</v>
      </c>
      <c r="H537" s="2" t="s">
        <v>27</v>
      </c>
      <c r="I537" s="2" t="s">
        <v>35</v>
      </c>
      <c r="J537" s="2" t="s">
        <v>2044</v>
      </c>
      <c r="K537" s="2">
        <v>3</v>
      </c>
      <c r="L537" s="2" t="s">
        <v>37</v>
      </c>
      <c r="M537" s="2" t="s">
        <v>38</v>
      </c>
      <c r="N537" s="2">
        <v>204.36</v>
      </c>
    </row>
    <row r="538" spans="1:14" ht="15" x14ac:dyDescent="0.25">
      <c r="A538" s="2" t="s">
        <v>2045</v>
      </c>
      <c r="B538" s="3">
        <v>45452</v>
      </c>
      <c r="C538" s="2" t="s">
        <v>2046</v>
      </c>
      <c r="D538" s="2" t="s">
        <v>41</v>
      </c>
      <c r="E538" s="2">
        <v>1</v>
      </c>
      <c r="F538" s="2">
        <v>616.1</v>
      </c>
      <c r="G538" s="2" t="s">
        <v>2047</v>
      </c>
      <c r="H538" s="2" t="s">
        <v>65</v>
      </c>
      <c r="I538" s="2" t="s">
        <v>43</v>
      </c>
      <c r="J538" s="2" t="s">
        <v>2048</v>
      </c>
      <c r="K538" s="2">
        <v>6</v>
      </c>
      <c r="M538" s="2" t="s">
        <v>38</v>
      </c>
      <c r="N538" s="2">
        <v>616.1</v>
      </c>
    </row>
    <row r="539" spans="1:14" ht="15" x14ac:dyDescent="0.25">
      <c r="A539" s="2" t="s">
        <v>2049</v>
      </c>
      <c r="B539" s="3">
        <v>45739</v>
      </c>
      <c r="C539" s="2" t="s">
        <v>2050</v>
      </c>
      <c r="D539" s="2" t="s">
        <v>32</v>
      </c>
      <c r="E539" s="2">
        <v>3</v>
      </c>
      <c r="F539" s="2">
        <v>247.47</v>
      </c>
      <c r="G539" s="2" t="s">
        <v>297</v>
      </c>
      <c r="H539" s="2" t="s">
        <v>27</v>
      </c>
      <c r="I539" s="2" t="s">
        <v>50</v>
      </c>
      <c r="J539" s="2" t="s">
        <v>2051</v>
      </c>
      <c r="K539" s="2">
        <v>4</v>
      </c>
      <c r="L539" s="2" t="s">
        <v>21</v>
      </c>
      <c r="M539" s="2" t="s">
        <v>45</v>
      </c>
      <c r="N539" s="2">
        <v>742.41</v>
      </c>
    </row>
    <row r="540" spans="1:14" ht="15" x14ac:dyDescent="0.25">
      <c r="A540" s="2" t="s">
        <v>2052</v>
      </c>
      <c r="B540" s="3">
        <v>45436</v>
      </c>
      <c r="C540" s="2" t="s">
        <v>2053</v>
      </c>
      <c r="D540" s="2" t="s">
        <v>25</v>
      </c>
      <c r="E540" s="2">
        <v>3</v>
      </c>
      <c r="F540" s="2">
        <v>490.74</v>
      </c>
      <c r="G540" s="2" t="s">
        <v>2054</v>
      </c>
      <c r="H540" s="2" t="s">
        <v>65</v>
      </c>
      <c r="I540" s="2" t="s">
        <v>19</v>
      </c>
      <c r="J540" s="2" t="s">
        <v>2055</v>
      </c>
      <c r="K540" s="2">
        <v>3</v>
      </c>
      <c r="L540" s="2" t="s">
        <v>81</v>
      </c>
      <c r="M540" s="2" t="s">
        <v>38</v>
      </c>
      <c r="N540" s="2">
        <v>1472.22</v>
      </c>
    </row>
    <row r="541" spans="1:14" ht="15" x14ac:dyDescent="0.25">
      <c r="A541" s="2" t="s">
        <v>2056</v>
      </c>
      <c r="B541" s="3">
        <v>45706</v>
      </c>
      <c r="C541" s="2" t="s">
        <v>2057</v>
      </c>
      <c r="D541" s="2" t="s">
        <v>73</v>
      </c>
      <c r="E541" s="2">
        <v>3</v>
      </c>
      <c r="F541" s="2">
        <v>531.72</v>
      </c>
      <c r="G541" s="2" t="s">
        <v>2058</v>
      </c>
      <c r="H541" s="2" t="s">
        <v>60</v>
      </c>
      <c r="I541" s="2" t="s">
        <v>50</v>
      </c>
      <c r="J541" s="2" t="s">
        <v>2059</v>
      </c>
      <c r="K541" s="2">
        <v>7</v>
      </c>
      <c r="L541" s="2" t="s">
        <v>21</v>
      </c>
      <c r="M541" s="2" t="s">
        <v>76</v>
      </c>
      <c r="N541" s="2">
        <v>1595.16</v>
      </c>
    </row>
    <row r="542" spans="1:14" ht="15" x14ac:dyDescent="0.25">
      <c r="A542" s="2" t="s">
        <v>2060</v>
      </c>
      <c r="B542" s="3">
        <v>45320</v>
      </c>
      <c r="C542" s="2" t="s">
        <v>2061</v>
      </c>
      <c r="D542" s="2" t="s">
        <v>58</v>
      </c>
      <c r="E542" s="2">
        <v>5</v>
      </c>
      <c r="F542" s="2">
        <v>648.65</v>
      </c>
      <c r="G542" s="2" t="s">
        <v>2062</v>
      </c>
      <c r="H542" s="2" t="s">
        <v>27</v>
      </c>
      <c r="I542" s="2" t="s">
        <v>89</v>
      </c>
      <c r="J542" s="2" t="s">
        <v>2063</v>
      </c>
      <c r="K542" s="2">
        <v>7</v>
      </c>
      <c r="M542" s="2" t="s">
        <v>29</v>
      </c>
      <c r="N542" s="2">
        <v>3243.25</v>
      </c>
    </row>
    <row r="543" spans="1:14" ht="15" x14ac:dyDescent="0.25">
      <c r="A543" s="2" t="s">
        <v>2064</v>
      </c>
      <c r="B543" s="3">
        <v>45145</v>
      </c>
      <c r="C543" s="2" t="s">
        <v>2065</v>
      </c>
      <c r="D543" s="2" t="s">
        <v>48</v>
      </c>
      <c r="E543" s="2">
        <v>5</v>
      </c>
      <c r="F543" s="2">
        <v>456.06</v>
      </c>
      <c r="G543" s="2" t="s">
        <v>2066</v>
      </c>
      <c r="H543" s="2" t="s">
        <v>65</v>
      </c>
      <c r="I543" s="2" t="s">
        <v>89</v>
      </c>
      <c r="J543" s="2" t="s">
        <v>2067</v>
      </c>
      <c r="K543" s="2">
        <v>10</v>
      </c>
      <c r="M543" s="2" t="s">
        <v>22</v>
      </c>
      <c r="N543" s="2">
        <v>2280.3000000000002</v>
      </c>
    </row>
    <row r="544" spans="1:14" ht="15" x14ac:dyDescent="0.25">
      <c r="A544" s="2" t="s">
        <v>2068</v>
      </c>
      <c r="B544" s="3">
        <v>45244</v>
      </c>
      <c r="C544" s="2" t="s">
        <v>2069</v>
      </c>
      <c r="D544" s="2" t="s">
        <v>32</v>
      </c>
      <c r="E544" s="2">
        <v>1</v>
      </c>
      <c r="F544" s="2">
        <v>17.98</v>
      </c>
      <c r="G544" s="2" t="s">
        <v>54</v>
      </c>
      <c r="H544" s="2" t="s">
        <v>65</v>
      </c>
      <c r="I544" s="2" t="s">
        <v>35</v>
      </c>
      <c r="J544" s="2" t="s">
        <v>2070</v>
      </c>
      <c r="K544" s="2">
        <v>6</v>
      </c>
      <c r="L544" s="2" t="s">
        <v>37</v>
      </c>
      <c r="M544" s="2" t="s">
        <v>38</v>
      </c>
      <c r="N544" s="2">
        <v>17.98</v>
      </c>
    </row>
    <row r="545" spans="1:14" ht="15" x14ac:dyDescent="0.25">
      <c r="A545" s="2" t="s">
        <v>2071</v>
      </c>
      <c r="B545" s="3">
        <v>45360</v>
      </c>
      <c r="C545" s="2" t="s">
        <v>2072</v>
      </c>
      <c r="D545" s="2" t="s">
        <v>73</v>
      </c>
      <c r="E545" s="2">
        <v>5</v>
      </c>
      <c r="F545" s="2">
        <v>269.86</v>
      </c>
      <c r="G545" s="2" t="s">
        <v>731</v>
      </c>
      <c r="H545" s="2" t="s">
        <v>65</v>
      </c>
      <c r="I545" s="2" t="s">
        <v>19</v>
      </c>
      <c r="J545" s="2" t="s">
        <v>2073</v>
      </c>
      <c r="K545" s="2">
        <v>6</v>
      </c>
      <c r="L545" s="2" t="s">
        <v>81</v>
      </c>
      <c r="M545" s="2" t="s">
        <v>45</v>
      </c>
      <c r="N545" s="2">
        <v>1349.3</v>
      </c>
    </row>
    <row r="546" spans="1:14" ht="15" x14ac:dyDescent="0.25">
      <c r="A546" s="2" t="s">
        <v>2074</v>
      </c>
      <c r="B546" s="3">
        <v>45361</v>
      </c>
      <c r="C546" s="2" t="s">
        <v>2075</v>
      </c>
      <c r="D546" s="2" t="s">
        <v>48</v>
      </c>
      <c r="E546" s="2">
        <v>5</v>
      </c>
      <c r="F546" s="2">
        <v>31.96</v>
      </c>
      <c r="G546" s="2" t="s">
        <v>1515</v>
      </c>
      <c r="H546" s="2" t="s">
        <v>34</v>
      </c>
      <c r="I546" s="2" t="s">
        <v>43</v>
      </c>
      <c r="J546" s="2" t="s">
        <v>2076</v>
      </c>
      <c r="K546" s="2">
        <v>5</v>
      </c>
      <c r="L546" s="2" t="s">
        <v>37</v>
      </c>
      <c r="M546" s="2" t="s">
        <v>29</v>
      </c>
      <c r="N546" s="2">
        <v>159.80000000000001</v>
      </c>
    </row>
    <row r="547" spans="1:14" ht="15" x14ac:dyDescent="0.25">
      <c r="A547" s="2" t="s">
        <v>2077</v>
      </c>
      <c r="B547" s="3">
        <v>45279</v>
      </c>
      <c r="C547" s="2" t="s">
        <v>2078</v>
      </c>
      <c r="D547" s="2" t="s">
        <v>16</v>
      </c>
      <c r="E547" s="2">
        <v>2</v>
      </c>
      <c r="F547" s="2">
        <v>98.47</v>
      </c>
      <c r="G547" s="2" t="s">
        <v>2079</v>
      </c>
      <c r="H547" s="2" t="s">
        <v>65</v>
      </c>
      <c r="I547" s="2" t="s">
        <v>43</v>
      </c>
      <c r="J547" s="2" t="s">
        <v>2080</v>
      </c>
      <c r="K547" s="2">
        <v>3</v>
      </c>
      <c r="M547" s="2" t="s">
        <v>22</v>
      </c>
      <c r="N547" s="2">
        <v>196.94</v>
      </c>
    </row>
    <row r="548" spans="1:14" ht="15" x14ac:dyDescent="0.25">
      <c r="A548" s="2" t="s">
        <v>2081</v>
      </c>
      <c r="B548" s="3">
        <v>45352</v>
      </c>
      <c r="C548" s="2" t="s">
        <v>2082</v>
      </c>
      <c r="D548" s="2" t="s">
        <v>16</v>
      </c>
      <c r="E548" s="2">
        <v>1</v>
      </c>
      <c r="F548" s="2">
        <v>158.68</v>
      </c>
      <c r="G548" s="2" t="s">
        <v>17</v>
      </c>
      <c r="H548" s="2" t="s">
        <v>34</v>
      </c>
      <c r="I548" s="2" t="s">
        <v>43</v>
      </c>
      <c r="J548" s="2" t="s">
        <v>2083</v>
      </c>
      <c r="K548" s="2">
        <v>6</v>
      </c>
      <c r="L548" s="2" t="s">
        <v>81</v>
      </c>
      <c r="M548" s="2" t="s">
        <v>22</v>
      </c>
      <c r="N548" s="2">
        <v>158.68</v>
      </c>
    </row>
    <row r="549" spans="1:14" ht="15" x14ac:dyDescent="0.25">
      <c r="A549" s="2" t="s">
        <v>2084</v>
      </c>
      <c r="B549" s="3">
        <v>45158</v>
      </c>
      <c r="C549" s="2" t="s">
        <v>2085</v>
      </c>
      <c r="D549" s="2" t="s">
        <v>25</v>
      </c>
      <c r="E549" s="2">
        <v>1</v>
      </c>
      <c r="F549" s="2">
        <v>613.98</v>
      </c>
      <c r="G549" s="2" t="s">
        <v>2086</v>
      </c>
      <c r="H549" s="2" t="s">
        <v>27</v>
      </c>
      <c r="I549" s="2" t="s">
        <v>50</v>
      </c>
      <c r="J549" s="2" t="s">
        <v>2087</v>
      </c>
      <c r="K549" s="2">
        <v>4</v>
      </c>
      <c r="L549" s="2" t="s">
        <v>37</v>
      </c>
      <c r="M549" s="2" t="s">
        <v>45</v>
      </c>
      <c r="N549" s="2">
        <v>613.98</v>
      </c>
    </row>
    <row r="550" spans="1:14" ht="15" x14ac:dyDescent="0.25">
      <c r="A550" s="2" t="s">
        <v>2088</v>
      </c>
      <c r="B550" s="3">
        <v>45296</v>
      </c>
      <c r="C550" s="2" t="s">
        <v>2089</v>
      </c>
      <c r="D550" s="2" t="s">
        <v>48</v>
      </c>
      <c r="E550" s="2">
        <v>3</v>
      </c>
      <c r="F550" s="2">
        <v>426.12</v>
      </c>
      <c r="G550" s="2" t="s">
        <v>422</v>
      </c>
      <c r="H550" s="2" t="s">
        <v>27</v>
      </c>
      <c r="I550" s="2" t="s">
        <v>50</v>
      </c>
      <c r="J550" s="2" t="s">
        <v>2090</v>
      </c>
      <c r="K550" s="2">
        <v>5</v>
      </c>
      <c r="L550" s="2" t="s">
        <v>81</v>
      </c>
      <c r="M550" s="2" t="s">
        <v>22</v>
      </c>
      <c r="N550" s="2">
        <v>1278.3599999999999</v>
      </c>
    </row>
    <row r="551" spans="1:14" ht="15" x14ac:dyDescent="0.25">
      <c r="A551" s="2" t="s">
        <v>2091</v>
      </c>
      <c r="B551" s="3">
        <v>45713</v>
      </c>
      <c r="C551" s="2" t="s">
        <v>2092</v>
      </c>
      <c r="D551" s="2" t="s">
        <v>16</v>
      </c>
      <c r="E551" s="2">
        <v>4</v>
      </c>
      <c r="F551" s="2">
        <v>629.88</v>
      </c>
      <c r="G551" s="2" t="s">
        <v>2093</v>
      </c>
      <c r="H551" s="2" t="s">
        <v>18</v>
      </c>
      <c r="I551" s="2" t="s">
        <v>35</v>
      </c>
      <c r="J551" s="2" t="s">
        <v>2094</v>
      </c>
      <c r="K551" s="2">
        <v>8</v>
      </c>
      <c r="L551" s="2" t="s">
        <v>81</v>
      </c>
      <c r="M551" s="2" t="s">
        <v>22</v>
      </c>
      <c r="N551" s="2">
        <v>2519.52</v>
      </c>
    </row>
    <row r="552" spans="1:14" ht="15" x14ac:dyDescent="0.25">
      <c r="A552" s="2" t="s">
        <v>2095</v>
      </c>
      <c r="B552" s="3">
        <v>45228</v>
      </c>
      <c r="C552" s="2" t="s">
        <v>2096</v>
      </c>
      <c r="D552" s="2" t="s">
        <v>58</v>
      </c>
      <c r="E552" s="2">
        <v>4</v>
      </c>
      <c r="F552" s="2">
        <v>228.91</v>
      </c>
      <c r="G552" s="2" t="s">
        <v>599</v>
      </c>
      <c r="H552" s="2" t="s">
        <v>65</v>
      </c>
      <c r="I552" s="2" t="s">
        <v>19</v>
      </c>
      <c r="J552" s="2" t="s">
        <v>2097</v>
      </c>
      <c r="K552" s="2">
        <v>4</v>
      </c>
      <c r="L552" s="2" t="s">
        <v>37</v>
      </c>
      <c r="M552" s="2" t="s">
        <v>76</v>
      </c>
      <c r="N552" s="2">
        <v>915.64</v>
      </c>
    </row>
    <row r="553" spans="1:14" ht="15" x14ac:dyDescent="0.25">
      <c r="A553" s="2" t="s">
        <v>2098</v>
      </c>
      <c r="B553" s="3">
        <v>45064</v>
      </c>
      <c r="C553" s="2" t="s">
        <v>2099</v>
      </c>
      <c r="D553" s="2" t="s">
        <v>58</v>
      </c>
      <c r="E553" s="2">
        <v>1</v>
      </c>
      <c r="F553" s="2">
        <v>120.98</v>
      </c>
      <c r="G553" s="2" t="s">
        <v>537</v>
      </c>
      <c r="H553" s="2" t="s">
        <v>18</v>
      </c>
      <c r="I553" s="2" t="s">
        <v>50</v>
      </c>
      <c r="J553" s="2" t="s">
        <v>2100</v>
      </c>
      <c r="K553" s="2">
        <v>6</v>
      </c>
      <c r="L553" s="2" t="s">
        <v>81</v>
      </c>
      <c r="M553" s="2" t="s">
        <v>38</v>
      </c>
      <c r="N553" s="2">
        <v>120.98</v>
      </c>
    </row>
    <row r="554" spans="1:14" ht="15" x14ac:dyDescent="0.25">
      <c r="A554" s="2" t="s">
        <v>2101</v>
      </c>
      <c r="B554" s="3">
        <v>45199</v>
      </c>
      <c r="C554" s="2" t="s">
        <v>2102</v>
      </c>
      <c r="D554" s="2" t="s">
        <v>41</v>
      </c>
      <c r="E554" s="2">
        <v>4</v>
      </c>
      <c r="F554" s="2">
        <v>425.18</v>
      </c>
      <c r="G554" s="2" t="s">
        <v>1956</v>
      </c>
      <c r="H554" s="2" t="s">
        <v>27</v>
      </c>
      <c r="I554" s="2" t="s">
        <v>43</v>
      </c>
      <c r="J554" s="2" t="s">
        <v>2103</v>
      </c>
      <c r="K554" s="2">
        <v>8</v>
      </c>
      <c r="L554" s="2" t="s">
        <v>81</v>
      </c>
      <c r="M554" s="2" t="s">
        <v>45</v>
      </c>
      <c r="N554" s="2">
        <v>1700.72</v>
      </c>
    </row>
    <row r="555" spans="1:14" ht="15" x14ac:dyDescent="0.25">
      <c r="A555" s="2" t="s">
        <v>2104</v>
      </c>
      <c r="B555" s="3">
        <v>45161</v>
      </c>
      <c r="C555" s="2" t="s">
        <v>2105</v>
      </c>
      <c r="D555" s="2" t="s">
        <v>25</v>
      </c>
      <c r="E555" s="2">
        <v>2</v>
      </c>
      <c r="F555" s="2">
        <v>333.83</v>
      </c>
      <c r="G555" s="2" t="s">
        <v>2106</v>
      </c>
      <c r="H555" s="2" t="s">
        <v>60</v>
      </c>
      <c r="I555" s="2" t="s">
        <v>35</v>
      </c>
      <c r="J555" s="2" t="s">
        <v>2107</v>
      </c>
      <c r="K555" s="2">
        <v>4</v>
      </c>
      <c r="L555" s="2" t="s">
        <v>37</v>
      </c>
      <c r="M555" s="2" t="s">
        <v>29</v>
      </c>
      <c r="N555" s="2">
        <v>667.66</v>
      </c>
    </row>
    <row r="556" spans="1:14" ht="15" x14ac:dyDescent="0.25">
      <c r="A556" s="2" t="s">
        <v>2108</v>
      </c>
      <c r="B556" s="3">
        <v>45807</v>
      </c>
      <c r="C556" s="2" t="s">
        <v>2109</v>
      </c>
      <c r="D556" s="2" t="s">
        <v>58</v>
      </c>
      <c r="E556" s="2">
        <v>2</v>
      </c>
      <c r="F556" s="2">
        <v>492.9</v>
      </c>
      <c r="G556" s="2" t="s">
        <v>937</v>
      </c>
      <c r="H556" s="2" t="s">
        <v>65</v>
      </c>
      <c r="I556" s="2" t="s">
        <v>43</v>
      </c>
      <c r="J556" s="2" t="s">
        <v>2110</v>
      </c>
      <c r="K556" s="2">
        <v>5</v>
      </c>
      <c r="L556" s="2" t="s">
        <v>37</v>
      </c>
      <c r="M556" s="2" t="s">
        <v>22</v>
      </c>
      <c r="N556" s="2">
        <v>985.8</v>
      </c>
    </row>
    <row r="557" spans="1:14" ht="15" x14ac:dyDescent="0.25">
      <c r="A557" s="2" t="s">
        <v>2111</v>
      </c>
      <c r="B557" s="3">
        <v>44933</v>
      </c>
      <c r="C557" s="2" t="s">
        <v>2112</v>
      </c>
      <c r="D557" s="2" t="s">
        <v>32</v>
      </c>
      <c r="E557" s="2">
        <v>1</v>
      </c>
      <c r="F557" s="2">
        <v>92.04</v>
      </c>
      <c r="G557" s="2" t="s">
        <v>79</v>
      </c>
      <c r="H557" s="2" t="s">
        <v>65</v>
      </c>
      <c r="I557" s="2" t="s">
        <v>19</v>
      </c>
      <c r="J557" s="2" t="s">
        <v>2113</v>
      </c>
      <c r="K557" s="2">
        <v>2</v>
      </c>
      <c r="M557" s="2" t="s">
        <v>45</v>
      </c>
      <c r="N557" s="2">
        <v>92.04</v>
      </c>
    </row>
    <row r="558" spans="1:14" ht="15" x14ac:dyDescent="0.25">
      <c r="A558" s="2" t="s">
        <v>2114</v>
      </c>
      <c r="B558" s="3">
        <v>44954</v>
      </c>
      <c r="C558" s="2" t="s">
        <v>2115</v>
      </c>
      <c r="D558" s="2" t="s">
        <v>58</v>
      </c>
      <c r="E558" s="2">
        <v>1</v>
      </c>
      <c r="F558" s="2">
        <v>654.27</v>
      </c>
      <c r="G558" s="2" t="s">
        <v>2116</v>
      </c>
      <c r="H558" s="2" t="s">
        <v>60</v>
      </c>
      <c r="I558" s="2" t="s">
        <v>89</v>
      </c>
      <c r="J558" s="2" t="s">
        <v>2117</v>
      </c>
      <c r="K558" s="2">
        <v>2</v>
      </c>
      <c r="L558" s="2" t="s">
        <v>21</v>
      </c>
      <c r="M558" s="2" t="s">
        <v>45</v>
      </c>
      <c r="N558" s="2">
        <v>654.27</v>
      </c>
    </row>
    <row r="559" spans="1:14" ht="15" x14ac:dyDescent="0.25">
      <c r="A559" s="2" t="s">
        <v>2118</v>
      </c>
      <c r="B559" s="3">
        <v>45106</v>
      </c>
      <c r="C559" s="2" t="s">
        <v>2119</v>
      </c>
      <c r="D559" s="2" t="s">
        <v>32</v>
      </c>
      <c r="E559" s="2">
        <v>1</v>
      </c>
      <c r="F559" s="2">
        <v>56.2</v>
      </c>
      <c r="G559" s="2" t="s">
        <v>2120</v>
      </c>
      <c r="H559" s="2" t="s">
        <v>18</v>
      </c>
      <c r="I559" s="2" t="s">
        <v>89</v>
      </c>
      <c r="J559" s="2" t="s">
        <v>2121</v>
      </c>
      <c r="K559" s="2">
        <v>1</v>
      </c>
      <c r="L559" s="2" t="s">
        <v>81</v>
      </c>
      <c r="M559" s="2" t="s">
        <v>45</v>
      </c>
      <c r="N559" s="2">
        <v>56.2</v>
      </c>
    </row>
    <row r="560" spans="1:14" ht="15" x14ac:dyDescent="0.25">
      <c r="A560" s="2" t="s">
        <v>2122</v>
      </c>
      <c r="B560" s="3">
        <v>45489</v>
      </c>
      <c r="C560" s="2" t="s">
        <v>2123</v>
      </c>
      <c r="D560" s="2" t="s">
        <v>25</v>
      </c>
      <c r="E560" s="2">
        <v>4</v>
      </c>
      <c r="F560" s="2">
        <v>628.12</v>
      </c>
      <c r="G560" s="2" t="s">
        <v>2124</v>
      </c>
      <c r="H560" s="2" t="s">
        <v>27</v>
      </c>
      <c r="I560" s="2" t="s">
        <v>50</v>
      </c>
      <c r="J560" s="2" t="s">
        <v>2125</v>
      </c>
      <c r="K560" s="2">
        <v>6</v>
      </c>
      <c r="L560" s="2" t="s">
        <v>81</v>
      </c>
      <c r="M560" s="2" t="s">
        <v>22</v>
      </c>
      <c r="N560" s="2">
        <v>2512.48</v>
      </c>
    </row>
    <row r="561" spans="1:14" ht="15" x14ac:dyDescent="0.25">
      <c r="A561" s="2" t="s">
        <v>2126</v>
      </c>
      <c r="B561" s="3">
        <v>45397</v>
      </c>
      <c r="C561" s="2" t="s">
        <v>2127</v>
      </c>
      <c r="D561" s="2" t="s">
        <v>73</v>
      </c>
      <c r="E561" s="2">
        <v>3</v>
      </c>
      <c r="F561" s="2">
        <v>157.4</v>
      </c>
      <c r="G561" s="2" t="s">
        <v>1912</v>
      </c>
      <c r="H561" s="2" t="s">
        <v>18</v>
      </c>
      <c r="I561" s="2" t="s">
        <v>35</v>
      </c>
      <c r="J561" s="2" t="s">
        <v>2128</v>
      </c>
      <c r="K561" s="2">
        <v>7</v>
      </c>
      <c r="L561" s="2" t="s">
        <v>81</v>
      </c>
      <c r="M561" s="2" t="s">
        <v>38</v>
      </c>
      <c r="N561" s="2">
        <v>472.2</v>
      </c>
    </row>
    <row r="562" spans="1:14" ht="15" x14ac:dyDescent="0.25">
      <c r="A562" s="2" t="s">
        <v>2129</v>
      </c>
      <c r="B562" s="3">
        <v>44957</v>
      </c>
      <c r="C562" s="2" t="s">
        <v>2130</v>
      </c>
      <c r="D562" s="2" t="s">
        <v>16</v>
      </c>
      <c r="E562" s="2">
        <v>4</v>
      </c>
      <c r="F562" s="2">
        <v>588.85</v>
      </c>
      <c r="G562" s="2" t="s">
        <v>2131</v>
      </c>
      <c r="H562" s="2" t="s">
        <v>60</v>
      </c>
      <c r="I562" s="2" t="s">
        <v>89</v>
      </c>
      <c r="J562" s="2" t="s">
        <v>2132</v>
      </c>
      <c r="K562" s="2">
        <v>7</v>
      </c>
      <c r="M562" s="2" t="s">
        <v>38</v>
      </c>
      <c r="N562" s="2">
        <v>2355.4</v>
      </c>
    </row>
    <row r="563" spans="1:14" ht="15" x14ac:dyDescent="0.25">
      <c r="A563" s="2" t="s">
        <v>2133</v>
      </c>
      <c r="B563" s="3">
        <v>44957</v>
      </c>
      <c r="C563" s="2" t="s">
        <v>2134</v>
      </c>
      <c r="D563" s="2" t="s">
        <v>48</v>
      </c>
      <c r="E563" s="2">
        <v>2</v>
      </c>
      <c r="F563" s="2">
        <v>494.78</v>
      </c>
      <c r="G563" s="2" t="s">
        <v>2135</v>
      </c>
      <c r="H563" s="2" t="s">
        <v>27</v>
      </c>
      <c r="I563" s="2" t="s">
        <v>19</v>
      </c>
      <c r="J563" s="2" t="s">
        <v>2136</v>
      </c>
      <c r="K563" s="2">
        <v>2</v>
      </c>
      <c r="M563" s="2" t="s">
        <v>76</v>
      </c>
      <c r="N563" s="2">
        <v>989.56</v>
      </c>
    </row>
    <row r="564" spans="1:14" ht="15" x14ac:dyDescent="0.25">
      <c r="A564" s="2" t="s">
        <v>2137</v>
      </c>
      <c r="B564" s="3">
        <v>45205</v>
      </c>
      <c r="C564" s="2" t="s">
        <v>2138</v>
      </c>
      <c r="D564" s="2" t="s">
        <v>58</v>
      </c>
      <c r="E564" s="2">
        <v>3</v>
      </c>
      <c r="F564" s="2">
        <v>663.93</v>
      </c>
      <c r="G564" s="2" t="s">
        <v>422</v>
      </c>
      <c r="H564" s="2" t="s">
        <v>60</v>
      </c>
      <c r="I564" s="2" t="s">
        <v>43</v>
      </c>
      <c r="J564" s="2" t="s">
        <v>2139</v>
      </c>
      <c r="K564" s="2">
        <v>6</v>
      </c>
      <c r="L564" s="2" t="s">
        <v>37</v>
      </c>
      <c r="M564" s="2" t="s">
        <v>38</v>
      </c>
      <c r="N564" s="2">
        <v>1991.79</v>
      </c>
    </row>
    <row r="565" spans="1:14" ht="15" x14ac:dyDescent="0.25">
      <c r="A565" s="2" t="s">
        <v>2140</v>
      </c>
      <c r="B565" s="3">
        <v>45272</v>
      </c>
      <c r="C565" s="2" t="s">
        <v>2141</v>
      </c>
      <c r="D565" s="2" t="s">
        <v>58</v>
      </c>
      <c r="E565" s="2">
        <v>1</v>
      </c>
      <c r="F565" s="2">
        <v>132.68</v>
      </c>
      <c r="G565" s="2" t="s">
        <v>2142</v>
      </c>
      <c r="H565" s="2" t="s">
        <v>18</v>
      </c>
      <c r="I565" s="2" t="s">
        <v>43</v>
      </c>
      <c r="J565" s="2" t="s">
        <v>2143</v>
      </c>
      <c r="K565" s="2">
        <v>1</v>
      </c>
      <c r="L565" s="2" t="s">
        <v>21</v>
      </c>
      <c r="M565" s="2" t="s">
        <v>29</v>
      </c>
      <c r="N565" s="2">
        <v>132.68</v>
      </c>
    </row>
    <row r="566" spans="1:14" ht="15" x14ac:dyDescent="0.25">
      <c r="A566" s="2" t="s">
        <v>2144</v>
      </c>
      <c r="B566" s="3">
        <v>45755</v>
      </c>
      <c r="C566" s="2" t="s">
        <v>2145</v>
      </c>
      <c r="D566" s="2" t="s">
        <v>73</v>
      </c>
      <c r="E566" s="2">
        <v>5</v>
      </c>
      <c r="F566" s="2">
        <v>364.28</v>
      </c>
      <c r="G566" s="2" t="s">
        <v>2146</v>
      </c>
      <c r="H566" s="2" t="s">
        <v>34</v>
      </c>
      <c r="I566" s="2" t="s">
        <v>35</v>
      </c>
      <c r="J566" s="2" t="s">
        <v>2147</v>
      </c>
      <c r="K566" s="2">
        <v>5</v>
      </c>
      <c r="L566" s="2" t="s">
        <v>81</v>
      </c>
      <c r="M566" s="2" t="s">
        <v>76</v>
      </c>
      <c r="N566" s="2">
        <v>1821.4</v>
      </c>
    </row>
    <row r="567" spans="1:14" ht="15" x14ac:dyDescent="0.25">
      <c r="A567" s="2" t="s">
        <v>2148</v>
      </c>
      <c r="B567" s="3">
        <v>45060</v>
      </c>
      <c r="C567" s="2" t="s">
        <v>2149</v>
      </c>
      <c r="D567" s="2" t="s">
        <v>32</v>
      </c>
      <c r="E567" s="2">
        <v>5</v>
      </c>
      <c r="F567" s="2">
        <v>307.98</v>
      </c>
      <c r="G567" s="2" t="s">
        <v>1790</v>
      </c>
      <c r="H567" s="2" t="s">
        <v>27</v>
      </c>
      <c r="I567" s="2" t="s">
        <v>89</v>
      </c>
      <c r="J567" s="2" t="s">
        <v>2150</v>
      </c>
      <c r="K567" s="2">
        <v>10</v>
      </c>
      <c r="M567" s="2" t="s">
        <v>45</v>
      </c>
      <c r="N567" s="2">
        <v>1539.9</v>
      </c>
    </row>
    <row r="568" spans="1:14" ht="15" x14ac:dyDescent="0.25">
      <c r="A568" s="2" t="s">
        <v>2151</v>
      </c>
      <c r="B568" s="3">
        <v>45400</v>
      </c>
      <c r="C568" s="2" t="s">
        <v>2152</v>
      </c>
      <c r="D568" s="2" t="s">
        <v>25</v>
      </c>
      <c r="E568" s="2">
        <v>4</v>
      </c>
      <c r="F568" s="2">
        <v>162.71</v>
      </c>
      <c r="G568" s="2" t="s">
        <v>2153</v>
      </c>
      <c r="H568" s="2" t="s">
        <v>65</v>
      </c>
      <c r="I568" s="2" t="s">
        <v>35</v>
      </c>
      <c r="J568" s="2" t="s">
        <v>2154</v>
      </c>
      <c r="K568" s="2">
        <v>7</v>
      </c>
      <c r="L568" s="2" t="s">
        <v>37</v>
      </c>
      <c r="M568" s="2" t="s">
        <v>38</v>
      </c>
      <c r="N568" s="2">
        <v>650.84</v>
      </c>
    </row>
    <row r="569" spans="1:14" ht="15" x14ac:dyDescent="0.25">
      <c r="A569" s="2" t="s">
        <v>2155</v>
      </c>
      <c r="B569" s="3">
        <v>45565</v>
      </c>
      <c r="C569" s="2" t="s">
        <v>2156</v>
      </c>
      <c r="D569" s="2" t="s">
        <v>41</v>
      </c>
      <c r="E569" s="2">
        <v>5</v>
      </c>
      <c r="F569" s="2">
        <v>492.94</v>
      </c>
      <c r="G569" s="2" t="s">
        <v>1043</v>
      </c>
      <c r="H569" s="2" t="s">
        <v>65</v>
      </c>
      <c r="I569" s="2" t="s">
        <v>19</v>
      </c>
      <c r="J569" s="2" t="s">
        <v>2157</v>
      </c>
      <c r="K569" s="2">
        <v>10</v>
      </c>
      <c r="L569" s="2" t="s">
        <v>37</v>
      </c>
      <c r="M569" s="2" t="s">
        <v>38</v>
      </c>
      <c r="N569" s="2">
        <v>2464.6999999999998</v>
      </c>
    </row>
    <row r="570" spans="1:14" ht="15" x14ac:dyDescent="0.25">
      <c r="A570" s="2" t="s">
        <v>2158</v>
      </c>
      <c r="B570" s="3">
        <v>44995</v>
      </c>
      <c r="C570" s="2" t="s">
        <v>2159</v>
      </c>
      <c r="D570" s="2" t="s">
        <v>58</v>
      </c>
      <c r="E570" s="2">
        <v>2</v>
      </c>
      <c r="F570" s="2">
        <v>343.99</v>
      </c>
      <c r="G570" s="2" t="s">
        <v>1431</v>
      </c>
      <c r="H570" s="2" t="s">
        <v>27</v>
      </c>
      <c r="I570" s="2" t="s">
        <v>50</v>
      </c>
      <c r="J570" s="2" t="s">
        <v>2160</v>
      </c>
      <c r="K570" s="2">
        <v>4</v>
      </c>
      <c r="M570" s="2" t="s">
        <v>76</v>
      </c>
      <c r="N570" s="2">
        <v>687.98</v>
      </c>
    </row>
    <row r="571" spans="1:14" ht="15" x14ac:dyDescent="0.25">
      <c r="A571" s="2" t="s">
        <v>2161</v>
      </c>
      <c r="B571" s="3">
        <v>45738</v>
      </c>
      <c r="C571" s="2" t="s">
        <v>2162</v>
      </c>
      <c r="D571" s="2" t="s">
        <v>73</v>
      </c>
      <c r="E571" s="2">
        <v>5</v>
      </c>
      <c r="F571" s="2">
        <v>250.68</v>
      </c>
      <c r="G571" s="2" t="s">
        <v>1815</v>
      </c>
      <c r="H571" s="2" t="s">
        <v>65</v>
      </c>
      <c r="I571" s="2" t="s">
        <v>19</v>
      </c>
      <c r="J571" s="2" t="s">
        <v>2163</v>
      </c>
      <c r="K571" s="2">
        <v>8</v>
      </c>
      <c r="L571" s="2" t="s">
        <v>21</v>
      </c>
      <c r="M571" s="2" t="s">
        <v>22</v>
      </c>
      <c r="N571" s="2">
        <v>1253.4000000000001</v>
      </c>
    </row>
    <row r="572" spans="1:14" ht="15" x14ac:dyDescent="0.25">
      <c r="A572" s="2" t="s">
        <v>2164</v>
      </c>
      <c r="B572" s="3">
        <v>45653</v>
      </c>
      <c r="C572" s="2" t="s">
        <v>2165</v>
      </c>
      <c r="D572" s="2" t="s">
        <v>73</v>
      </c>
      <c r="E572" s="2">
        <v>2</v>
      </c>
      <c r="F572" s="2">
        <v>362.14</v>
      </c>
      <c r="G572" s="2" t="s">
        <v>494</v>
      </c>
      <c r="H572" s="2" t="s">
        <v>18</v>
      </c>
      <c r="I572" s="2" t="s">
        <v>89</v>
      </c>
      <c r="J572" s="2" t="s">
        <v>2166</v>
      </c>
      <c r="K572" s="2">
        <v>2</v>
      </c>
      <c r="L572" s="2" t="s">
        <v>21</v>
      </c>
      <c r="M572" s="2" t="s">
        <v>22</v>
      </c>
      <c r="N572" s="2">
        <v>724.28</v>
      </c>
    </row>
    <row r="573" spans="1:14" ht="15" x14ac:dyDescent="0.25">
      <c r="A573" s="2" t="s">
        <v>2167</v>
      </c>
      <c r="B573" s="3">
        <v>45619</v>
      </c>
      <c r="C573" s="2" t="s">
        <v>2168</v>
      </c>
      <c r="D573" s="2" t="s">
        <v>32</v>
      </c>
      <c r="E573" s="2">
        <v>1</v>
      </c>
      <c r="F573" s="2">
        <v>214.08</v>
      </c>
      <c r="G573" s="2" t="s">
        <v>1838</v>
      </c>
      <c r="H573" s="2" t="s">
        <v>60</v>
      </c>
      <c r="I573" s="2" t="s">
        <v>43</v>
      </c>
      <c r="J573" s="2" t="s">
        <v>2169</v>
      </c>
      <c r="K573" s="2">
        <v>2</v>
      </c>
      <c r="L573" s="2" t="s">
        <v>81</v>
      </c>
      <c r="M573" s="2" t="s">
        <v>76</v>
      </c>
      <c r="N573" s="2">
        <v>214.08</v>
      </c>
    </row>
    <row r="574" spans="1:14" ht="15" x14ac:dyDescent="0.25">
      <c r="A574" s="2" t="s">
        <v>2170</v>
      </c>
      <c r="B574" s="3">
        <v>45241</v>
      </c>
      <c r="C574" s="2" t="s">
        <v>2171</v>
      </c>
      <c r="D574" s="2" t="s">
        <v>48</v>
      </c>
      <c r="E574" s="2">
        <v>1</v>
      </c>
      <c r="F574" s="2">
        <v>70.319999999999993</v>
      </c>
      <c r="G574" s="2" t="s">
        <v>1481</v>
      </c>
      <c r="H574" s="2" t="s">
        <v>65</v>
      </c>
      <c r="I574" s="2" t="s">
        <v>43</v>
      </c>
      <c r="J574" s="2" t="s">
        <v>2172</v>
      </c>
      <c r="K574" s="2">
        <v>4</v>
      </c>
      <c r="L574" s="2" t="s">
        <v>81</v>
      </c>
      <c r="M574" s="2" t="s">
        <v>45</v>
      </c>
      <c r="N574" s="2">
        <v>70.319999999999993</v>
      </c>
    </row>
    <row r="575" spans="1:14" ht="15" x14ac:dyDescent="0.25">
      <c r="A575" s="2" t="s">
        <v>2173</v>
      </c>
      <c r="B575" s="3">
        <v>44951</v>
      </c>
      <c r="C575" s="2" t="s">
        <v>2174</v>
      </c>
      <c r="D575" s="2" t="s">
        <v>41</v>
      </c>
      <c r="E575" s="2">
        <v>5</v>
      </c>
      <c r="F575" s="2">
        <v>421.42</v>
      </c>
      <c r="G575" s="2" t="s">
        <v>466</v>
      </c>
      <c r="H575" s="2" t="s">
        <v>18</v>
      </c>
      <c r="I575" s="2" t="s">
        <v>35</v>
      </c>
      <c r="J575" s="2" t="s">
        <v>2175</v>
      </c>
      <c r="K575" s="2">
        <v>7</v>
      </c>
      <c r="M575" s="2" t="s">
        <v>22</v>
      </c>
      <c r="N575" s="2">
        <v>2107.1</v>
      </c>
    </row>
    <row r="576" spans="1:14" ht="15" x14ac:dyDescent="0.25">
      <c r="A576" s="2" t="s">
        <v>2176</v>
      </c>
      <c r="B576" s="3">
        <v>45315</v>
      </c>
      <c r="C576" s="2" t="s">
        <v>2177</v>
      </c>
      <c r="D576" s="2" t="s">
        <v>41</v>
      </c>
      <c r="E576" s="2">
        <v>5</v>
      </c>
      <c r="F576" s="2">
        <v>384.69</v>
      </c>
      <c r="G576" s="2" t="s">
        <v>42</v>
      </c>
      <c r="H576" s="2" t="s">
        <v>34</v>
      </c>
      <c r="I576" s="2" t="s">
        <v>89</v>
      </c>
      <c r="J576" s="2" t="s">
        <v>2178</v>
      </c>
      <c r="K576" s="2">
        <v>6</v>
      </c>
      <c r="L576" s="2" t="s">
        <v>37</v>
      </c>
      <c r="M576" s="2" t="s">
        <v>38</v>
      </c>
      <c r="N576" s="2">
        <v>1923.45</v>
      </c>
    </row>
    <row r="577" spans="1:14" ht="15" x14ac:dyDescent="0.25">
      <c r="A577" s="2" t="s">
        <v>2179</v>
      </c>
      <c r="B577" s="3">
        <v>45084</v>
      </c>
      <c r="C577" s="2" t="s">
        <v>2180</v>
      </c>
      <c r="D577" s="2" t="s">
        <v>41</v>
      </c>
      <c r="E577" s="2">
        <v>5</v>
      </c>
      <c r="F577" s="2">
        <v>448.15</v>
      </c>
      <c r="G577" s="2" t="s">
        <v>2181</v>
      </c>
      <c r="H577" s="2" t="s">
        <v>60</v>
      </c>
      <c r="I577" s="2" t="s">
        <v>43</v>
      </c>
      <c r="J577" s="2" t="s">
        <v>2182</v>
      </c>
      <c r="K577" s="2">
        <v>7</v>
      </c>
      <c r="L577" s="2" t="s">
        <v>21</v>
      </c>
      <c r="M577" s="2" t="s">
        <v>76</v>
      </c>
      <c r="N577" s="2">
        <v>2240.75</v>
      </c>
    </row>
    <row r="578" spans="1:14" ht="15" x14ac:dyDescent="0.25">
      <c r="A578" s="2" t="s">
        <v>2183</v>
      </c>
      <c r="B578" s="3">
        <v>45441</v>
      </c>
      <c r="C578" s="2" t="s">
        <v>2184</v>
      </c>
      <c r="D578" s="2" t="s">
        <v>58</v>
      </c>
      <c r="E578" s="2">
        <v>5</v>
      </c>
      <c r="F578" s="2">
        <v>79.08</v>
      </c>
      <c r="G578" s="2" t="s">
        <v>1415</v>
      </c>
      <c r="H578" s="2" t="s">
        <v>65</v>
      </c>
      <c r="I578" s="2" t="s">
        <v>89</v>
      </c>
      <c r="J578" s="2" t="s">
        <v>2185</v>
      </c>
      <c r="K578" s="2">
        <v>8</v>
      </c>
      <c r="M578" s="2" t="s">
        <v>45</v>
      </c>
      <c r="N578" s="2">
        <v>395.4</v>
      </c>
    </row>
    <row r="579" spans="1:14" ht="15" x14ac:dyDescent="0.25">
      <c r="A579" s="2" t="s">
        <v>2186</v>
      </c>
      <c r="B579" s="3">
        <v>44948</v>
      </c>
      <c r="C579" s="2" t="s">
        <v>2187</v>
      </c>
      <c r="D579" s="2" t="s">
        <v>32</v>
      </c>
      <c r="E579" s="2">
        <v>4</v>
      </c>
      <c r="F579" s="2">
        <v>185.41</v>
      </c>
      <c r="G579" s="2" t="s">
        <v>371</v>
      </c>
      <c r="H579" s="2" t="s">
        <v>27</v>
      </c>
      <c r="I579" s="2" t="s">
        <v>43</v>
      </c>
      <c r="J579" s="2" t="s">
        <v>2188</v>
      </c>
      <c r="K579" s="2">
        <v>9</v>
      </c>
      <c r="L579" s="2" t="s">
        <v>81</v>
      </c>
      <c r="M579" s="2" t="s">
        <v>76</v>
      </c>
      <c r="N579" s="2">
        <v>741.64</v>
      </c>
    </row>
    <row r="580" spans="1:14" ht="15" x14ac:dyDescent="0.25">
      <c r="A580" s="2" t="s">
        <v>2189</v>
      </c>
      <c r="B580" s="3">
        <v>45575</v>
      </c>
      <c r="C580" s="2" t="s">
        <v>2190</v>
      </c>
      <c r="D580" s="2" t="s">
        <v>16</v>
      </c>
      <c r="E580" s="2">
        <v>5</v>
      </c>
      <c r="F580" s="2">
        <v>566.07000000000005</v>
      </c>
      <c r="G580" s="2" t="s">
        <v>121</v>
      </c>
      <c r="H580" s="2" t="s">
        <v>34</v>
      </c>
      <c r="I580" s="2" t="s">
        <v>50</v>
      </c>
      <c r="J580" s="2" t="s">
        <v>2191</v>
      </c>
      <c r="K580" s="2">
        <v>6</v>
      </c>
      <c r="L580" s="2" t="s">
        <v>21</v>
      </c>
      <c r="M580" s="2" t="s">
        <v>22</v>
      </c>
      <c r="N580" s="2">
        <v>2830.35</v>
      </c>
    </row>
    <row r="581" spans="1:14" ht="15" x14ac:dyDescent="0.25">
      <c r="A581" s="2" t="s">
        <v>2192</v>
      </c>
      <c r="B581" s="3">
        <v>45081</v>
      </c>
      <c r="C581" s="2" t="s">
        <v>2193</v>
      </c>
      <c r="D581" s="2" t="s">
        <v>32</v>
      </c>
      <c r="E581" s="2">
        <v>2</v>
      </c>
      <c r="F581" s="2">
        <v>187.88</v>
      </c>
      <c r="G581" s="2" t="s">
        <v>1267</v>
      </c>
      <c r="H581" s="2" t="s">
        <v>27</v>
      </c>
      <c r="I581" s="2" t="s">
        <v>19</v>
      </c>
      <c r="J581" s="2" t="s">
        <v>2194</v>
      </c>
      <c r="K581" s="2">
        <v>4</v>
      </c>
      <c r="L581" s="2" t="s">
        <v>81</v>
      </c>
      <c r="M581" s="2" t="s">
        <v>45</v>
      </c>
      <c r="N581" s="2">
        <v>375.76</v>
      </c>
    </row>
    <row r="582" spans="1:14" ht="15" x14ac:dyDescent="0.25">
      <c r="A582" s="2" t="s">
        <v>2195</v>
      </c>
      <c r="B582" s="3">
        <v>45244</v>
      </c>
      <c r="C582" s="2" t="s">
        <v>2196</v>
      </c>
      <c r="D582" s="2" t="s">
        <v>16</v>
      </c>
      <c r="E582" s="2">
        <v>2</v>
      </c>
      <c r="F582" s="2">
        <v>255.99</v>
      </c>
      <c r="G582" s="2" t="s">
        <v>2197</v>
      </c>
      <c r="H582" s="2" t="s">
        <v>34</v>
      </c>
      <c r="I582" s="2" t="s">
        <v>50</v>
      </c>
      <c r="J582" s="2" t="s">
        <v>2198</v>
      </c>
      <c r="K582" s="2">
        <v>4</v>
      </c>
      <c r="L582" s="2" t="s">
        <v>21</v>
      </c>
      <c r="M582" s="2" t="s">
        <v>22</v>
      </c>
      <c r="N582" s="2">
        <v>511.98</v>
      </c>
    </row>
    <row r="583" spans="1:14" ht="15" x14ac:dyDescent="0.25">
      <c r="A583" s="2" t="s">
        <v>2199</v>
      </c>
      <c r="B583" s="3">
        <v>45607</v>
      </c>
      <c r="C583" s="2" t="s">
        <v>2200</v>
      </c>
      <c r="D583" s="2" t="s">
        <v>58</v>
      </c>
      <c r="E583" s="2">
        <v>1</v>
      </c>
      <c r="F583" s="2">
        <v>627.34</v>
      </c>
      <c r="G583" s="2" t="s">
        <v>101</v>
      </c>
      <c r="H583" s="2" t="s">
        <v>27</v>
      </c>
      <c r="I583" s="2" t="s">
        <v>50</v>
      </c>
      <c r="J583" s="2" t="s">
        <v>2201</v>
      </c>
      <c r="K583" s="2">
        <v>1</v>
      </c>
      <c r="M583" s="2" t="s">
        <v>29</v>
      </c>
      <c r="N583" s="2">
        <v>627.34</v>
      </c>
    </row>
    <row r="584" spans="1:14" ht="15" x14ac:dyDescent="0.25">
      <c r="A584" s="2" t="s">
        <v>2202</v>
      </c>
      <c r="B584" s="3">
        <v>45341</v>
      </c>
      <c r="C584" s="2" t="s">
        <v>2203</v>
      </c>
      <c r="D584" s="2" t="s">
        <v>32</v>
      </c>
      <c r="E584" s="2">
        <v>3</v>
      </c>
      <c r="F584" s="2">
        <v>474.14</v>
      </c>
      <c r="G584" s="2" t="s">
        <v>1525</v>
      </c>
      <c r="H584" s="2" t="s">
        <v>60</v>
      </c>
      <c r="I584" s="2" t="s">
        <v>19</v>
      </c>
      <c r="J584" s="2" t="s">
        <v>2204</v>
      </c>
      <c r="K584" s="2">
        <v>8</v>
      </c>
      <c r="L584" s="2" t="s">
        <v>81</v>
      </c>
      <c r="M584" s="2" t="s">
        <v>76</v>
      </c>
      <c r="N584" s="2">
        <v>1422.42</v>
      </c>
    </row>
    <row r="585" spans="1:14" ht="15" x14ac:dyDescent="0.25">
      <c r="A585" s="2" t="s">
        <v>2205</v>
      </c>
      <c r="B585" s="3">
        <v>45823</v>
      </c>
      <c r="C585" s="2" t="s">
        <v>2206</v>
      </c>
      <c r="D585" s="2" t="s">
        <v>41</v>
      </c>
      <c r="E585" s="2">
        <v>3</v>
      </c>
      <c r="F585" s="2">
        <v>154.37</v>
      </c>
      <c r="G585" s="2" t="s">
        <v>165</v>
      </c>
      <c r="H585" s="2" t="s">
        <v>60</v>
      </c>
      <c r="I585" s="2" t="s">
        <v>50</v>
      </c>
      <c r="J585" s="2" t="s">
        <v>2207</v>
      </c>
      <c r="K585" s="2">
        <v>4</v>
      </c>
      <c r="M585" s="2" t="s">
        <v>22</v>
      </c>
      <c r="N585" s="2">
        <v>463.11</v>
      </c>
    </row>
    <row r="586" spans="1:14" ht="15" x14ac:dyDescent="0.25">
      <c r="A586" s="2" t="s">
        <v>2208</v>
      </c>
      <c r="B586" s="3">
        <v>45737</v>
      </c>
      <c r="C586" s="2" t="s">
        <v>2209</v>
      </c>
      <c r="D586" s="2" t="s">
        <v>41</v>
      </c>
      <c r="E586" s="2">
        <v>4</v>
      </c>
      <c r="F586" s="2">
        <v>145.05000000000001</v>
      </c>
      <c r="G586" s="2" t="s">
        <v>2210</v>
      </c>
      <c r="H586" s="2" t="s">
        <v>27</v>
      </c>
      <c r="I586" s="2" t="s">
        <v>50</v>
      </c>
      <c r="J586" s="2" t="s">
        <v>2211</v>
      </c>
      <c r="K586" s="2">
        <v>6</v>
      </c>
      <c r="L586" s="2" t="s">
        <v>21</v>
      </c>
      <c r="M586" s="2" t="s">
        <v>76</v>
      </c>
      <c r="N586" s="2">
        <v>580.20000000000005</v>
      </c>
    </row>
    <row r="587" spans="1:14" ht="15" x14ac:dyDescent="0.25">
      <c r="A587" s="2" t="s">
        <v>2212</v>
      </c>
      <c r="B587" s="3">
        <v>45158</v>
      </c>
      <c r="C587" s="2" t="s">
        <v>2213</v>
      </c>
      <c r="D587" s="2" t="s">
        <v>32</v>
      </c>
      <c r="E587" s="2">
        <v>4</v>
      </c>
      <c r="F587" s="2">
        <v>67.08</v>
      </c>
      <c r="G587" s="2" t="s">
        <v>1408</v>
      </c>
      <c r="H587" s="2" t="s">
        <v>65</v>
      </c>
      <c r="I587" s="2" t="s">
        <v>43</v>
      </c>
      <c r="J587" s="2" t="s">
        <v>2214</v>
      </c>
      <c r="K587" s="2">
        <v>8</v>
      </c>
      <c r="L587" s="2" t="s">
        <v>81</v>
      </c>
      <c r="M587" s="2" t="s">
        <v>76</v>
      </c>
      <c r="N587" s="2">
        <v>268.32</v>
      </c>
    </row>
    <row r="588" spans="1:14" ht="15" x14ac:dyDescent="0.25">
      <c r="A588" s="2" t="s">
        <v>2215</v>
      </c>
      <c r="B588" s="3">
        <v>45606</v>
      </c>
      <c r="C588" s="2" t="s">
        <v>2216</v>
      </c>
      <c r="D588" s="2" t="s">
        <v>16</v>
      </c>
      <c r="E588" s="2">
        <v>1</v>
      </c>
      <c r="F588" s="2">
        <v>522.08000000000004</v>
      </c>
      <c r="G588" s="2" t="s">
        <v>2217</v>
      </c>
      <c r="H588" s="2" t="s">
        <v>60</v>
      </c>
      <c r="I588" s="2" t="s">
        <v>43</v>
      </c>
      <c r="J588" s="2" t="s">
        <v>2218</v>
      </c>
      <c r="K588" s="2">
        <v>5</v>
      </c>
      <c r="L588" s="2" t="s">
        <v>37</v>
      </c>
      <c r="M588" s="2" t="s">
        <v>29</v>
      </c>
      <c r="N588" s="2">
        <v>522.08000000000004</v>
      </c>
    </row>
    <row r="589" spans="1:14" ht="15" x14ac:dyDescent="0.25">
      <c r="A589" s="2" t="s">
        <v>2219</v>
      </c>
      <c r="B589" s="3">
        <v>45089</v>
      </c>
      <c r="C589" s="2" t="s">
        <v>2220</v>
      </c>
      <c r="D589" s="2" t="s">
        <v>16</v>
      </c>
      <c r="E589" s="2">
        <v>5</v>
      </c>
      <c r="F589" s="2">
        <v>514.6</v>
      </c>
      <c r="G589" s="2" t="s">
        <v>2221</v>
      </c>
      <c r="H589" s="2" t="s">
        <v>60</v>
      </c>
      <c r="I589" s="2" t="s">
        <v>50</v>
      </c>
      <c r="J589" s="2" t="s">
        <v>2222</v>
      </c>
      <c r="K589" s="2">
        <v>10</v>
      </c>
      <c r="L589" s="2" t="s">
        <v>37</v>
      </c>
      <c r="M589" s="2" t="s">
        <v>22</v>
      </c>
      <c r="N589" s="2">
        <v>2573</v>
      </c>
    </row>
    <row r="590" spans="1:14" ht="15" x14ac:dyDescent="0.25">
      <c r="A590" s="2" t="s">
        <v>2223</v>
      </c>
      <c r="B590" s="3">
        <v>45636</v>
      </c>
      <c r="C590" s="2" t="s">
        <v>2224</v>
      </c>
      <c r="D590" s="2" t="s">
        <v>16</v>
      </c>
      <c r="E590" s="2">
        <v>4</v>
      </c>
      <c r="F590" s="2">
        <v>577.82000000000005</v>
      </c>
      <c r="G590" s="2" t="s">
        <v>273</v>
      </c>
      <c r="H590" s="2" t="s">
        <v>34</v>
      </c>
      <c r="I590" s="2" t="s">
        <v>50</v>
      </c>
      <c r="J590" s="2" t="s">
        <v>2225</v>
      </c>
      <c r="K590" s="2">
        <v>9</v>
      </c>
      <c r="M590" s="2" t="s">
        <v>76</v>
      </c>
      <c r="N590" s="2">
        <v>2311.2800000000002</v>
      </c>
    </row>
    <row r="591" spans="1:14" ht="15" x14ac:dyDescent="0.25">
      <c r="A591" s="2" t="s">
        <v>2226</v>
      </c>
      <c r="B591" s="3">
        <v>45698</v>
      </c>
      <c r="C591" s="2" t="s">
        <v>2227</v>
      </c>
      <c r="D591" s="2" t="s">
        <v>58</v>
      </c>
      <c r="E591" s="2">
        <v>2</v>
      </c>
      <c r="F591" s="2">
        <v>500.8</v>
      </c>
      <c r="G591" s="2" t="s">
        <v>2228</v>
      </c>
      <c r="H591" s="2" t="s">
        <v>65</v>
      </c>
      <c r="I591" s="2" t="s">
        <v>50</v>
      </c>
      <c r="J591" s="2" t="s">
        <v>2229</v>
      </c>
      <c r="K591" s="2">
        <v>3</v>
      </c>
      <c r="L591" s="2" t="s">
        <v>37</v>
      </c>
      <c r="M591" s="2" t="s">
        <v>29</v>
      </c>
      <c r="N591" s="2">
        <v>1001.6</v>
      </c>
    </row>
    <row r="592" spans="1:14" ht="15" x14ac:dyDescent="0.25">
      <c r="A592" s="2" t="s">
        <v>2230</v>
      </c>
      <c r="B592" s="3">
        <v>45179</v>
      </c>
      <c r="C592" s="2" t="s">
        <v>2231</v>
      </c>
      <c r="D592" s="2" t="s">
        <v>48</v>
      </c>
      <c r="E592" s="2">
        <v>2</v>
      </c>
      <c r="F592" s="2">
        <v>461.13</v>
      </c>
      <c r="G592" s="2" t="s">
        <v>2232</v>
      </c>
      <c r="H592" s="2" t="s">
        <v>60</v>
      </c>
      <c r="I592" s="2" t="s">
        <v>43</v>
      </c>
      <c r="J592" s="2" t="s">
        <v>2233</v>
      </c>
      <c r="K592" s="2">
        <v>4</v>
      </c>
      <c r="M592" s="2" t="s">
        <v>38</v>
      </c>
      <c r="N592" s="2">
        <v>922.26</v>
      </c>
    </row>
    <row r="593" spans="1:14" ht="15" x14ac:dyDescent="0.25">
      <c r="A593" s="2" t="s">
        <v>2234</v>
      </c>
      <c r="B593" s="3">
        <v>45614</v>
      </c>
      <c r="C593" s="2" t="s">
        <v>2235</v>
      </c>
      <c r="D593" s="2" t="s">
        <v>58</v>
      </c>
      <c r="E593" s="2">
        <v>1</v>
      </c>
      <c r="F593" s="2">
        <v>605.28</v>
      </c>
      <c r="G593" s="2" t="s">
        <v>2236</v>
      </c>
      <c r="H593" s="2" t="s">
        <v>60</v>
      </c>
      <c r="I593" s="2" t="s">
        <v>19</v>
      </c>
      <c r="J593" s="2" t="s">
        <v>2237</v>
      </c>
      <c r="K593" s="2">
        <v>3</v>
      </c>
      <c r="L593" s="2" t="s">
        <v>37</v>
      </c>
      <c r="M593" s="2" t="s">
        <v>29</v>
      </c>
      <c r="N593" s="2">
        <v>605.28</v>
      </c>
    </row>
    <row r="594" spans="1:14" ht="15" x14ac:dyDescent="0.25">
      <c r="A594" s="2" t="s">
        <v>2238</v>
      </c>
      <c r="B594" s="3">
        <v>45405</v>
      </c>
      <c r="C594" s="2" t="s">
        <v>2239</v>
      </c>
      <c r="D594" s="2" t="s">
        <v>25</v>
      </c>
      <c r="E594" s="2">
        <v>3</v>
      </c>
      <c r="F594" s="2">
        <v>204.27</v>
      </c>
      <c r="G594" s="2" t="s">
        <v>2021</v>
      </c>
      <c r="H594" s="2" t="s">
        <v>27</v>
      </c>
      <c r="I594" s="2" t="s">
        <v>43</v>
      </c>
      <c r="J594" s="2" t="s">
        <v>2240</v>
      </c>
      <c r="K594" s="2">
        <v>4</v>
      </c>
      <c r="M594" s="2" t="s">
        <v>76</v>
      </c>
      <c r="N594" s="2">
        <v>612.81000000000006</v>
      </c>
    </row>
    <row r="595" spans="1:14" ht="15" x14ac:dyDescent="0.25">
      <c r="A595" s="2" t="s">
        <v>2241</v>
      </c>
      <c r="B595" s="3">
        <v>45140</v>
      </c>
      <c r="C595" s="2" t="s">
        <v>2242</v>
      </c>
      <c r="D595" s="2" t="s">
        <v>16</v>
      </c>
      <c r="E595" s="2">
        <v>1</v>
      </c>
      <c r="F595" s="2">
        <v>489.8</v>
      </c>
      <c r="G595" s="2" t="s">
        <v>565</v>
      </c>
      <c r="H595" s="2" t="s">
        <v>60</v>
      </c>
      <c r="I595" s="2" t="s">
        <v>19</v>
      </c>
      <c r="J595" s="2" t="s">
        <v>2243</v>
      </c>
      <c r="K595" s="2">
        <v>4</v>
      </c>
      <c r="L595" s="2" t="s">
        <v>37</v>
      </c>
      <c r="M595" s="2" t="s">
        <v>45</v>
      </c>
      <c r="N595" s="2">
        <v>489.8</v>
      </c>
    </row>
    <row r="596" spans="1:14" ht="15" x14ac:dyDescent="0.25">
      <c r="A596" s="2" t="s">
        <v>2244</v>
      </c>
      <c r="B596" s="3">
        <v>45343</v>
      </c>
      <c r="C596" s="2" t="s">
        <v>2245</v>
      </c>
      <c r="D596" s="2" t="s">
        <v>25</v>
      </c>
      <c r="E596" s="2">
        <v>5</v>
      </c>
      <c r="F596" s="2">
        <v>72.64</v>
      </c>
      <c r="G596" s="2" t="s">
        <v>580</v>
      </c>
      <c r="H596" s="2" t="s">
        <v>34</v>
      </c>
      <c r="I596" s="2" t="s">
        <v>35</v>
      </c>
      <c r="J596" s="2" t="s">
        <v>2246</v>
      </c>
      <c r="K596" s="2">
        <v>7</v>
      </c>
      <c r="M596" s="2" t="s">
        <v>38</v>
      </c>
      <c r="N596" s="2">
        <v>363.2</v>
      </c>
    </row>
    <row r="597" spans="1:14" ht="15" x14ac:dyDescent="0.25">
      <c r="A597" s="2" t="s">
        <v>2247</v>
      </c>
      <c r="B597" s="3">
        <v>45667</v>
      </c>
      <c r="C597" s="2" t="s">
        <v>2248</v>
      </c>
      <c r="D597" s="2" t="s">
        <v>48</v>
      </c>
      <c r="E597" s="2">
        <v>2</v>
      </c>
      <c r="F597" s="2">
        <v>385.16</v>
      </c>
      <c r="G597" s="2" t="s">
        <v>2249</v>
      </c>
      <c r="H597" s="2" t="s">
        <v>27</v>
      </c>
      <c r="I597" s="2" t="s">
        <v>89</v>
      </c>
      <c r="J597" s="2" t="s">
        <v>2250</v>
      </c>
      <c r="K597" s="2">
        <v>7</v>
      </c>
      <c r="L597" s="2" t="s">
        <v>21</v>
      </c>
      <c r="M597" s="2" t="s">
        <v>38</v>
      </c>
      <c r="N597" s="2">
        <v>770.32</v>
      </c>
    </row>
    <row r="598" spans="1:14" ht="15" x14ac:dyDescent="0.25">
      <c r="A598" s="2" t="s">
        <v>2251</v>
      </c>
      <c r="B598" s="3">
        <v>45089</v>
      </c>
      <c r="C598" s="2" t="s">
        <v>2252</v>
      </c>
      <c r="D598" s="2" t="s">
        <v>73</v>
      </c>
      <c r="E598" s="2">
        <v>3</v>
      </c>
      <c r="F598" s="2">
        <v>606.41</v>
      </c>
      <c r="G598" s="2" t="s">
        <v>2253</v>
      </c>
      <c r="H598" s="2" t="s">
        <v>18</v>
      </c>
      <c r="I598" s="2" t="s">
        <v>43</v>
      </c>
      <c r="J598" s="2" t="s">
        <v>2254</v>
      </c>
      <c r="K598" s="2">
        <v>7</v>
      </c>
      <c r="L598" s="2" t="s">
        <v>37</v>
      </c>
      <c r="M598" s="2" t="s">
        <v>45</v>
      </c>
      <c r="N598" s="2">
        <v>1819.23</v>
      </c>
    </row>
    <row r="599" spans="1:14" ht="15" x14ac:dyDescent="0.25">
      <c r="A599" s="2" t="s">
        <v>2255</v>
      </c>
      <c r="B599" s="3">
        <v>45621</v>
      </c>
      <c r="C599" s="2" t="s">
        <v>2256</v>
      </c>
      <c r="D599" s="2" t="s">
        <v>73</v>
      </c>
      <c r="E599" s="2">
        <v>2</v>
      </c>
      <c r="F599" s="2">
        <v>211.82</v>
      </c>
      <c r="G599" s="2" t="s">
        <v>2257</v>
      </c>
      <c r="H599" s="2" t="s">
        <v>60</v>
      </c>
      <c r="I599" s="2" t="s">
        <v>35</v>
      </c>
      <c r="J599" s="2" t="s">
        <v>2258</v>
      </c>
      <c r="K599" s="2">
        <v>4</v>
      </c>
      <c r="L599" s="2" t="s">
        <v>81</v>
      </c>
      <c r="M599" s="2" t="s">
        <v>38</v>
      </c>
      <c r="N599" s="2">
        <v>423.64</v>
      </c>
    </row>
    <row r="600" spans="1:14" ht="15" x14ac:dyDescent="0.25">
      <c r="A600" s="2" t="s">
        <v>2259</v>
      </c>
      <c r="B600" s="3">
        <v>45408</v>
      </c>
      <c r="C600" s="2" t="s">
        <v>2260</v>
      </c>
      <c r="D600" s="2" t="s">
        <v>73</v>
      </c>
      <c r="E600" s="2">
        <v>5</v>
      </c>
      <c r="F600" s="2">
        <v>495.35</v>
      </c>
      <c r="G600" s="2" t="s">
        <v>1344</v>
      </c>
      <c r="H600" s="2" t="s">
        <v>34</v>
      </c>
      <c r="I600" s="2" t="s">
        <v>89</v>
      </c>
      <c r="J600" s="2" t="s">
        <v>2261</v>
      </c>
      <c r="K600" s="2">
        <v>5</v>
      </c>
      <c r="M600" s="2" t="s">
        <v>45</v>
      </c>
      <c r="N600" s="2">
        <v>2476.75</v>
      </c>
    </row>
    <row r="601" spans="1:14" ht="15" x14ac:dyDescent="0.25">
      <c r="A601" s="2" t="s">
        <v>2262</v>
      </c>
      <c r="B601" s="3">
        <v>45107</v>
      </c>
      <c r="C601" s="2" t="s">
        <v>2263</v>
      </c>
      <c r="D601" s="2" t="s">
        <v>41</v>
      </c>
      <c r="E601" s="2">
        <v>3</v>
      </c>
      <c r="F601" s="2">
        <v>556.99</v>
      </c>
      <c r="G601" s="2" t="s">
        <v>1609</v>
      </c>
      <c r="H601" s="2" t="s">
        <v>27</v>
      </c>
      <c r="I601" s="2" t="s">
        <v>35</v>
      </c>
      <c r="J601" s="2" t="s">
        <v>2264</v>
      </c>
      <c r="K601" s="2">
        <v>4</v>
      </c>
      <c r="L601" s="2" t="s">
        <v>37</v>
      </c>
      <c r="M601" s="2" t="s">
        <v>45</v>
      </c>
      <c r="N601" s="2">
        <v>1670.97</v>
      </c>
    </row>
    <row r="602" spans="1:14" ht="15" x14ac:dyDescent="0.25">
      <c r="A602" s="2" t="s">
        <v>2265</v>
      </c>
      <c r="B602" s="3">
        <v>45072</v>
      </c>
      <c r="C602" s="2" t="s">
        <v>2266</v>
      </c>
      <c r="D602" s="2" t="s">
        <v>48</v>
      </c>
      <c r="E602" s="2">
        <v>1</v>
      </c>
      <c r="F602" s="2">
        <v>72.31</v>
      </c>
      <c r="G602" s="2" t="s">
        <v>1047</v>
      </c>
      <c r="H602" s="2" t="s">
        <v>60</v>
      </c>
      <c r="I602" s="2" t="s">
        <v>35</v>
      </c>
      <c r="J602" s="2" t="s">
        <v>2267</v>
      </c>
      <c r="K602" s="2">
        <v>1</v>
      </c>
      <c r="L602" s="2" t="s">
        <v>37</v>
      </c>
      <c r="M602" s="2" t="s">
        <v>45</v>
      </c>
      <c r="N602" s="2">
        <v>72.31</v>
      </c>
    </row>
    <row r="603" spans="1:14" ht="15" x14ac:dyDescent="0.25">
      <c r="A603" s="2" t="s">
        <v>2268</v>
      </c>
      <c r="B603" s="3">
        <v>45201</v>
      </c>
      <c r="C603" s="2" t="s">
        <v>2269</v>
      </c>
      <c r="D603" s="2" t="s">
        <v>16</v>
      </c>
      <c r="E603" s="2">
        <v>5</v>
      </c>
      <c r="F603" s="2">
        <v>24.82</v>
      </c>
      <c r="G603" s="2" t="s">
        <v>2270</v>
      </c>
      <c r="H603" s="2" t="s">
        <v>34</v>
      </c>
      <c r="I603" s="2" t="s">
        <v>19</v>
      </c>
      <c r="J603" s="2" t="s">
        <v>2271</v>
      </c>
      <c r="K603" s="2">
        <v>10</v>
      </c>
      <c r="M603" s="2" t="s">
        <v>29</v>
      </c>
      <c r="N603" s="2">
        <v>124.1</v>
      </c>
    </row>
    <row r="604" spans="1:14" ht="15" x14ac:dyDescent="0.25">
      <c r="A604" s="2" t="s">
        <v>2272</v>
      </c>
      <c r="B604" s="3">
        <v>45356</v>
      </c>
      <c r="C604" s="2" t="s">
        <v>1858</v>
      </c>
      <c r="D604" s="2" t="s">
        <v>32</v>
      </c>
      <c r="E604" s="2">
        <v>4</v>
      </c>
      <c r="F604" s="2">
        <v>26.04</v>
      </c>
      <c r="G604" s="2" t="s">
        <v>1862</v>
      </c>
      <c r="H604" s="2" t="s">
        <v>27</v>
      </c>
      <c r="I604" s="2" t="s">
        <v>89</v>
      </c>
      <c r="J604" s="2" t="s">
        <v>2273</v>
      </c>
      <c r="K604" s="2">
        <v>5</v>
      </c>
      <c r="L604" s="2" t="s">
        <v>21</v>
      </c>
      <c r="M604" s="2" t="s">
        <v>22</v>
      </c>
      <c r="N604" s="2">
        <v>104.16</v>
      </c>
    </row>
    <row r="605" spans="1:14" ht="15" x14ac:dyDescent="0.25">
      <c r="A605" s="2" t="s">
        <v>2274</v>
      </c>
      <c r="B605" s="3">
        <v>45569</v>
      </c>
      <c r="C605" s="2" t="s">
        <v>2275</v>
      </c>
      <c r="D605" s="2" t="s">
        <v>32</v>
      </c>
      <c r="E605" s="2">
        <v>1</v>
      </c>
      <c r="F605" s="2">
        <v>657.07</v>
      </c>
      <c r="G605" s="2" t="s">
        <v>2276</v>
      </c>
      <c r="H605" s="2" t="s">
        <v>65</v>
      </c>
      <c r="I605" s="2" t="s">
        <v>89</v>
      </c>
      <c r="J605" s="2" t="s">
        <v>2277</v>
      </c>
      <c r="K605" s="2">
        <v>4</v>
      </c>
      <c r="L605" s="2" t="s">
        <v>21</v>
      </c>
      <c r="M605" s="2" t="s">
        <v>76</v>
      </c>
      <c r="N605" s="2">
        <v>657.07</v>
      </c>
    </row>
    <row r="606" spans="1:14" ht="15" x14ac:dyDescent="0.25">
      <c r="A606" s="2" t="s">
        <v>2278</v>
      </c>
      <c r="B606" s="3">
        <v>45830</v>
      </c>
      <c r="C606" s="2" t="s">
        <v>2279</v>
      </c>
      <c r="D606" s="2" t="s">
        <v>41</v>
      </c>
      <c r="E606" s="2">
        <v>3</v>
      </c>
      <c r="F606" s="2">
        <v>32.619999999999997</v>
      </c>
      <c r="G606" s="2" t="s">
        <v>1183</v>
      </c>
      <c r="H606" s="2" t="s">
        <v>18</v>
      </c>
      <c r="I606" s="2" t="s">
        <v>50</v>
      </c>
      <c r="J606" s="2" t="s">
        <v>2280</v>
      </c>
      <c r="K606" s="2">
        <v>6</v>
      </c>
      <c r="M606" s="2" t="s">
        <v>45</v>
      </c>
      <c r="N606" s="2">
        <v>97.859999999999985</v>
      </c>
    </row>
    <row r="607" spans="1:14" ht="15" x14ac:dyDescent="0.25">
      <c r="A607" s="2" t="s">
        <v>2281</v>
      </c>
      <c r="B607" s="3">
        <v>45422</v>
      </c>
      <c r="C607" s="2" t="s">
        <v>2282</v>
      </c>
      <c r="D607" s="2" t="s">
        <v>16</v>
      </c>
      <c r="E607" s="2">
        <v>2</v>
      </c>
      <c r="F607" s="2">
        <v>228.91</v>
      </c>
      <c r="G607" s="2" t="s">
        <v>2283</v>
      </c>
      <c r="H607" s="2" t="s">
        <v>18</v>
      </c>
      <c r="I607" s="2" t="s">
        <v>19</v>
      </c>
      <c r="J607" s="2" t="s">
        <v>2284</v>
      </c>
      <c r="K607" s="2">
        <v>4</v>
      </c>
      <c r="L607" s="2" t="s">
        <v>21</v>
      </c>
      <c r="M607" s="2" t="s">
        <v>29</v>
      </c>
      <c r="N607" s="2">
        <v>457.82</v>
      </c>
    </row>
    <row r="608" spans="1:14" ht="15" x14ac:dyDescent="0.25">
      <c r="A608" s="2" t="s">
        <v>2285</v>
      </c>
      <c r="B608" s="3">
        <v>45602</v>
      </c>
      <c r="C608" s="2" t="s">
        <v>2286</v>
      </c>
      <c r="D608" s="2" t="s">
        <v>58</v>
      </c>
      <c r="E608" s="2">
        <v>3</v>
      </c>
      <c r="F608" s="2">
        <v>274.75</v>
      </c>
      <c r="G608" s="2" t="s">
        <v>956</v>
      </c>
      <c r="H608" s="2" t="s">
        <v>65</v>
      </c>
      <c r="I608" s="2" t="s">
        <v>35</v>
      </c>
      <c r="J608" s="2" t="s">
        <v>2287</v>
      </c>
      <c r="K608" s="2">
        <v>3</v>
      </c>
      <c r="L608" s="2" t="s">
        <v>21</v>
      </c>
      <c r="M608" s="2" t="s">
        <v>76</v>
      </c>
      <c r="N608" s="2">
        <v>824.25</v>
      </c>
    </row>
    <row r="609" spans="1:14" ht="15" x14ac:dyDescent="0.25">
      <c r="A609" s="2" t="s">
        <v>2288</v>
      </c>
      <c r="B609" s="3">
        <v>45808</v>
      </c>
      <c r="C609" s="2" t="s">
        <v>2289</v>
      </c>
      <c r="D609" s="2" t="s">
        <v>48</v>
      </c>
      <c r="E609" s="2">
        <v>4</v>
      </c>
      <c r="F609" s="2">
        <v>634.04999999999995</v>
      </c>
      <c r="G609" s="2" t="s">
        <v>2290</v>
      </c>
      <c r="H609" s="2" t="s">
        <v>65</v>
      </c>
      <c r="I609" s="2" t="s">
        <v>19</v>
      </c>
      <c r="J609" s="2" t="s">
        <v>2291</v>
      </c>
      <c r="K609" s="2">
        <v>6</v>
      </c>
      <c r="L609" s="2" t="s">
        <v>21</v>
      </c>
      <c r="M609" s="2" t="s">
        <v>76</v>
      </c>
      <c r="N609" s="2">
        <v>2536.1999999999998</v>
      </c>
    </row>
    <row r="610" spans="1:14" ht="15" x14ac:dyDescent="0.25">
      <c r="A610" s="2" t="s">
        <v>2292</v>
      </c>
      <c r="B610" s="3">
        <v>45497</v>
      </c>
      <c r="C610" s="2" t="s">
        <v>2293</v>
      </c>
      <c r="D610" s="2" t="s">
        <v>58</v>
      </c>
      <c r="E610" s="2">
        <v>5</v>
      </c>
      <c r="F610" s="2">
        <v>543.16</v>
      </c>
      <c r="G610" s="2" t="s">
        <v>2294</v>
      </c>
      <c r="H610" s="2" t="s">
        <v>27</v>
      </c>
      <c r="I610" s="2" t="s">
        <v>35</v>
      </c>
      <c r="J610" s="2" t="s">
        <v>2295</v>
      </c>
      <c r="K610" s="2">
        <v>6</v>
      </c>
      <c r="L610" s="2" t="s">
        <v>21</v>
      </c>
      <c r="M610" s="2" t="s">
        <v>22</v>
      </c>
      <c r="N610" s="2">
        <v>2715.8</v>
      </c>
    </row>
    <row r="611" spans="1:14" ht="15" x14ac:dyDescent="0.25">
      <c r="A611" s="2" t="s">
        <v>2296</v>
      </c>
      <c r="B611" s="3">
        <v>45684</v>
      </c>
      <c r="C611" s="2" t="s">
        <v>2297</v>
      </c>
      <c r="D611" s="2" t="s">
        <v>41</v>
      </c>
      <c r="E611" s="2">
        <v>3</v>
      </c>
      <c r="F611" s="2">
        <v>449.13</v>
      </c>
      <c r="G611" s="2" t="s">
        <v>2298</v>
      </c>
      <c r="H611" s="2" t="s">
        <v>65</v>
      </c>
      <c r="I611" s="2" t="s">
        <v>43</v>
      </c>
      <c r="J611" s="2" t="s">
        <v>2299</v>
      </c>
      <c r="K611" s="2">
        <v>5</v>
      </c>
      <c r="L611" s="2" t="s">
        <v>81</v>
      </c>
      <c r="M611" s="2" t="s">
        <v>29</v>
      </c>
      <c r="N611" s="2">
        <v>1347.39</v>
      </c>
    </row>
    <row r="612" spans="1:14" ht="15" x14ac:dyDescent="0.25">
      <c r="A612" s="2" t="s">
        <v>2300</v>
      </c>
      <c r="B612" s="3">
        <v>45459</v>
      </c>
      <c r="C612" s="2" t="s">
        <v>2301</v>
      </c>
      <c r="D612" s="2" t="s">
        <v>73</v>
      </c>
      <c r="E612" s="2">
        <v>5</v>
      </c>
      <c r="F612" s="2">
        <v>389.62</v>
      </c>
      <c r="G612" s="2" t="s">
        <v>253</v>
      </c>
      <c r="H612" s="2" t="s">
        <v>65</v>
      </c>
      <c r="I612" s="2" t="s">
        <v>43</v>
      </c>
      <c r="J612" s="2" t="s">
        <v>2302</v>
      </c>
      <c r="K612" s="2">
        <v>7</v>
      </c>
      <c r="L612" s="2" t="s">
        <v>37</v>
      </c>
      <c r="M612" s="2" t="s">
        <v>45</v>
      </c>
      <c r="N612" s="2">
        <v>1948.1</v>
      </c>
    </row>
    <row r="613" spans="1:14" ht="15" x14ac:dyDescent="0.25">
      <c r="A613" s="2" t="s">
        <v>2303</v>
      </c>
      <c r="B613" s="3">
        <v>45037</v>
      </c>
      <c r="C613" s="2" t="s">
        <v>2304</v>
      </c>
      <c r="D613" s="2" t="s">
        <v>73</v>
      </c>
      <c r="E613" s="2">
        <v>1</v>
      </c>
      <c r="F613" s="2">
        <v>305.17</v>
      </c>
      <c r="G613" s="2" t="s">
        <v>2257</v>
      </c>
      <c r="H613" s="2" t="s">
        <v>60</v>
      </c>
      <c r="I613" s="2" t="s">
        <v>43</v>
      </c>
      <c r="J613" s="2" t="s">
        <v>2305</v>
      </c>
      <c r="K613" s="2">
        <v>3</v>
      </c>
      <c r="L613" s="2" t="s">
        <v>81</v>
      </c>
      <c r="M613" s="2" t="s">
        <v>29</v>
      </c>
      <c r="N613" s="2">
        <v>305.17</v>
      </c>
    </row>
    <row r="614" spans="1:14" ht="15" x14ac:dyDescent="0.25">
      <c r="A614" s="2" t="s">
        <v>2306</v>
      </c>
      <c r="B614" s="3">
        <v>45079</v>
      </c>
      <c r="C614" s="2" t="s">
        <v>2307</v>
      </c>
      <c r="D614" s="2" t="s">
        <v>41</v>
      </c>
      <c r="E614" s="2">
        <v>3</v>
      </c>
      <c r="F614" s="2">
        <v>445.12</v>
      </c>
      <c r="G614" s="2" t="s">
        <v>1260</v>
      </c>
      <c r="H614" s="2" t="s">
        <v>60</v>
      </c>
      <c r="I614" s="2" t="s">
        <v>35</v>
      </c>
      <c r="J614" s="2" t="s">
        <v>2308</v>
      </c>
      <c r="K614" s="2">
        <v>8</v>
      </c>
      <c r="M614" s="2" t="s">
        <v>76</v>
      </c>
      <c r="N614" s="2">
        <v>1335.36</v>
      </c>
    </row>
    <row r="615" spans="1:14" ht="15" x14ac:dyDescent="0.25">
      <c r="A615" s="2" t="s">
        <v>2309</v>
      </c>
      <c r="B615" s="3">
        <v>45645</v>
      </c>
      <c r="C615" s="2" t="s">
        <v>2310</v>
      </c>
      <c r="D615" s="2" t="s">
        <v>58</v>
      </c>
      <c r="E615" s="2">
        <v>2</v>
      </c>
      <c r="F615" s="2">
        <v>230.36</v>
      </c>
      <c r="G615" s="2" t="s">
        <v>2311</v>
      </c>
      <c r="H615" s="2" t="s">
        <v>27</v>
      </c>
      <c r="I615" s="2" t="s">
        <v>43</v>
      </c>
      <c r="J615" s="2" t="s">
        <v>2312</v>
      </c>
      <c r="K615" s="2">
        <v>4</v>
      </c>
      <c r="L615" s="2" t="s">
        <v>81</v>
      </c>
      <c r="M615" s="2" t="s">
        <v>38</v>
      </c>
      <c r="N615" s="2">
        <v>460.72</v>
      </c>
    </row>
    <row r="616" spans="1:14" ht="15" x14ac:dyDescent="0.25">
      <c r="A616" s="2" t="s">
        <v>2313</v>
      </c>
      <c r="B616" s="3">
        <v>45359</v>
      </c>
      <c r="C616" s="2" t="s">
        <v>2314</v>
      </c>
      <c r="D616" s="2" t="s">
        <v>25</v>
      </c>
      <c r="E616" s="2">
        <v>1</v>
      </c>
      <c r="F616" s="2">
        <v>96.81</v>
      </c>
      <c r="G616" s="2" t="s">
        <v>506</v>
      </c>
      <c r="H616" s="2" t="s">
        <v>60</v>
      </c>
      <c r="I616" s="2" t="s">
        <v>35</v>
      </c>
      <c r="J616" s="2" t="s">
        <v>2315</v>
      </c>
      <c r="K616" s="2">
        <v>3</v>
      </c>
      <c r="M616" s="2" t="s">
        <v>29</v>
      </c>
      <c r="N616" s="2">
        <v>96.81</v>
      </c>
    </row>
    <row r="617" spans="1:14" ht="15" x14ac:dyDescent="0.25">
      <c r="A617" s="2" t="s">
        <v>2316</v>
      </c>
      <c r="B617" s="3">
        <v>45723</v>
      </c>
      <c r="C617" s="2" t="s">
        <v>2317</v>
      </c>
      <c r="D617" s="2" t="s">
        <v>16</v>
      </c>
      <c r="E617" s="2">
        <v>5</v>
      </c>
      <c r="F617" s="2">
        <v>460.14</v>
      </c>
      <c r="G617" s="2" t="s">
        <v>1183</v>
      </c>
      <c r="H617" s="2" t="s">
        <v>34</v>
      </c>
      <c r="I617" s="2" t="s">
        <v>43</v>
      </c>
      <c r="J617" s="2" t="s">
        <v>2318</v>
      </c>
      <c r="K617" s="2">
        <v>10</v>
      </c>
      <c r="L617" s="2" t="s">
        <v>81</v>
      </c>
      <c r="M617" s="2" t="s">
        <v>45</v>
      </c>
      <c r="N617" s="2">
        <v>2300.6999999999998</v>
      </c>
    </row>
    <row r="618" spans="1:14" ht="15" x14ac:dyDescent="0.25">
      <c r="A618" s="2" t="s">
        <v>2319</v>
      </c>
      <c r="B618" s="3">
        <v>45582</v>
      </c>
      <c r="C618" s="2" t="s">
        <v>2320</v>
      </c>
      <c r="D618" s="2" t="s">
        <v>32</v>
      </c>
      <c r="E618" s="2">
        <v>3</v>
      </c>
      <c r="F618" s="2">
        <v>601.6</v>
      </c>
      <c r="G618" s="2" t="s">
        <v>2321</v>
      </c>
      <c r="H618" s="2" t="s">
        <v>34</v>
      </c>
      <c r="I618" s="2" t="s">
        <v>35</v>
      </c>
      <c r="J618" s="2" t="s">
        <v>2322</v>
      </c>
      <c r="K618" s="2">
        <v>7</v>
      </c>
      <c r="L618" s="2" t="s">
        <v>21</v>
      </c>
      <c r="M618" s="2" t="s">
        <v>45</v>
      </c>
      <c r="N618" s="2">
        <v>1804.8</v>
      </c>
    </row>
    <row r="619" spans="1:14" ht="15" x14ac:dyDescent="0.25">
      <c r="A619" s="2" t="s">
        <v>2323</v>
      </c>
      <c r="B619" s="3">
        <v>45330</v>
      </c>
      <c r="C619" s="2" t="s">
        <v>2324</v>
      </c>
      <c r="D619" s="2" t="s">
        <v>32</v>
      </c>
      <c r="E619" s="2">
        <v>3</v>
      </c>
      <c r="F619" s="2">
        <v>184.47</v>
      </c>
      <c r="G619" s="2" t="s">
        <v>2325</v>
      </c>
      <c r="H619" s="2" t="s">
        <v>27</v>
      </c>
      <c r="I619" s="2" t="s">
        <v>35</v>
      </c>
      <c r="J619" s="2" t="s">
        <v>2326</v>
      </c>
      <c r="K619" s="2">
        <v>4</v>
      </c>
      <c r="M619" s="2" t="s">
        <v>29</v>
      </c>
      <c r="N619" s="2">
        <v>553.41</v>
      </c>
    </row>
    <row r="620" spans="1:14" ht="15" x14ac:dyDescent="0.25">
      <c r="A620" s="2" t="s">
        <v>2327</v>
      </c>
      <c r="B620" s="3">
        <v>45538</v>
      </c>
      <c r="C620" s="2" t="s">
        <v>2328</v>
      </c>
      <c r="D620" s="2" t="s">
        <v>32</v>
      </c>
      <c r="E620" s="2">
        <v>1</v>
      </c>
      <c r="F620" s="2">
        <v>411.34</v>
      </c>
      <c r="G620" s="2" t="s">
        <v>2329</v>
      </c>
      <c r="H620" s="2" t="s">
        <v>18</v>
      </c>
      <c r="I620" s="2" t="s">
        <v>43</v>
      </c>
      <c r="J620" s="2" t="s">
        <v>2330</v>
      </c>
      <c r="K620" s="2">
        <v>5</v>
      </c>
      <c r="M620" s="2" t="s">
        <v>22</v>
      </c>
      <c r="N620" s="2">
        <v>411.34</v>
      </c>
    </row>
    <row r="621" spans="1:14" ht="15" x14ac:dyDescent="0.25">
      <c r="A621" s="2" t="s">
        <v>2331</v>
      </c>
      <c r="B621" s="3">
        <v>45489</v>
      </c>
      <c r="C621" s="2" t="s">
        <v>2332</v>
      </c>
      <c r="D621" s="2" t="s">
        <v>58</v>
      </c>
      <c r="E621" s="2">
        <v>1</v>
      </c>
      <c r="F621" s="2">
        <v>532.89</v>
      </c>
      <c r="G621" s="2" t="s">
        <v>1869</v>
      </c>
      <c r="H621" s="2" t="s">
        <v>60</v>
      </c>
      <c r="I621" s="2" t="s">
        <v>89</v>
      </c>
      <c r="J621" s="2" t="s">
        <v>2333</v>
      </c>
      <c r="K621" s="2">
        <v>2</v>
      </c>
      <c r="M621" s="2" t="s">
        <v>29</v>
      </c>
      <c r="N621" s="2">
        <v>532.89</v>
      </c>
    </row>
    <row r="622" spans="1:14" ht="15" x14ac:dyDescent="0.25">
      <c r="A622" s="2" t="s">
        <v>2334</v>
      </c>
      <c r="B622" s="3">
        <v>45378</v>
      </c>
      <c r="C622" s="2" t="s">
        <v>2335</v>
      </c>
      <c r="D622" s="2" t="s">
        <v>32</v>
      </c>
      <c r="E622" s="2">
        <v>3</v>
      </c>
      <c r="F622" s="2">
        <v>136.34</v>
      </c>
      <c r="G622" s="2" t="s">
        <v>2336</v>
      </c>
      <c r="H622" s="2" t="s">
        <v>18</v>
      </c>
      <c r="I622" s="2" t="s">
        <v>43</v>
      </c>
      <c r="J622" s="2" t="s">
        <v>2337</v>
      </c>
      <c r="K622" s="2">
        <v>8</v>
      </c>
      <c r="L622" s="2" t="s">
        <v>21</v>
      </c>
      <c r="M622" s="2" t="s">
        <v>29</v>
      </c>
      <c r="N622" s="2">
        <v>409.02</v>
      </c>
    </row>
    <row r="623" spans="1:14" ht="15" x14ac:dyDescent="0.25">
      <c r="A623" s="2" t="s">
        <v>2338</v>
      </c>
      <c r="B623" s="3">
        <v>45221</v>
      </c>
      <c r="C623" s="2" t="s">
        <v>2339</v>
      </c>
      <c r="D623" s="2" t="s">
        <v>25</v>
      </c>
      <c r="E623" s="2">
        <v>5</v>
      </c>
      <c r="F623" s="2">
        <v>476.01</v>
      </c>
      <c r="G623" s="2" t="s">
        <v>347</v>
      </c>
      <c r="H623" s="2" t="s">
        <v>34</v>
      </c>
      <c r="I623" s="2" t="s">
        <v>50</v>
      </c>
      <c r="J623" s="2" t="s">
        <v>2340</v>
      </c>
      <c r="K623" s="2">
        <v>7</v>
      </c>
      <c r="L623" s="2" t="s">
        <v>81</v>
      </c>
      <c r="M623" s="2" t="s">
        <v>76</v>
      </c>
      <c r="N623" s="2">
        <v>2380.0500000000002</v>
      </c>
    </row>
    <row r="624" spans="1:14" ht="15" x14ac:dyDescent="0.25">
      <c r="A624" s="2" t="s">
        <v>2341</v>
      </c>
      <c r="B624" s="3">
        <v>45598</v>
      </c>
      <c r="C624" s="2" t="s">
        <v>2342</v>
      </c>
      <c r="D624" s="2" t="s">
        <v>73</v>
      </c>
      <c r="E624" s="2">
        <v>5</v>
      </c>
      <c r="F624" s="2">
        <v>236.38</v>
      </c>
      <c r="G624" s="2" t="s">
        <v>181</v>
      </c>
      <c r="H624" s="2" t="s">
        <v>34</v>
      </c>
      <c r="I624" s="2" t="s">
        <v>43</v>
      </c>
      <c r="J624" s="2" t="s">
        <v>2343</v>
      </c>
      <c r="K624" s="2">
        <v>7</v>
      </c>
      <c r="M624" s="2" t="s">
        <v>45</v>
      </c>
      <c r="N624" s="2">
        <v>1181.9000000000001</v>
      </c>
    </row>
    <row r="625" spans="1:14" ht="15" x14ac:dyDescent="0.25">
      <c r="A625" s="2" t="s">
        <v>2344</v>
      </c>
      <c r="B625" s="3">
        <v>45093</v>
      </c>
      <c r="C625" s="2" t="s">
        <v>2345</v>
      </c>
      <c r="D625" s="2" t="s">
        <v>48</v>
      </c>
      <c r="E625" s="2">
        <v>3</v>
      </c>
      <c r="F625" s="2">
        <v>396</v>
      </c>
      <c r="G625" s="2" t="s">
        <v>2346</v>
      </c>
      <c r="H625" s="2" t="s">
        <v>60</v>
      </c>
      <c r="I625" s="2" t="s">
        <v>35</v>
      </c>
      <c r="J625" s="2" t="s">
        <v>2347</v>
      </c>
      <c r="K625" s="2">
        <v>4</v>
      </c>
      <c r="L625" s="2" t="s">
        <v>37</v>
      </c>
      <c r="M625" s="2" t="s">
        <v>22</v>
      </c>
      <c r="N625" s="2">
        <v>1188</v>
      </c>
    </row>
    <row r="626" spans="1:14" ht="15" x14ac:dyDescent="0.25">
      <c r="A626" s="2" t="s">
        <v>2348</v>
      </c>
      <c r="B626" s="3">
        <v>45307</v>
      </c>
      <c r="C626" s="2" t="s">
        <v>2349</v>
      </c>
      <c r="D626" s="2" t="s">
        <v>32</v>
      </c>
      <c r="E626" s="2">
        <v>5</v>
      </c>
      <c r="F626" s="2">
        <v>341.96</v>
      </c>
      <c r="G626" s="2" t="s">
        <v>1415</v>
      </c>
      <c r="H626" s="2" t="s">
        <v>18</v>
      </c>
      <c r="I626" s="2" t="s">
        <v>50</v>
      </c>
      <c r="J626" s="2" t="s">
        <v>2350</v>
      </c>
      <c r="K626" s="2">
        <v>6</v>
      </c>
      <c r="M626" s="2" t="s">
        <v>38</v>
      </c>
      <c r="N626" s="2">
        <v>1709.8</v>
      </c>
    </row>
    <row r="627" spans="1:14" ht="15" x14ac:dyDescent="0.25">
      <c r="A627" s="2" t="s">
        <v>2351</v>
      </c>
      <c r="B627" s="3">
        <v>45193</v>
      </c>
      <c r="C627" s="2" t="s">
        <v>2352</v>
      </c>
      <c r="D627" s="2" t="s">
        <v>32</v>
      </c>
      <c r="E627" s="2">
        <v>1</v>
      </c>
      <c r="F627" s="2">
        <v>672.89</v>
      </c>
      <c r="G627" s="2" t="s">
        <v>2353</v>
      </c>
      <c r="H627" s="2" t="s">
        <v>34</v>
      </c>
      <c r="I627" s="2" t="s">
        <v>89</v>
      </c>
      <c r="J627" s="2" t="s">
        <v>2354</v>
      </c>
      <c r="K627" s="2">
        <v>1</v>
      </c>
      <c r="L627" s="2" t="s">
        <v>81</v>
      </c>
      <c r="M627" s="2" t="s">
        <v>38</v>
      </c>
      <c r="N627" s="2">
        <v>672.89</v>
      </c>
    </row>
    <row r="628" spans="1:14" ht="15" x14ac:dyDescent="0.25">
      <c r="A628" s="2" t="s">
        <v>2355</v>
      </c>
      <c r="B628" s="3">
        <v>45352</v>
      </c>
      <c r="C628" s="2" t="s">
        <v>2356</v>
      </c>
      <c r="D628" s="2" t="s">
        <v>32</v>
      </c>
      <c r="E628" s="2">
        <v>2</v>
      </c>
      <c r="F628" s="2">
        <v>657.48</v>
      </c>
      <c r="G628" s="2" t="s">
        <v>1639</v>
      </c>
      <c r="H628" s="2" t="s">
        <v>27</v>
      </c>
      <c r="I628" s="2" t="s">
        <v>19</v>
      </c>
      <c r="J628" s="2" t="s">
        <v>2357</v>
      </c>
      <c r="K628" s="2">
        <v>5</v>
      </c>
      <c r="L628" s="2" t="s">
        <v>21</v>
      </c>
      <c r="M628" s="2" t="s">
        <v>29</v>
      </c>
      <c r="N628" s="2">
        <v>1314.96</v>
      </c>
    </row>
    <row r="629" spans="1:14" ht="15" x14ac:dyDescent="0.25">
      <c r="A629" s="2" t="s">
        <v>2358</v>
      </c>
      <c r="B629" s="3">
        <v>45144</v>
      </c>
      <c r="C629" s="2" t="s">
        <v>2359</v>
      </c>
      <c r="D629" s="2" t="s">
        <v>41</v>
      </c>
      <c r="E629" s="2">
        <v>3</v>
      </c>
      <c r="F629" s="2">
        <v>498.68</v>
      </c>
      <c r="G629" s="2" t="s">
        <v>2066</v>
      </c>
      <c r="H629" s="2" t="s">
        <v>27</v>
      </c>
      <c r="I629" s="2" t="s">
        <v>43</v>
      </c>
      <c r="J629" s="2" t="s">
        <v>2360</v>
      </c>
      <c r="K629" s="2">
        <v>4</v>
      </c>
      <c r="L629" s="2" t="s">
        <v>37</v>
      </c>
      <c r="M629" s="2" t="s">
        <v>38</v>
      </c>
      <c r="N629" s="2">
        <v>1496.04</v>
      </c>
    </row>
    <row r="630" spans="1:14" ht="15" x14ac:dyDescent="0.25">
      <c r="A630" s="2" t="s">
        <v>2361</v>
      </c>
      <c r="B630" s="3">
        <v>45011</v>
      </c>
      <c r="C630" s="2" t="s">
        <v>2362</v>
      </c>
      <c r="D630" s="2" t="s">
        <v>48</v>
      </c>
      <c r="E630" s="2">
        <v>5</v>
      </c>
      <c r="F630" s="2">
        <v>558.63</v>
      </c>
      <c r="G630" s="2" t="s">
        <v>2363</v>
      </c>
      <c r="H630" s="2" t="s">
        <v>65</v>
      </c>
      <c r="I630" s="2" t="s">
        <v>89</v>
      </c>
      <c r="J630" s="2" t="s">
        <v>2364</v>
      </c>
      <c r="K630" s="2">
        <v>8</v>
      </c>
      <c r="L630" s="2" t="s">
        <v>37</v>
      </c>
      <c r="M630" s="2" t="s">
        <v>29</v>
      </c>
      <c r="N630" s="2">
        <v>2793.15</v>
      </c>
    </row>
    <row r="631" spans="1:14" ht="15" x14ac:dyDescent="0.25">
      <c r="A631" s="2" t="s">
        <v>2365</v>
      </c>
      <c r="B631" s="3">
        <v>45114</v>
      </c>
      <c r="C631" s="2" t="s">
        <v>2366</v>
      </c>
      <c r="D631" s="2" t="s">
        <v>25</v>
      </c>
      <c r="E631" s="2">
        <v>3</v>
      </c>
      <c r="F631" s="2">
        <v>19.73</v>
      </c>
      <c r="G631" s="2" t="s">
        <v>2367</v>
      </c>
      <c r="H631" s="2" t="s">
        <v>27</v>
      </c>
      <c r="I631" s="2" t="s">
        <v>89</v>
      </c>
      <c r="J631" s="2" t="s">
        <v>2368</v>
      </c>
      <c r="K631" s="2">
        <v>3</v>
      </c>
      <c r="M631" s="2" t="s">
        <v>29</v>
      </c>
      <c r="N631" s="2">
        <v>59.19</v>
      </c>
    </row>
    <row r="632" spans="1:14" ht="15" x14ac:dyDescent="0.25">
      <c r="A632" s="2" t="s">
        <v>2369</v>
      </c>
      <c r="B632" s="3">
        <v>45100</v>
      </c>
      <c r="C632" s="2" t="s">
        <v>2370</v>
      </c>
      <c r="D632" s="2" t="s">
        <v>16</v>
      </c>
      <c r="E632" s="2">
        <v>5</v>
      </c>
      <c r="F632" s="2">
        <v>248.84</v>
      </c>
      <c r="G632" s="2" t="s">
        <v>2371</v>
      </c>
      <c r="H632" s="2" t="s">
        <v>18</v>
      </c>
      <c r="I632" s="2" t="s">
        <v>35</v>
      </c>
      <c r="J632" s="2" t="s">
        <v>2372</v>
      </c>
      <c r="K632" s="2">
        <v>10</v>
      </c>
      <c r="M632" s="2" t="s">
        <v>22</v>
      </c>
      <c r="N632" s="2">
        <v>1244.2</v>
      </c>
    </row>
    <row r="633" spans="1:14" ht="15" x14ac:dyDescent="0.25">
      <c r="A633" s="2" t="s">
        <v>2373</v>
      </c>
      <c r="B633" s="3">
        <v>45535</v>
      </c>
      <c r="C633" s="2" t="s">
        <v>2374</v>
      </c>
      <c r="D633" s="2" t="s">
        <v>41</v>
      </c>
      <c r="E633" s="2">
        <v>3</v>
      </c>
      <c r="F633" s="2">
        <v>46.11</v>
      </c>
      <c r="G633" s="2" t="s">
        <v>1101</v>
      </c>
      <c r="H633" s="2" t="s">
        <v>60</v>
      </c>
      <c r="I633" s="2" t="s">
        <v>43</v>
      </c>
      <c r="J633" s="2" t="s">
        <v>2375</v>
      </c>
      <c r="K633" s="2">
        <v>5</v>
      </c>
      <c r="L633" s="2" t="s">
        <v>81</v>
      </c>
      <c r="M633" s="2" t="s">
        <v>29</v>
      </c>
      <c r="N633" s="2">
        <v>138.33000000000001</v>
      </c>
    </row>
    <row r="634" spans="1:14" ht="15" x14ac:dyDescent="0.25">
      <c r="A634" s="2" t="s">
        <v>2376</v>
      </c>
      <c r="B634" s="3">
        <v>45048</v>
      </c>
      <c r="C634" s="2" t="s">
        <v>2377</v>
      </c>
      <c r="D634" s="2" t="s">
        <v>58</v>
      </c>
      <c r="E634" s="2">
        <v>5</v>
      </c>
      <c r="F634" s="2">
        <v>678.16</v>
      </c>
      <c r="G634" s="2" t="s">
        <v>1028</v>
      </c>
      <c r="H634" s="2" t="s">
        <v>60</v>
      </c>
      <c r="I634" s="2" t="s">
        <v>50</v>
      </c>
      <c r="J634" s="2" t="s">
        <v>2378</v>
      </c>
      <c r="K634" s="2">
        <v>7</v>
      </c>
      <c r="L634" s="2" t="s">
        <v>81</v>
      </c>
      <c r="M634" s="2" t="s">
        <v>45</v>
      </c>
      <c r="N634" s="2">
        <v>3390.8</v>
      </c>
    </row>
    <row r="635" spans="1:14" ht="15" x14ac:dyDescent="0.25">
      <c r="A635" s="2" t="s">
        <v>2379</v>
      </c>
      <c r="B635" s="3">
        <v>45392</v>
      </c>
      <c r="C635" s="2" t="s">
        <v>2380</v>
      </c>
      <c r="D635" s="2" t="s">
        <v>58</v>
      </c>
      <c r="E635" s="2">
        <v>5</v>
      </c>
      <c r="F635" s="2">
        <v>601.72</v>
      </c>
      <c r="G635" s="2" t="s">
        <v>1538</v>
      </c>
      <c r="H635" s="2" t="s">
        <v>60</v>
      </c>
      <c r="I635" s="2" t="s">
        <v>35</v>
      </c>
      <c r="J635" s="2" t="s">
        <v>2381</v>
      </c>
      <c r="K635" s="2">
        <v>5</v>
      </c>
      <c r="L635" s="2" t="s">
        <v>81</v>
      </c>
      <c r="M635" s="2" t="s">
        <v>22</v>
      </c>
      <c r="N635" s="2">
        <v>3008.6</v>
      </c>
    </row>
    <row r="636" spans="1:14" ht="15" x14ac:dyDescent="0.25">
      <c r="A636" s="2" t="s">
        <v>2382</v>
      </c>
      <c r="B636" s="3">
        <v>45407</v>
      </c>
      <c r="C636" s="2" t="s">
        <v>2383</v>
      </c>
      <c r="D636" s="2" t="s">
        <v>48</v>
      </c>
      <c r="E636" s="2">
        <v>2</v>
      </c>
      <c r="F636" s="2">
        <v>259.32</v>
      </c>
      <c r="G636" s="2" t="s">
        <v>2384</v>
      </c>
      <c r="H636" s="2" t="s">
        <v>60</v>
      </c>
      <c r="I636" s="2" t="s">
        <v>50</v>
      </c>
      <c r="J636" s="2" t="s">
        <v>2385</v>
      </c>
      <c r="K636" s="2">
        <v>2</v>
      </c>
      <c r="L636" s="2" t="s">
        <v>81</v>
      </c>
      <c r="M636" s="2" t="s">
        <v>29</v>
      </c>
      <c r="N636" s="2">
        <v>518.64</v>
      </c>
    </row>
    <row r="637" spans="1:14" ht="15" x14ac:dyDescent="0.25">
      <c r="A637" s="2" t="s">
        <v>2386</v>
      </c>
      <c r="B637" s="3">
        <v>45273</v>
      </c>
      <c r="C637" s="2" t="s">
        <v>2387</v>
      </c>
      <c r="D637" s="2" t="s">
        <v>41</v>
      </c>
      <c r="E637" s="2">
        <v>3</v>
      </c>
      <c r="F637" s="2">
        <v>63.68</v>
      </c>
      <c r="G637" s="2" t="s">
        <v>242</v>
      </c>
      <c r="H637" s="2" t="s">
        <v>65</v>
      </c>
      <c r="I637" s="2" t="s">
        <v>43</v>
      </c>
      <c r="J637" s="2" t="s">
        <v>2388</v>
      </c>
      <c r="K637" s="2">
        <v>6</v>
      </c>
      <c r="M637" s="2" t="s">
        <v>45</v>
      </c>
      <c r="N637" s="2">
        <v>191.04</v>
      </c>
    </row>
    <row r="638" spans="1:14" ht="15" x14ac:dyDescent="0.25">
      <c r="A638" s="2" t="s">
        <v>2389</v>
      </c>
      <c r="B638" s="3">
        <v>45204</v>
      </c>
      <c r="C638" s="2" t="s">
        <v>2390</v>
      </c>
      <c r="D638" s="2" t="s">
        <v>58</v>
      </c>
      <c r="E638" s="2">
        <v>4</v>
      </c>
      <c r="F638" s="2">
        <v>371.07</v>
      </c>
      <c r="G638" s="2" t="s">
        <v>708</v>
      </c>
      <c r="H638" s="2" t="s">
        <v>65</v>
      </c>
      <c r="I638" s="2" t="s">
        <v>35</v>
      </c>
      <c r="J638" s="2" t="s">
        <v>2391</v>
      </c>
      <c r="K638" s="2">
        <v>7</v>
      </c>
      <c r="L638" s="2" t="s">
        <v>81</v>
      </c>
      <c r="M638" s="2" t="s">
        <v>45</v>
      </c>
      <c r="N638" s="2">
        <v>1484.28</v>
      </c>
    </row>
    <row r="639" spans="1:14" ht="15" x14ac:dyDescent="0.25">
      <c r="A639" s="2" t="s">
        <v>2392</v>
      </c>
      <c r="B639" s="3">
        <v>45564</v>
      </c>
      <c r="C639" s="2" t="s">
        <v>2393</v>
      </c>
      <c r="D639" s="2" t="s">
        <v>41</v>
      </c>
      <c r="E639" s="2">
        <v>4</v>
      </c>
      <c r="F639" s="2">
        <v>306.35000000000002</v>
      </c>
      <c r="G639" s="2" t="s">
        <v>2394</v>
      </c>
      <c r="H639" s="2" t="s">
        <v>60</v>
      </c>
      <c r="I639" s="2" t="s">
        <v>19</v>
      </c>
      <c r="J639" s="2" t="s">
        <v>2395</v>
      </c>
      <c r="K639" s="2">
        <v>7</v>
      </c>
      <c r="L639" s="2" t="s">
        <v>81</v>
      </c>
      <c r="M639" s="2" t="s">
        <v>29</v>
      </c>
      <c r="N639" s="2">
        <v>1225.4000000000001</v>
      </c>
    </row>
    <row r="640" spans="1:14" ht="15" x14ac:dyDescent="0.25">
      <c r="A640" s="2" t="s">
        <v>2396</v>
      </c>
      <c r="B640" s="3">
        <v>45214</v>
      </c>
      <c r="C640" s="2" t="s">
        <v>2397</v>
      </c>
      <c r="D640" s="2" t="s">
        <v>32</v>
      </c>
      <c r="E640" s="2">
        <v>4</v>
      </c>
      <c r="F640" s="2">
        <v>578.27</v>
      </c>
      <c r="G640" s="2" t="s">
        <v>2398</v>
      </c>
      <c r="H640" s="2" t="s">
        <v>27</v>
      </c>
      <c r="I640" s="2" t="s">
        <v>50</v>
      </c>
      <c r="J640" s="2" t="s">
        <v>2399</v>
      </c>
      <c r="K640" s="2">
        <v>9</v>
      </c>
      <c r="L640" s="2" t="s">
        <v>81</v>
      </c>
      <c r="M640" s="2" t="s">
        <v>38</v>
      </c>
      <c r="N640" s="2">
        <v>2313.08</v>
      </c>
    </row>
    <row r="641" spans="1:14" ht="15" x14ac:dyDescent="0.25">
      <c r="A641" s="2" t="s">
        <v>2400</v>
      </c>
      <c r="B641" s="3">
        <v>44946</v>
      </c>
      <c r="C641" s="2" t="s">
        <v>2401</v>
      </c>
      <c r="D641" s="2" t="s">
        <v>41</v>
      </c>
      <c r="E641" s="2">
        <v>1</v>
      </c>
      <c r="F641" s="2">
        <v>529.19000000000005</v>
      </c>
      <c r="G641" s="2" t="s">
        <v>1798</v>
      </c>
      <c r="H641" s="2" t="s">
        <v>65</v>
      </c>
      <c r="I641" s="2" t="s">
        <v>35</v>
      </c>
      <c r="J641" s="2" t="s">
        <v>2402</v>
      </c>
      <c r="K641" s="2">
        <v>5</v>
      </c>
      <c r="M641" s="2" t="s">
        <v>29</v>
      </c>
      <c r="N641" s="2">
        <v>529.19000000000005</v>
      </c>
    </row>
    <row r="642" spans="1:14" ht="15" x14ac:dyDescent="0.25">
      <c r="A642" s="2" t="s">
        <v>2403</v>
      </c>
      <c r="B642" s="3">
        <v>45349</v>
      </c>
      <c r="C642" s="2" t="s">
        <v>2404</v>
      </c>
      <c r="D642" s="2" t="s">
        <v>41</v>
      </c>
      <c r="E642" s="2">
        <v>2</v>
      </c>
      <c r="F642" s="2">
        <v>587.49</v>
      </c>
      <c r="G642" s="2" t="s">
        <v>450</v>
      </c>
      <c r="H642" s="2" t="s">
        <v>60</v>
      </c>
      <c r="I642" s="2" t="s">
        <v>43</v>
      </c>
      <c r="J642" s="2" t="s">
        <v>2405</v>
      </c>
      <c r="K642" s="2">
        <v>6</v>
      </c>
      <c r="L642" s="2" t="s">
        <v>21</v>
      </c>
      <c r="M642" s="2" t="s">
        <v>29</v>
      </c>
      <c r="N642" s="2">
        <v>1174.98</v>
      </c>
    </row>
    <row r="643" spans="1:14" ht="15" x14ac:dyDescent="0.25">
      <c r="A643" s="2" t="s">
        <v>2406</v>
      </c>
      <c r="B643" s="3">
        <v>45473</v>
      </c>
      <c r="C643" s="2" t="s">
        <v>2407</v>
      </c>
      <c r="D643" s="2" t="s">
        <v>48</v>
      </c>
      <c r="E643" s="2">
        <v>4</v>
      </c>
      <c r="F643" s="2">
        <v>567.57000000000005</v>
      </c>
      <c r="G643" s="2" t="s">
        <v>1011</v>
      </c>
      <c r="H643" s="2" t="s">
        <v>18</v>
      </c>
      <c r="I643" s="2" t="s">
        <v>89</v>
      </c>
      <c r="J643" s="2" t="s">
        <v>2408</v>
      </c>
      <c r="K643" s="2">
        <v>9</v>
      </c>
      <c r="L643" s="2" t="s">
        <v>81</v>
      </c>
      <c r="M643" s="2" t="s">
        <v>76</v>
      </c>
      <c r="N643" s="2">
        <v>2270.2800000000002</v>
      </c>
    </row>
    <row r="644" spans="1:14" ht="15" x14ac:dyDescent="0.25">
      <c r="A644" s="2" t="s">
        <v>2409</v>
      </c>
      <c r="B644" s="3">
        <v>45411</v>
      </c>
      <c r="C644" s="2" t="s">
        <v>2410</v>
      </c>
      <c r="D644" s="2" t="s">
        <v>41</v>
      </c>
      <c r="E644" s="2">
        <v>5</v>
      </c>
      <c r="F644" s="2">
        <v>85.22</v>
      </c>
      <c r="G644" s="2" t="s">
        <v>2411</v>
      </c>
      <c r="H644" s="2" t="s">
        <v>34</v>
      </c>
      <c r="I644" s="2" t="s">
        <v>35</v>
      </c>
      <c r="J644" s="2" t="s">
        <v>2412</v>
      </c>
      <c r="K644" s="2">
        <v>7</v>
      </c>
      <c r="L644" s="2" t="s">
        <v>37</v>
      </c>
      <c r="M644" s="2" t="s">
        <v>38</v>
      </c>
      <c r="N644" s="2">
        <v>426.1</v>
      </c>
    </row>
    <row r="645" spans="1:14" ht="15" x14ac:dyDescent="0.25">
      <c r="A645" s="2" t="s">
        <v>2413</v>
      </c>
      <c r="B645" s="3">
        <v>45530</v>
      </c>
      <c r="C645" s="2" t="s">
        <v>2414</v>
      </c>
      <c r="D645" s="2" t="s">
        <v>58</v>
      </c>
      <c r="E645" s="2">
        <v>1</v>
      </c>
      <c r="F645" s="2">
        <v>438.37</v>
      </c>
      <c r="G645" s="2" t="s">
        <v>450</v>
      </c>
      <c r="H645" s="2" t="s">
        <v>65</v>
      </c>
      <c r="I645" s="2" t="s">
        <v>35</v>
      </c>
      <c r="J645" s="2" t="s">
        <v>2415</v>
      </c>
      <c r="K645" s="2">
        <v>4</v>
      </c>
      <c r="L645" s="2" t="s">
        <v>21</v>
      </c>
      <c r="M645" s="2" t="s">
        <v>29</v>
      </c>
      <c r="N645" s="2">
        <v>438.37</v>
      </c>
    </row>
    <row r="646" spans="1:14" ht="15" x14ac:dyDescent="0.25">
      <c r="A646" s="2" t="s">
        <v>2416</v>
      </c>
      <c r="B646" s="3">
        <v>45245</v>
      </c>
      <c r="C646" s="2" t="s">
        <v>2417</v>
      </c>
      <c r="D646" s="2" t="s">
        <v>41</v>
      </c>
      <c r="E646" s="2">
        <v>2</v>
      </c>
      <c r="F646" s="2">
        <v>366.23</v>
      </c>
      <c r="G646" s="2" t="s">
        <v>2418</v>
      </c>
      <c r="H646" s="2" t="s">
        <v>65</v>
      </c>
      <c r="I646" s="2" t="s">
        <v>19</v>
      </c>
      <c r="J646" s="2" t="s">
        <v>2419</v>
      </c>
      <c r="K646" s="2">
        <v>2</v>
      </c>
      <c r="L646" s="2" t="s">
        <v>81</v>
      </c>
      <c r="M646" s="2" t="s">
        <v>38</v>
      </c>
      <c r="N646" s="2">
        <v>732.46</v>
      </c>
    </row>
    <row r="647" spans="1:14" ht="15" x14ac:dyDescent="0.25">
      <c r="A647" s="2" t="s">
        <v>2420</v>
      </c>
      <c r="B647" s="3">
        <v>44928</v>
      </c>
      <c r="C647" s="2" t="s">
        <v>2421</v>
      </c>
      <c r="D647" s="2" t="s">
        <v>58</v>
      </c>
      <c r="E647" s="2">
        <v>2</v>
      </c>
      <c r="F647" s="2">
        <v>150.05000000000001</v>
      </c>
      <c r="G647" s="2" t="s">
        <v>525</v>
      </c>
      <c r="H647" s="2" t="s">
        <v>34</v>
      </c>
      <c r="I647" s="2" t="s">
        <v>35</v>
      </c>
      <c r="J647" s="2" t="s">
        <v>2422</v>
      </c>
      <c r="K647" s="2">
        <v>4</v>
      </c>
      <c r="L647" s="2" t="s">
        <v>21</v>
      </c>
      <c r="M647" s="2" t="s">
        <v>45</v>
      </c>
      <c r="N647" s="2">
        <v>300.10000000000002</v>
      </c>
    </row>
    <row r="648" spans="1:14" ht="15" x14ac:dyDescent="0.25">
      <c r="A648" s="2" t="s">
        <v>2423</v>
      </c>
      <c r="B648" s="3">
        <v>45226</v>
      </c>
      <c r="C648" s="2" t="s">
        <v>2424</v>
      </c>
      <c r="D648" s="2" t="s">
        <v>41</v>
      </c>
      <c r="E648" s="2">
        <v>4</v>
      </c>
      <c r="F648" s="2">
        <v>498.51</v>
      </c>
      <c r="G648" s="2" t="s">
        <v>2425</v>
      </c>
      <c r="H648" s="2" t="s">
        <v>18</v>
      </c>
      <c r="I648" s="2" t="s">
        <v>19</v>
      </c>
      <c r="J648" s="2" t="s">
        <v>2426</v>
      </c>
      <c r="K648" s="2">
        <v>4</v>
      </c>
      <c r="L648" s="2" t="s">
        <v>21</v>
      </c>
      <c r="M648" s="2" t="s">
        <v>76</v>
      </c>
      <c r="N648" s="2">
        <v>1994.04</v>
      </c>
    </row>
    <row r="649" spans="1:14" ht="15" x14ac:dyDescent="0.25">
      <c r="A649" s="2" t="s">
        <v>2427</v>
      </c>
      <c r="B649" s="3">
        <v>45771</v>
      </c>
      <c r="C649" s="2" t="s">
        <v>2428</v>
      </c>
      <c r="D649" s="2" t="s">
        <v>73</v>
      </c>
      <c r="E649" s="2">
        <v>3</v>
      </c>
      <c r="F649" s="2">
        <v>339.39</v>
      </c>
      <c r="G649" s="2" t="s">
        <v>681</v>
      </c>
      <c r="H649" s="2" t="s">
        <v>65</v>
      </c>
      <c r="I649" s="2" t="s">
        <v>43</v>
      </c>
      <c r="J649" s="2" t="s">
        <v>2429</v>
      </c>
      <c r="K649" s="2">
        <v>7</v>
      </c>
      <c r="L649" s="2" t="s">
        <v>37</v>
      </c>
      <c r="M649" s="2" t="s">
        <v>76</v>
      </c>
      <c r="N649" s="2">
        <v>1018.17</v>
      </c>
    </row>
    <row r="650" spans="1:14" ht="15" x14ac:dyDescent="0.25">
      <c r="A650" s="2" t="s">
        <v>2430</v>
      </c>
      <c r="B650" s="3">
        <v>45675</v>
      </c>
      <c r="C650" s="2" t="s">
        <v>2431</v>
      </c>
      <c r="D650" s="2" t="s">
        <v>16</v>
      </c>
      <c r="E650" s="2">
        <v>2</v>
      </c>
      <c r="F650" s="2">
        <v>575.83000000000004</v>
      </c>
      <c r="G650" s="2" t="s">
        <v>2432</v>
      </c>
      <c r="H650" s="2" t="s">
        <v>27</v>
      </c>
      <c r="I650" s="2" t="s">
        <v>50</v>
      </c>
      <c r="J650" s="2" t="s">
        <v>2433</v>
      </c>
      <c r="K650" s="2">
        <v>3</v>
      </c>
      <c r="L650" s="2" t="s">
        <v>81</v>
      </c>
      <c r="M650" s="2" t="s">
        <v>29</v>
      </c>
      <c r="N650" s="2">
        <v>1151.6600000000001</v>
      </c>
    </row>
    <row r="651" spans="1:14" ht="15" x14ac:dyDescent="0.25">
      <c r="A651" s="2" t="s">
        <v>2434</v>
      </c>
      <c r="B651" s="3">
        <v>45283</v>
      </c>
      <c r="C651" s="2" t="s">
        <v>2435</v>
      </c>
      <c r="D651" s="2" t="s">
        <v>16</v>
      </c>
      <c r="E651" s="2">
        <v>2</v>
      </c>
      <c r="F651" s="2">
        <v>642.98</v>
      </c>
      <c r="G651" s="2" t="s">
        <v>1043</v>
      </c>
      <c r="H651" s="2" t="s">
        <v>18</v>
      </c>
      <c r="I651" s="2" t="s">
        <v>43</v>
      </c>
      <c r="J651" s="2" t="s">
        <v>2436</v>
      </c>
      <c r="K651" s="2">
        <v>7</v>
      </c>
      <c r="L651" s="2" t="s">
        <v>37</v>
      </c>
      <c r="M651" s="2" t="s">
        <v>38</v>
      </c>
      <c r="N651" s="2">
        <v>1285.96</v>
      </c>
    </row>
    <row r="652" spans="1:14" ht="15" x14ac:dyDescent="0.25">
      <c r="A652" s="2" t="s">
        <v>2437</v>
      </c>
      <c r="B652" s="3">
        <v>45064</v>
      </c>
      <c r="C652" s="2" t="s">
        <v>2438</v>
      </c>
      <c r="D652" s="2" t="s">
        <v>73</v>
      </c>
      <c r="E652" s="2">
        <v>2</v>
      </c>
      <c r="F652" s="2">
        <v>372.23</v>
      </c>
      <c r="G652" s="2" t="s">
        <v>2439</v>
      </c>
      <c r="H652" s="2" t="s">
        <v>60</v>
      </c>
      <c r="I652" s="2" t="s">
        <v>50</v>
      </c>
      <c r="J652" s="2" t="s">
        <v>2440</v>
      </c>
      <c r="K652" s="2">
        <v>7</v>
      </c>
      <c r="L652" s="2" t="s">
        <v>21</v>
      </c>
      <c r="M652" s="2" t="s">
        <v>38</v>
      </c>
      <c r="N652" s="2">
        <v>744.46</v>
      </c>
    </row>
    <row r="653" spans="1:14" ht="15" x14ac:dyDescent="0.25">
      <c r="A653" s="2" t="s">
        <v>2441</v>
      </c>
      <c r="B653" s="3">
        <v>45608</v>
      </c>
      <c r="C653" s="2" t="s">
        <v>2442</v>
      </c>
      <c r="D653" s="2" t="s">
        <v>41</v>
      </c>
      <c r="E653" s="2">
        <v>3</v>
      </c>
      <c r="F653" s="2">
        <v>646.34</v>
      </c>
      <c r="G653" s="2" t="s">
        <v>794</v>
      </c>
      <c r="H653" s="2" t="s">
        <v>18</v>
      </c>
      <c r="I653" s="2" t="s">
        <v>89</v>
      </c>
      <c r="J653" s="2" t="s">
        <v>2443</v>
      </c>
      <c r="K653" s="2">
        <v>5</v>
      </c>
      <c r="M653" s="2" t="s">
        <v>76</v>
      </c>
      <c r="N653" s="2">
        <v>1939.02</v>
      </c>
    </row>
    <row r="654" spans="1:14" ht="15" x14ac:dyDescent="0.25">
      <c r="A654" s="2" t="s">
        <v>2444</v>
      </c>
      <c r="B654" s="3">
        <v>45448</v>
      </c>
      <c r="C654" s="2" t="s">
        <v>2445</v>
      </c>
      <c r="D654" s="2" t="s">
        <v>41</v>
      </c>
      <c r="E654" s="2">
        <v>5</v>
      </c>
      <c r="F654" s="2">
        <v>341.84</v>
      </c>
      <c r="G654" s="2" t="s">
        <v>2446</v>
      </c>
      <c r="H654" s="2" t="s">
        <v>27</v>
      </c>
      <c r="I654" s="2" t="s">
        <v>19</v>
      </c>
      <c r="J654" s="2" t="s">
        <v>2447</v>
      </c>
      <c r="K654" s="2">
        <v>8</v>
      </c>
      <c r="L654" s="2" t="s">
        <v>37</v>
      </c>
      <c r="M654" s="2" t="s">
        <v>22</v>
      </c>
      <c r="N654" s="2">
        <v>1709.2</v>
      </c>
    </row>
    <row r="655" spans="1:14" ht="15" x14ac:dyDescent="0.25">
      <c r="A655" s="2" t="s">
        <v>2448</v>
      </c>
      <c r="B655" s="3">
        <v>45347</v>
      </c>
      <c r="C655" s="2" t="s">
        <v>2449</v>
      </c>
      <c r="D655" s="2" t="s">
        <v>48</v>
      </c>
      <c r="E655" s="2">
        <v>3</v>
      </c>
      <c r="F655" s="2">
        <v>690.3</v>
      </c>
      <c r="G655" s="2" t="s">
        <v>1415</v>
      </c>
      <c r="H655" s="2" t="s">
        <v>34</v>
      </c>
      <c r="I655" s="2" t="s">
        <v>19</v>
      </c>
      <c r="J655" s="2" t="s">
        <v>2450</v>
      </c>
      <c r="K655" s="2">
        <v>6</v>
      </c>
      <c r="L655" s="2" t="s">
        <v>81</v>
      </c>
      <c r="M655" s="2" t="s">
        <v>76</v>
      </c>
      <c r="N655" s="2">
        <v>2070.9</v>
      </c>
    </row>
    <row r="656" spans="1:14" ht="15" x14ac:dyDescent="0.25">
      <c r="A656" s="2" t="s">
        <v>2451</v>
      </c>
      <c r="B656" s="3">
        <v>45089</v>
      </c>
      <c r="C656" s="2" t="s">
        <v>2452</v>
      </c>
      <c r="D656" s="2" t="s">
        <v>32</v>
      </c>
      <c r="E656" s="2">
        <v>3</v>
      </c>
      <c r="F656" s="2">
        <v>382.37</v>
      </c>
      <c r="G656" s="2" t="s">
        <v>2453</v>
      </c>
      <c r="H656" s="2" t="s">
        <v>18</v>
      </c>
      <c r="I656" s="2" t="s">
        <v>43</v>
      </c>
      <c r="J656" s="2" t="s">
        <v>2454</v>
      </c>
      <c r="K656" s="2">
        <v>8</v>
      </c>
      <c r="M656" s="2" t="s">
        <v>22</v>
      </c>
      <c r="N656" s="2">
        <v>1147.1099999999999</v>
      </c>
    </row>
    <row r="657" spans="1:14" ht="15" x14ac:dyDescent="0.25">
      <c r="A657" s="2" t="s">
        <v>2455</v>
      </c>
      <c r="B657" s="3">
        <v>44999</v>
      </c>
      <c r="C657" s="2" t="s">
        <v>2456</v>
      </c>
      <c r="D657" s="2" t="s">
        <v>41</v>
      </c>
      <c r="E657" s="2">
        <v>2</v>
      </c>
      <c r="F657" s="2">
        <v>132.6</v>
      </c>
      <c r="G657" s="2" t="s">
        <v>1727</v>
      </c>
      <c r="H657" s="2" t="s">
        <v>18</v>
      </c>
      <c r="I657" s="2" t="s">
        <v>35</v>
      </c>
      <c r="J657" s="2" t="s">
        <v>2457</v>
      </c>
      <c r="K657" s="2">
        <v>4</v>
      </c>
      <c r="L657" s="2" t="s">
        <v>81</v>
      </c>
      <c r="M657" s="2" t="s">
        <v>38</v>
      </c>
      <c r="N657" s="2">
        <v>265.2</v>
      </c>
    </row>
    <row r="658" spans="1:14" ht="15" x14ac:dyDescent="0.25">
      <c r="A658" s="2" t="s">
        <v>2458</v>
      </c>
      <c r="B658" s="3">
        <v>45309</v>
      </c>
      <c r="C658" s="2" t="s">
        <v>2459</v>
      </c>
      <c r="D658" s="2" t="s">
        <v>16</v>
      </c>
      <c r="E658" s="2">
        <v>2</v>
      </c>
      <c r="F658" s="2">
        <v>189.06</v>
      </c>
      <c r="G658" s="2" t="s">
        <v>2460</v>
      </c>
      <c r="H658" s="2" t="s">
        <v>60</v>
      </c>
      <c r="I658" s="2" t="s">
        <v>19</v>
      </c>
      <c r="J658" s="2" t="s">
        <v>2461</v>
      </c>
      <c r="K658" s="2">
        <v>7</v>
      </c>
      <c r="L658" s="2" t="s">
        <v>21</v>
      </c>
      <c r="M658" s="2" t="s">
        <v>45</v>
      </c>
      <c r="N658" s="2">
        <v>378.12</v>
      </c>
    </row>
    <row r="659" spans="1:14" ht="15" x14ac:dyDescent="0.25">
      <c r="A659" s="2" t="s">
        <v>2462</v>
      </c>
      <c r="B659" s="3">
        <v>45284</v>
      </c>
      <c r="C659" s="2" t="s">
        <v>2463</v>
      </c>
      <c r="D659" s="2" t="s">
        <v>32</v>
      </c>
      <c r="E659" s="2">
        <v>4</v>
      </c>
      <c r="F659" s="2">
        <v>87.79</v>
      </c>
      <c r="G659" s="2" t="s">
        <v>1306</v>
      </c>
      <c r="H659" s="2" t="s">
        <v>65</v>
      </c>
      <c r="I659" s="2" t="s">
        <v>35</v>
      </c>
      <c r="J659" s="2" t="s">
        <v>2464</v>
      </c>
      <c r="K659" s="2">
        <v>6</v>
      </c>
      <c r="L659" s="2" t="s">
        <v>37</v>
      </c>
      <c r="M659" s="2" t="s">
        <v>22</v>
      </c>
      <c r="N659" s="2">
        <v>351.16</v>
      </c>
    </row>
    <row r="660" spans="1:14" ht="15" x14ac:dyDescent="0.25">
      <c r="A660" s="2" t="s">
        <v>2465</v>
      </c>
      <c r="B660" s="3">
        <v>45765</v>
      </c>
      <c r="C660" s="2" t="s">
        <v>2466</v>
      </c>
      <c r="D660" s="2" t="s">
        <v>48</v>
      </c>
      <c r="E660" s="2">
        <v>2</v>
      </c>
      <c r="F660" s="2">
        <v>46.36</v>
      </c>
      <c r="G660" s="2" t="s">
        <v>1161</v>
      </c>
      <c r="H660" s="2" t="s">
        <v>60</v>
      </c>
      <c r="I660" s="2" t="s">
        <v>43</v>
      </c>
      <c r="J660" s="2" t="s">
        <v>2467</v>
      </c>
      <c r="K660" s="2">
        <v>4</v>
      </c>
      <c r="L660" s="2" t="s">
        <v>21</v>
      </c>
      <c r="M660" s="2" t="s">
        <v>76</v>
      </c>
      <c r="N660" s="2">
        <v>92.72</v>
      </c>
    </row>
    <row r="661" spans="1:14" ht="15" x14ac:dyDescent="0.25">
      <c r="A661" s="2" t="s">
        <v>2468</v>
      </c>
      <c r="B661" s="3">
        <v>45591</v>
      </c>
      <c r="C661" s="2" t="s">
        <v>2469</v>
      </c>
      <c r="D661" s="2" t="s">
        <v>25</v>
      </c>
      <c r="E661" s="2">
        <v>2</v>
      </c>
      <c r="F661" s="2">
        <v>642.04</v>
      </c>
      <c r="G661" s="2" t="s">
        <v>2079</v>
      </c>
      <c r="H661" s="2" t="s">
        <v>60</v>
      </c>
      <c r="I661" s="2" t="s">
        <v>50</v>
      </c>
      <c r="J661" s="2" t="s">
        <v>2470</v>
      </c>
      <c r="K661" s="2">
        <v>4</v>
      </c>
      <c r="L661" s="2" t="s">
        <v>81</v>
      </c>
      <c r="M661" s="2" t="s">
        <v>38</v>
      </c>
      <c r="N661" s="2">
        <v>1284.08</v>
      </c>
    </row>
    <row r="662" spans="1:14" ht="15" x14ac:dyDescent="0.25">
      <c r="A662" s="2" t="s">
        <v>2471</v>
      </c>
      <c r="B662" s="3">
        <v>45584</v>
      </c>
      <c r="C662" s="2" t="s">
        <v>2472</v>
      </c>
      <c r="D662" s="2" t="s">
        <v>41</v>
      </c>
      <c r="E662" s="2">
        <v>2</v>
      </c>
      <c r="F662" s="2">
        <v>651.57000000000005</v>
      </c>
      <c r="G662" s="2" t="s">
        <v>603</v>
      </c>
      <c r="H662" s="2" t="s">
        <v>18</v>
      </c>
      <c r="I662" s="2" t="s">
        <v>19</v>
      </c>
      <c r="J662" s="2" t="s">
        <v>2473</v>
      </c>
      <c r="K662" s="2">
        <v>7</v>
      </c>
      <c r="L662" s="2" t="s">
        <v>81</v>
      </c>
      <c r="M662" s="2" t="s">
        <v>45</v>
      </c>
      <c r="N662" s="2">
        <v>1303.1400000000001</v>
      </c>
    </row>
    <row r="663" spans="1:14" ht="15" x14ac:dyDescent="0.25">
      <c r="A663" s="2" t="s">
        <v>2474</v>
      </c>
      <c r="B663" s="3">
        <v>45716</v>
      </c>
      <c r="C663" s="2" t="s">
        <v>2475</v>
      </c>
      <c r="D663" s="2" t="s">
        <v>32</v>
      </c>
      <c r="E663" s="2">
        <v>3</v>
      </c>
      <c r="F663" s="2">
        <v>424.89</v>
      </c>
      <c r="G663" s="2" t="s">
        <v>2476</v>
      </c>
      <c r="H663" s="2" t="s">
        <v>18</v>
      </c>
      <c r="I663" s="2" t="s">
        <v>35</v>
      </c>
      <c r="J663" s="2" t="s">
        <v>2477</v>
      </c>
      <c r="K663" s="2">
        <v>6</v>
      </c>
      <c r="L663" s="2" t="s">
        <v>37</v>
      </c>
      <c r="M663" s="2" t="s">
        <v>76</v>
      </c>
      <c r="N663" s="2">
        <v>1274.67</v>
      </c>
    </row>
    <row r="664" spans="1:14" ht="15" x14ac:dyDescent="0.25">
      <c r="A664" s="2" t="s">
        <v>2478</v>
      </c>
      <c r="B664" s="3">
        <v>44954</v>
      </c>
      <c r="C664" s="2" t="s">
        <v>2479</v>
      </c>
      <c r="D664" s="2" t="s">
        <v>58</v>
      </c>
      <c r="E664" s="2">
        <v>3</v>
      </c>
      <c r="F664" s="2">
        <v>438.89</v>
      </c>
      <c r="G664" s="2" t="s">
        <v>2480</v>
      </c>
      <c r="H664" s="2" t="s">
        <v>65</v>
      </c>
      <c r="I664" s="2" t="s">
        <v>43</v>
      </c>
      <c r="J664" s="2" t="s">
        <v>2481</v>
      </c>
      <c r="K664" s="2">
        <v>3</v>
      </c>
      <c r="M664" s="2" t="s">
        <v>45</v>
      </c>
      <c r="N664" s="2">
        <v>1316.67</v>
      </c>
    </row>
    <row r="665" spans="1:14" ht="15" x14ac:dyDescent="0.25">
      <c r="A665" s="2" t="s">
        <v>2482</v>
      </c>
      <c r="B665" s="3">
        <v>45397</v>
      </c>
      <c r="C665" s="2" t="s">
        <v>2483</v>
      </c>
      <c r="D665" s="2" t="s">
        <v>16</v>
      </c>
      <c r="E665" s="2">
        <v>1</v>
      </c>
      <c r="F665" s="2">
        <v>72.599999999999994</v>
      </c>
      <c r="G665" s="2" t="s">
        <v>1988</v>
      </c>
      <c r="H665" s="2" t="s">
        <v>18</v>
      </c>
      <c r="I665" s="2" t="s">
        <v>35</v>
      </c>
      <c r="J665" s="2" t="s">
        <v>2484</v>
      </c>
      <c r="K665" s="2">
        <v>6</v>
      </c>
      <c r="L665" s="2" t="s">
        <v>37</v>
      </c>
      <c r="M665" s="2" t="s">
        <v>22</v>
      </c>
      <c r="N665" s="2">
        <v>72.599999999999994</v>
      </c>
    </row>
    <row r="666" spans="1:14" ht="15" x14ac:dyDescent="0.25">
      <c r="A666" s="2" t="s">
        <v>2485</v>
      </c>
      <c r="B666" s="3">
        <v>45645</v>
      </c>
      <c r="C666" s="2" t="s">
        <v>951</v>
      </c>
      <c r="D666" s="2" t="s">
        <v>58</v>
      </c>
      <c r="E666" s="2">
        <v>4</v>
      </c>
      <c r="F666" s="2">
        <v>194.75</v>
      </c>
      <c r="G666" s="2" t="s">
        <v>2486</v>
      </c>
      <c r="H666" s="2" t="s">
        <v>65</v>
      </c>
      <c r="I666" s="2" t="s">
        <v>19</v>
      </c>
      <c r="J666" s="2" t="s">
        <v>2487</v>
      </c>
      <c r="K666" s="2">
        <v>5</v>
      </c>
      <c r="M666" s="2" t="s">
        <v>45</v>
      </c>
      <c r="N666" s="2">
        <v>779</v>
      </c>
    </row>
    <row r="667" spans="1:14" ht="15" x14ac:dyDescent="0.25">
      <c r="A667" s="2" t="s">
        <v>2488</v>
      </c>
      <c r="B667" s="3">
        <v>45048</v>
      </c>
      <c r="C667" s="2" t="s">
        <v>2489</v>
      </c>
      <c r="D667" s="2" t="s">
        <v>32</v>
      </c>
      <c r="E667" s="2">
        <v>4</v>
      </c>
      <c r="F667" s="2">
        <v>231.26</v>
      </c>
      <c r="G667" s="2" t="s">
        <v>2490</v>
      </c>
      <c r="H667" s="2" t="s">
        <v>27</v>
      </c>
      <c r="I667" s="2" t="s">
        <v>19</v>
      </c>
      <c r="J667" s="2" t="s">
        <v>2491</v>
      </c>
      <c r="K667" s="2">
        <v>6</v>
      </c>
      <c r="L667" s="2" t="s">
        <v>81</v>
      </c>
      <c r="M667" s="2" t="s">
        <v>76</v>
      </c>
      <c r="N667" s="2">
        <v>925.04</v>
      </c>
    </row>
    <row r="668" spans="1:14" ht="15" x14ac:dyDescent="0.25">
      <c r="A668" s="2" t="s">
        <v>2492</v>
      </c>
      <c r="B668" s="3">
        <v>45535</v>
      </c>
      <c r="C668" s="2" t="s">
        <v>2493</v>
      </c>
      <c r="D668" s="2" t="s">
        <v>16</v>
      </c>
      <c r="E668" s="2">
        <v>4</v>
      </c>
      <c r="F668" s="2">
        <v>327.12</v>
      </c>
      <c r="G668" s="2" t="s">
        <v>2294</v>
      </c>
      <c r="H668" s="2" t="s">
        <v>34</v>
      </c>
      <c r="I668" s="2" t="s">
        <v>35</v>
      </c>
      <c r="J668" s="2" t="s">
        <v>2494</v>
      </c>
      <c r="K668" s="2">
        <v>4</v>
      </c>
      <c r="M668" s="2" t="s">
        <v>38</v>
      </c>
      <c r="N668" s="2">
        <v>1308.48</v>
      </c>
    </row>
    <row r="669" spans="1:14" ht="15" x14ac:dyDescent="0.25">
      <c r="A669" s="2" t="s">
        <v>2495</v>
      </c>
      <c r="B669" s="3">
        <v>45049</v>
      </c>
      <c r="C669" s="2" t="s">
        <v>2496</v>
      </c>
      <c r="D669" s="2" t="s">
        <v>58</v>
      </c>
      <c r="E669" s="2">
        <v>1</v>
      </c>
      <c r="F669" s="2">
        <v>466.42</v>
      </c>
      <c r="G669" s="2" t="s">
        <v>830</v>
      </c>
      <c r="H669" s="2" t="s">
        <v>60</v>
      </c>
      <c r="I669" s="2" t="s">
        <v>89</v>
      </c>
      <c r="J669" s="2" t="s">
        <v>2497</v>
      </c>
      <c r="K669" s="2">
        <v>5</v>
      </c>
      <c r="L669" s="2" t="s">
        <v>21</v>
      </c>
      <c r="M669" s="2" t="s">
        <v>38</v>
      </c>
      <c r="N669" s="2">
        <v>466.42</v>
      </c>
    </row>
    <row r="670" spans="1:14" ht="15" x14ac:dyDescent="0.25">
      <c r="A670" s="2" t="s">
        <v>2498</v>
      </c>
      <c r="B670" s="3">
        <v>45478</v>
      </c>
      <c r="C670" s="2" t="s">
        <v>2499</v>
      </c>
      <c r="D670" s="2" t="s">
        <v>16</v>
      </c>
      <c r="E670" s="2">
        <v>2</v>
      </c>
      <c r="F670" s="2">
        <v>253.67</v>
      </c>
      <c r="G670" s="2" t="s">
        <v>630</v>
      </c>
      <c r="H670" s="2" t="s">
        <v>65</v>
      </c>
      <c r="I670" s="2" t="s">
        <v>43</v>
      </c>
      <c r="J670" s="2" t="s">
        <v>2500</v>
      </c>
      <c r="K670" s="2">
        <v>3</v>
      </c>
      <c r="L670" s="2" t="s">
        <v>81</v>
      </c>
      <c r="M670" s="2" t="s">
        <v>45</v>
      </c>
      <c r="N670" s="2">
        <v>507.34</v>
      </c>
    </row>
    <row r="671" spans="1:14" ht="15" x14ac:dyDescent="0.25">
      <c r="A671" s="2" t="s">
        <v>2501</v>
      </c>
      <c r="B671" s="3">
        <v>44962</v>
      </c>
      <c r="C671" s="2" t="s">
        <v>2502</v>
      </c>
      <c r="D671" s="2" t="s">
        <v>73</v>
      </c>
      <c r="E671" s="2">
        <v>1</v>
      </c>
      <c r="F671" s="2">
        <v>257</v>
      </c>
      <c r="G671" s="2" t="s">
        <v>2503</v>
      </c>
      <c r="H671" s="2" t="s">
        <v>18</v>
      </c>
      <c r="I671" s="2" t="s">
        <v>35</v>
      </c>
      <c r="J671" s="2" t="s">
        <v>2504</v>
      </c>
      <c r="K671" s="2">
        <v>5</v>
      </c>
      <c r="M671" s="2" t="s">
        <v>29</v>
      </c>
      <c r="N671" s="2">
        <v>257</v>
      </c>
    </row>
    <row r="672" spans="1:14" ht="15" x14ac:dyDescent="0.25">
      <c r="A672" s="2" t="s">
        <v>2505</v>
      </c>
      <c r="B672" s="3">
        <v>45400</v>
      </c>
      <c r="C672" s="2" t="s">
        <v>2506</v>
      </c>
      <c r="D672" s="2" t="s">
        <v>73</v>
      </c>
      <c r="E672" s="2">
        <v>4</v>
      </c>
      <c r="F672" s="2">
        <v>539.20000000000005</v>
      </c>
      <c r="G672" s="2" t="s">
        <v>1415</v>
      </c>
      <c r="H672" s="2" t="s">
        <v>34</v>
      </c>
      <c r="I672" s="2" t="s">
        <v>89</v>
      </c>
      <c r="J672" s="2" t="s">
        <v>2507</v>
      </c>
      <c r="K672" s="2">
        <v>8</v>
      </c>
      <c r="L672" s="2" t="s">
        <v>37</v>
      </c>
      <c r="M672" s="2" t="s">
        <v>76</v>
      </c>
      <c r="N672" s="2">
        <v>2156.8000000000002</v>
      </c>
    </row>
    <row r="673" spans="1:14" ht="15" x14ac:dyDescent="0.25">
      <c r="A673" s="2" t="s">
        <v>2508</v>
      </c>
      <c r="B673" s="3">
        <v>45092</v>
      </c>
      <c r="C673" s="2" t="s">
        <v>2509</v>
      </c>
      <c r="D673" s="2" t="s">
        <v>41</v>
      </c>
      <c r="E673" s="2">
        <v>5</v>
      </c>
      <c r="F673" s="2">
        <v>50.74</v>
      </c>
      <c r="G673" s="2" t="s">
        <v>659</v>
      </c>
      <c r="H673" s="2" t="s">
        <v>60</v>
      </c>
      <c r="I673" s="2" t="s">
        <v>35</v>
      </c>
      <c r="J673" s="2" t="s">
        <v>2510</v>
      </c>
      <c r="K673" s="2">
        <v>7</v>
      </c>
      <c r="L673" s="2" t="s">
        <v>81</v>
      </c>
      <c r="M673" s="2" t="s">
        <v>76</v>
      </c>
      <c r="N673" s="2">
        <v>253.7</v>
      </c>
    </row>
    <row r="674" spans="1:14" ht="15" x14ac:dyDescent="0.25">
      <c r="A674" s="2" t="s">
        <v>2511</v>
      </c>
      <c r="B674" s="3">
        <v>45055</v>
      </c>
      <c r="C674" s="2" t="s">
        <v>2512</v>
      </c>
      <c r="D674" s="2" t="s">
        <v>25</v>
      </c>
      <c r="E674" s="2">
        <v>2</v>
      </c>
      <c r="F674" s="2">
        <v>624.16</v>
      </c>
      <c r="G674" s="2" t="s">
        <v>2321</v>
      </c>
      <c r="H674" s="2" t="s">
        <v>18</v>
      </c>
      <c r="I674" s="2" t="s">
        <v>19</v>
      </c>
      <c r="J674" s="2" t="s">
        <v>2513</v>
      </c>
      <c r="K674" s="2">
        <v>2</v>
      </c>
      <c r="L674" s="2" t="s">
        <v>21</v>
      </c>
      <c r="M674" s="2" t="s">
        <v>22</v>
      </c>
      <c r="N674" s="2">
        <v>1248.32</v>
      </c>
    </row>
    <row r="675" spans="1:14" ht="15" x14ac:dyDescent="0.25">
      <c r="A675" s="2" t="s">
        <v>2514</v>
      </c>
      <c r="B675" s="3">
        <v>44978</v>
      </c>
      <c r="C675" s="2" t="s">
        <v>2515</v>
      </c>
      <c r="D675" s="2" t="s">
        <v>32</v>
      </c>
      <c r="E675" s="2">
        <v>2</v>
      </c>
      <c r="F675" s="2">
        <v>372.92</v>
      </c>
      <c r="G675" s="2" t="s">
        <v>470</v>
      </c>
      <c r="H675" s="2" t="s">
        <v>34</v>
      </c>
      <c r="I675" s="2" t="s">
        <v>50</v>
      </c>
      <c r="J675" s="2" t="s">
        <v>2516</v>
      </c>
      <c r="K675" s="2">
        <v>7</v>
      </c>
      <c r="L675" s="2" t="s">
        <v>21</v>
      </c>
      <c r="M675" s="2" t="s">
        <v>38</v>
      </c>
      <c r="N675" s="2">
        <v>745.84</v>
      </c>
    </row>
    <row r="676" spans="1:14" ht="15" x14ac:dyDescent="0.25">
      <c r="A676" s="2" t="s">
        <v>2517</v>
      </c>
      <c r="B676" s="3">
        <v>45300</v>
      </c>
      <c r="C676" s="2" t="s">
        <v>2518</v>
      </c>
      <c r="D676" s="2" t="s">
        <v>58</v>
      </c>
      <c r="E676" s="2">
        <v>4</v>
      </c>
      <c r="F676" s="2">
        <v>358.75</v>
      </c>
      <c r="G676" s="2" t="s">
        <v>2519</v>
      </c>
      <c r="H676" s="2" t="s">
        <v>60</v>
      </c>
      <c r="I676" s="2" t="s">
        <v>50</v>
      </c>
      <c r="J676" s="2" t="s">
        <v>2520</v>
      </c>
      <c r="K676" s="2">
        <v>9</v>
      </c>
      <c r="L676" s="2" t="s">
        <v>21</v>
      </c>
      <c r="M676" s="2" t="s">
        <v>45</v>
      </c>
      <c r="N676" s="2">
        <v>1435</v>
      </c>
    </row>
    <row r="677" spans="1:14" ht="15" x14ac:dyDescent="0.25">
      <c r="A677" s="2" t="s">
        <v>2521</v>
      </c>
      <c r="B677" s="3">
        <v>45510</v>
      </c>
      <c r="C677" s="2" t="s">
        <v>2522</v>
      </c>
      <c r="D677" s="2" t="s">
        <v>73</v>
      </c>
      <c r="E677" s="2">
        <v>3</v>
      </c>
      <c r="F677" s="2">
        <v>342.02</v>
      </c>
      <c r="G677" s="2" t="s">
        <v>2040</v>
      </c>
      <c r="H677" s="2" t="s">
        <v>18</v>
      </c>
      <c r="I677" s="2" t="s">
        <v>89</v>
      </c>
      <c r="J677" s="2" t="s">
        <v>2523</v>
      </c>
      <c r="K677" s="2">
        <v>5</v>
      </c>
      <c r="M677" s="2" t="s">
        <v>38</v>
      </c>
      <c r="N677" s="2">
        <v>1026.06</v>
      </c>
    </row>
    <row r="678" spans="1:14" ht="15" x14ac:dyDescent="0.25">
      <c r="A678" s="2" t="s">
        <v>2524</v>
      </c>
      <c r="B678" s="3">
        <v>45831</v>
      </c>
      <c r="C678" s="2" t="s">
        <v>2525</v>
      </c>
      <c r="D678" s="2" t="s">
        <v>58</v>
      </c>
      <c r="E678" s="2">
        <v>2</v>
      </c>
      <c r="F678" s="2">
        <v>422.34</v>
      </c>
      <c r="G678" s="2" t="s">
        <v>2480</v>
      </c>
      <c r="H678" s="2" t="s">
        <v>34</v>
      </c>
      <c r="I678" s="2" t="s">
        <v>35</v>
      </c>
      <c r="J678" s="2" t="s">
        <v>2526</v>
      </c>
      <c r="K678" s="2">
        <v>4</v>
      </c>
      <c r="L678" s="2" t="s">
        <v>37</v>
      </c>
      <c r="M678" s="2" t="s">
        <v>22</v>
      </c>
      <c r="N678" s="2">
        <v>844.68</v>
      </c>
    </row>
    <row r="679" spans="1:14" ht="15" x14ac:dyDescent="0.25">
      <c r="A679" s="2" t="s">
        <v>2527</v>
      </c>
      <c r="B679" s="3">
        <v>45750</v>
      </c>
      <c r="C679" s="2" t="s">
        <v>2528</v>
      </c>
      <c r="D679" s="2" t="s">
        <v>32</v>
      </c>
      <c r="E679" s="2">
        <v>5</v>
      </c>
      <c r="F679" s="2">
        <v>22.07</v>
      </c>
      <c r="G679" s="2" t="s">
        <v>88</v>
      </c>
      <c r="H679" s="2" t="s">
        <v>27</v>
      </c>
      <c r="I679" s="2" t="s">
        <v>35</v>
      </c>
      <c r="J679" s="2" t="s">
        <v>2529</v>
      </c>
      <c r="K679" s="2">
        <v>7</v>
      </c>
      <c r="L679" s="2" t="s">
        <v>37</v>
      </c>
      <c r="M679" s="2" t="s">
        <v>22</v>
      </c>
      <c r="N679" s="2">
        <v>110.35</v>
      </c>
    </row>
    <row r="680" spans="1:14" ht="15" x14ac:dyDescent="0.25">
      <c r="A680" s="2" t="s">
        <v>2530</v>
      </c>
      <c r="B680" s="3">
        <v>45620</v>
      </c>
      <c r="C680" s="2" t="s">
        <v>2531</v>
      </c>
      <c r="D680" s="2" t="s">
        <v>41</v>
      </c>
      <c r="E680" s="2">
        <v>3</v>
      </c>
      <c r="F680" s="2">
        <v>163.13</v>
      </c>
      <c r="G680" s="2" t="s">
        <v>888</v>
      </c>
      <c r="H680" s="2" t="s">
        <v>60</v>
      </c>
      <c r="I680" s="2" t="s">
        <v>19</v>
      </c>
      <c r="J680" s="2" t="s">
        <v>2532</v>
      </c>
      <c r="K680" s="2">
        <v>5</v>
      </c>
      <c r="L680" s="2" t="s">
        <v>81</v>
      </c>
      <c r="M680" s="2" t="s">
        <v>45</v>
      </c>
      <c r="N680" s="2">
        <v>489.39</v>
      </c>
    </row>
    <row r="681" spans="1:14" ht="15" x14ac:dyDescent="0.25">
      <c r="A681" s="2" t="s">
        <v>2533</v>
      </c>
      <c r="B681" s="3">
        <v>44959</v>
      </c>
      <c r="C681" s="2" t="s">
        <v>2534</v>
      </c>
      <c r="D681" s="2" t="s">
        <v>32</v>
      </c>
      <c r="E681" s="2">
        <v>3</v>
      </c>
      <c r="F681" s="2">
        <v>360.66</v>
      </c>
      <c r="G681" s="2" t="s">
        <v>1564</v>
      </c>
      <c r="H681" s="2" t="s">
        <v>27</v>
      </c>
      <c r="I681" s="2" t="s">
        <v>43</v>
      </c>
      <c r="J681" s="2" t="s">
        <v>2535</v>
      </c>
      <c r="K681" s="2">
        <v>5</v>
      </c>
      <c r="L681" s="2" t="s">
        <v>37</v>
      </c>
      <c r="M681" s="2" t="s">
        <v>22</v>
      </c>
      <c r="N681" s="2">
        <v>1081.98</v>
      </c>
    </row>
    <row r="682" spans="1:14" ht="15" x14ac:dyDescent="0.25">
      <c r="A682" s="2" t="s">
        <v>2536</v>
      </c>
      <c r="B682" s="3">
        <v>45165</v>
      </c>
      <c r="C682" s="2" t="s">
        <v>2537</v>
      </c>
      <c r="D682" s="2" t="s">
        <v>16</v>
      </c>
      <c r="E682" s="2">
        <v>3</v>
      </c>
      <c r="F682" s="2">
        <v>463.39</v>
      </c>
      <c r="G682" s="2" t="s">
        <v>2538</v>
      </c>
      <c r="H682" s="2" t="s">
        <v>34</v>
      </c>
      <c r="I682" s="2" t="s">
        <v>43</v>
      </c>
      <c r="J682" s="2" t="s">
        <v>2539</v>
      </c>
      <c r="K682" s="2">
        <v>3</v>
      </c>
      <c r="M682" s="2" t="s">
        <v>45</v>
      </c>
      <c r="N682" s="2">
        <v>1390.17</v>
      </c>
    </row>
    <row r="683" spans="1:14" ht="15" x14ac:dyDescent="0.25">
      <c r="A683" s="2" t="s">
        <v>2540</v>
      </c>
      <c r="B683" s="3">
        <v>45321</v>
      </c>
      <c r="C683" s="2" t="s">
        <v>2541</v>
      </c>
      <c r="D683" s="2" t="s">
        <v>32</v>
      </c>
      <c r="E683" s="2">
        <v>1</v>
      </c>
      <c r="F683" s="2">
        <v>155.27000000000001</v>
      </c>
      <c r="G683" s="2" t="s">
        <v>2542</v>
      </c>
      <c r="H683" s="2" t="s">
        <v>18</v>
      </c>
      <c r="I683" s="2" t="s">
        <v>19</v>
      </c>
      <c r="J683" s="2" t="s">
        <v>2543</v>
      </c>
      <c r="K683" s="2">
        <v>6</v>
      </c>
      <c r="M683" s="2" t="s">
        <v>38</v>
      </c>
      <c r="N683" s="2">
        <v>155.27000000000001</v>
      </c>
    </row>
    <row r="684" spans="1:14" ht="15" x14ac:dyDescent="0.25">
      <c r="A684" s="2" t="s">
        <v>2544</v>
      </c>
      <c r="B684" s="3">
        <v>45130</v>
      </c>
      <c r="C684" s="2" t="s">
        <v>2545</v>
      </c>
      <c r="D684" s="2" t="s">
        <v>16</v>
      </c>
      <c r="E684" s="2">
        <v>3</v>
      </c>
      <c r="F684" s="2">
        <v>509.42</v>
      </c>
      <c r="G684" s="2" t="s">
        <v>1827</v>
      </c>
      <c r="H684" s="2" t="s">
        <v>34</v>
      </c>
      <c r="I684" s="2" t="s">
        <v>35</v>
      </c>
      <c r="J684" s="2" t="s">
        <v>2546</v>
      </c>
      <c r="K684" s="2">
        <v>5</v>
      </c>
      <c r="L684" s="2" t="s">
        <v>37</v>
      </c>
      <c r="M684" s="2" t="s">
        <v>76</v>
      </c>
      <c r="N684" s="2">
        <v>1528.26</v>
      </c>
    </row>
    <row r="685" spans="1:14" ht="15" x14ac:dyDescent="0.25">
      <c r="A685" s="2" t="s">
        <v>2547</v>
      </c>
      <c r="B685" s="3">
        <v>45795</v>
      </c>
      <c r="C685" s="2" t="s">
        <v>2548</v>
      </c>
      <c r="D685" s="2" t="s">
        <v>73</v>
      </c>
      <c r="E685" s="2">
        <v>4</v>
      </c>
      <c r="F685" s="2">
        <v>652.48</v>
      </c>
      <c r="G685" s="2" t="s">
        <v>2549</v>
      </c>
      <c r="H685" s="2" t="s">
        <v>65</v>
      </c>
      <c r="I685" s="2" t="s">
        <v>89</v>
      </c>
      <c r="J685" s="2" t="s">
        <v>2550</v>
      </c>
      <c r="K685" s="2">
        <v>5</v>
      </c>
      <c r="L685" s="2" t="s">
        <v>37</v>
      </c>
      <c r="M685" s="2" t="s">
        <v>22</v>
      </c>
      <c r="N685" s="2">
        <v>2609.92</v>
      </c>
    </row>
    <row r="686" spans="1:14" ht="15" x14ac:dyDescent="0.25">
      <c r="A686" s="2" t="s">
        <v>2551</v>
      </c>
      <c r="B686" s="3">
        <v>45557</v>
      </c>
      <c r="C686" s="2" t="s">
        <v>2552</v>
      </c>
      <c r="D686" s="2" t="s">
        <v>48</v>
      </c>
      <c r="E686" s="2">
        <v>4</v>
      </c>
      <c r="F686" s="2">
        <v>34.840000000000003</v>
      </c>
      <c r="G686" s="2" t="s">
        <v>2553</v>
      </c>
      <c r="H686" s="2" t="s">
        <v>34</v>
      </c>
      <c r="I686" s="2" t="s">
        <v>19</v>
      </c>
      <c r="J686" s="2" t="s">
        <v>2554</v>
      </c>
      <c r="K686" s="2">
        <v>8</v>
      </c>
      <c r="M686" s="2" t="s">
        <v>38</v>
      </c>
      <c r="N686" s="2">
        <v>139.36000000000001</v>
      </c>
    </row>
    <row r="687" spans="1:14" ht="15" x14ac:dyDescent="0.25">
      <c r="A687" s="2" t="s">
        <v>2555</v>
      </c>
      <c r="B687" s="3">
        <v>45695</v>
      </c>
      <c r="C687" s="2" t="s">
        <v>2556</v>
      </c>
      <c r="D687" s="2" t="s">
        <v>73</v>
      </c>
      <c r="E687" s="2">
        <v>1</v>
      </c>
      <c r="F687" s="2">
        <v>234.37</v>
      </c>
      <c r="G687" s="2" t="s">
        <v>2557</v>
      </c>
      <c r="H687" s="2" t="s">
        <v>18</v>
      </c>
      <c r="I687" s="2" t="s">
        <v>19</v>
      </c>
      <c r="J687" s="2" t="s">
        <v>2558</v>
      </c>
      <c r="K687" s="2">
        <v>5</v>
      </c>
      <c r="L687" s="2" t="s">
        <v>37</v>
      </c>
      <c r="M687" s="2" t="s">
        <v>38</v>
      </c>
      <c r="N687" s="2">
        <v>234.37</v>
      </c>
    </row>
    <row r="688" spans="1:14" ht="15" x14ac:dyDescent="0.25">
      <c r="A688" s="2" t="s">
        <v>2559</v>
      </c>
      <c r="B688" s="3">
        <v>45208</v>
      </c>
      <c r="C688" s="2" t="s">
        <v>2560</v>
      </c>
      <c r="D688" s="2" t="s">
        <v>73</v>
      </c>
      <c r="E688" s="2">
        <v>3</v>
      </c>
      <c r="F688" s="2">
        <v>53.6</v>
      </c>
      <c r="G688" s="2" t="s">
        <v>2561</v>
      </c>
      <c r="H688" s="2" t="s">
        <v>65</v>
      </c>
      <c r="I688" s="2" t="s">
        <v>89</v>
      </c>
      <c r="J688" s="2" t="s">
        <v>2562</v>
      </c>
      <c r="K688" s="2">
        <v>4</v>
      </c>
      <c r="L688" s="2" t="s">
        <v>81</v>
      </c>
      <c r="M688" s="2" t="s">
        <v>45</v>
      </c>
      <c r="N688" s="2">
        <v>160.80000000000001</v>
      </c>
    </row>
    <row r="689" spans="1:14" ht="15" x14ac:dyDescent="0.25">
      <c r="A689" s="2" t="s">
        <v>2563</v>
      </c>
      <c r="B689" s="3">
        <v>45182</v>
      </c>
      <c r="C689" s="2" t="s">
        <v>2564</v>
      </c>
      <c r="D689" s="2" t="s">
        <v>32</v>
      </c>
      <c r="E689" s="2">
        <v>1</v>
      </c>
      <c r="F689" s="2">
        <v>332.09</v>
      </c>
      <c r="G689" s="2" t="s">
        <v>2565</v>
      </c>
      <c r="H689" s="2" t="s">
        <v>60</v>
      </c>
      <c r="I689" s="2" t="s">
        <v>43</v>
      </c>
      <c r="J689" s="2" t="s">
        <v>2566</v>
      </c>
      <c r="K689" s="2">
        <v>5</v>
      </c>
      <c r="L689" s="2" t="s">
        <v>37</v>
      </c>
      <c r="M689" s="2" t="s">
        <v>22</v>
      </c>
      <c r="N689" s="2">
        <v>332.09</v>
      </c>
    </row>
    <row r="690" spans="1:14" ht="15" x14ac:dyDescent="0.25">
      <c r="A690" s="2" t="s">
        <v>2567</v>
      </c>
      <c r="B690" s="3">
        <v>45357</v>
      </c>
      <c r="C690" s="2" t="s">
        <v>2568</v>
      </c>
      <c r="D690" s="2" t="s">
        <v>16</v>
      </c>
      <c r="E690" s="2">
        <v>4</v>
      </c>
      <c r="F690" s="2">
        <v>593.22</v>
      </c>
      <c r="G690" s="2" t="s">
        <v>2311</v>
      </c>
      <c r="H690" s="2" t="s">
        <v>34</v>
      </c>
      <c r="I690" s="2" t="s">
        <v>35</v>
      </c>
      <c r="J690" s="2" t="s">
        <v>2569</v>
      </c>
      <c r="K690" s="2">
        <v>8</v>
      </c>
      <c r="L690" s="2" t="s">
        <v>81</v>
      </c>
      <c r="M690" s="2" t="s">
        <v>45</v>
      </c>
      <c r="N690" s="2">
        <v>2372.88</v>
      </c>
    </row>
    <row r="691" spans="1:14" ht="15" x14ac:dyDescent="0.25">
      <c r="A691" s="2" t="s">
        <v>2570</v>
      </c>
      <c r="B691" s="3">
        <v>45167</v>
      </c>
      <c r="C691" s="2" t="s">
        <v>2571</v>
      </c>
      <c r="D691" s="2" t="s">
        <v>32</v>
      </c>
      <c r="E691" s="2">
        <v>2</v>
      </c>
      <c r="F691" s="2">
        <v>444.84</v>
      </c>
      <c r="G691" s="2" t="s">
        <v>2572</v>
      </c>
      <c r="H691" s="2" t="s">
        <v>27</v>
      </c>
      <c r="I691" s="2" t="s">
        <v>19</v>
      </c>
      <c r="J691" s="2" t="s">
        <v>2573</v>
      </c>
      <c r="K691" s="2">
        <v>7</v>
      </c>
      <c r="M691" s="2" t="s">
        <v>45</v>
      </c>
      <c r="N691" s="2">
        <v>889.68</v>
      </c>
    </row>
    <row r="692" spans="1:14" ht="15" x14ac:dyDescent="0.25">
      <c r="A692" s="2" t="s">
        <v>2574</v>
      </c>
      <c r="B692" s="3">
        <v>45485</v>
      </c>
      <c r="C692" s="2" t="s">
        <v>2575</v>
      </c>
      <c r="D692" s="2" t="s">
        <v>16</v>
      </c>
      <c r="E692" s="2">
        <v>1</v>
      </c>
      <c r="F692" s="2">
        <v>24.48</v>
      </c>
      <c r="G692" s="2" t="s">
        <v>181</v>
      </c>
      <c r="H692" s="2" t="s">
        <v>60</v>
      </c>
      <c r="I692" s="2" t="s">
        <v>43</v>
      </c>
      <c r="J692" s="2" t="s">
        <v>2576</v>
      </c>
      <c r="K692" s="2">
        <v>1</v>
      </c>
      <c r="M692" s="2" t="s">
        <v>22</v>
      </c>
      <c r="N692" s="2">
        <v>24.48</v>
      </c>
    </row>
    <row r="693" spans="1:14" ht="15" x14ac:dyDescent="0.25">
      <c r="A693" s="2" t="s">
        <v>2577</v>
      </c>
      <c r="B693" s="3">
        <v>45620</v>
      </c>
      <c r="C693" s="2" t="s">
        <v>2578</v>
      </c>
      <c r="D693" s="2" t="s">
        <v>58</v>
      </c>
      <c r="E693" s="2">
        <v>3</v>
      </c>
      <c r="F693" s="2">
        <v>239.08</v>
      </c>
      <c r="G693" s="2" t="s">
        <v>2579</v>
      </c>
      <c r="H693" s="2" t="s">
        <v>65</v>
      </c>
      <c r="I693" s="2" t="s">
        <v>19</v>
      </c>
      <c r="J693" s="2" t="s">
        <v>2580</v>
      </c>
      <c r="K693" s="2">
        <v>8</v>
      </c>
      <c r="M693" s="2" t="s">
        <v>76</v>
      </c>
      <c r="N693" s="2">
        <v>717.24</v>
      </c>
    </row>
    <row r="694" spans="1:14" ht="15" x14ac:dyDescent="0.25">
      <c r="A694" s="2" t="s">
        <v>2581</v>
      </c>
      <c r="B694" s="3">
        <v>44949</v>
      </c>
      <c r="C694" s="2" t="s">
        <v>2582</v>
      </c>
      <c r="D694" s="2" t="s">
        <v>73</v>
      </c>
      <c r="E694" s="2">
        <v>5</v>
      </c>
      <c r="F694" s="2">
        <v>196.84</v>
      </c>
      <c r="G694" s="2" t="s">
        <v>1560</v>
      </c>
      <c r="H694" s="2" t="s">
        <v>34</v>
      </c>
      <c r="I694" s="2" t="s">
        <v>50</v>
      </c>
      <c r="J694" s="2" t="s">
        <v>2583</v>
      </c>
      <c r="K694" s="2">
        <v>5</v>
      </c>
      <c r="L694" s="2" t="s">
        <v>81</v>
      </c>
      <c r="M694" s="2" t="s">
        <v>22</v>
      </c>
      <c r="N694" s="2">
        <v>984.2</v>
      </c>
    </row>
    <row r="695" spans="1:14" ht="15" x14ac:dyDescent="0.25">
      <c r="A695" s="2" t="s">
        <v>2584</v>
      </c>
      <c r="B695" s="3">
        <v>45728</v>
      </c>
      <c r="C695" s="2" t="s">
        <v>2585</v>
      </c>
      <c r="D695" s="2" t="s">
        <v>16</v>
      </c>
      <c r="E695" s="2">
        <v>1</v>
      </c>
      <c r="F695" s="2">
        <v>176.58</v>
      </c>
      <c r="G695" s="2" t="s">
        <v>2586</v>
      </c>
      <c r="H695" s="2" t="s">
        <v>18</v>
      </c>
      <c r="I695" s="2" t="s">
        <v>43</v>
      </c>
      <c r="J695" s="2" t="s">
        <v>2587</v>
      </c>
      <c r="K695" s="2">
        <v>4</v>
      </c>
      <c r="M695" s="2" t="s">
        <v>29</v>
      </c>
      <c r="N695" s="2">
        <v>176.58</v>
      </c>
    </row>
    <row r="696" spans="1:14" ht="15" x14ac:dyDescent="0.25">
      <c r="A696" s="2" t="s">
        <v>2588</v>
      </c>
      <c r="B696" s="3">
        <v>45201</v>
      </c>
      <c r="C696" s="2" t="s">
        <v>2589</v>
      </c>
      <c r="D696" s="2" t="s">
        <v>48</v>
      </c>
      <c r="E696" s="2">
        <v>4</v>
      </c>
      <c r="F696" s="2">
        <v>666.52</v>
      </c>
      <c r="G696" s="2" t="s">
        <v>1352</v>
      </c>
      <c r="H696" s="2" t="s">
        <v>65</v>
      </c>
      <c r="I696" s="2" t="s">
        <v>19</v>
      </c>
      <c r="J696" s="2" t="s">
        <v>2590</v>
      </c>
      <c r="K696" s="2">
        <v>8</v>
      </c>
      <c r="L696" s="2" t="s">
        <v>37</v>
      </c>
      <c r="M696" s="2" t="s">
        <v>38</v>
      </c>
      <c r="N696" s="2">
        <v>2666.08</v>
      </c>
    </row>
    <row r="697" spans="1:14" ht="15" x14ac:dyDescent="0.25">
      <c r="A697" s="2" t="s">
        <v>2591</v>
      </c>
      <c r="B697" s="3">
        <v>45619</v>
      </c>
      <c r="C697" s="2" t="s">
        <v>2592</v>
      </c>
      <c r="D697" s="2" t="s">
        <v>48</v>
      </c>
      <c r="E697" s="2">
        <v>5</v>
      </c>
      <c r="F697" s="2">
        <v>101.3</v>
      </c>
      <c r="G697" s="2" t="s">
        <v>727</v>
      </c>
      <c r="H697" s="2" t="s">
        <v>27</v>
      </c>
      <c r="I697" s="2" t="s">
        <v>19</v>
      </c>
      <c r="J697" s="2" t="s">
        <v>2593</v>
      </c>
      <c r="K697" s="2">
        <v>7</v>
      </c>
      <c r="L697" s="2" t="s">
        <v>37</v>
      </c>
      <c r="M697" s="2" t="s">
        <v>38</v>
      </c>
      <c r="N697" s="2">
        <v>506.5</v>
      </c>
    </row>
    <row r="698" spans="1:14" ht="15" x14ac:dyDescent="0.25">
      <c r="A698" s="2" t="s">
        <v>2594</v>
      </c>
      <c r="B698" s="3">
        <v>45109</v>
      </c>
      <c r="C698" s="2" t="s">
        <v>2595</v>
      </c>
      <c r="D698" s="2" t="s">
        <v>41</v>
      </c>
      <c r="E698" s="2">
        <v>4</v>
      </c>
      <c r="F698" s="2">
        <v>151.19999999999999</v>
      </c>
      <c r="G698" s="2" t="s">
        <v>2596</v>
      </c>
      <c r="H698" s="2" t="s">
        <v>60</v>
      </c>
      <c r="I698" s="2" t="s">
        <v>89</v>
      </c>
      <c r="J698" s="2" t="s">
        <v>2597</v>
      </c>
      <c r="K698" s="2">
        <v>9</v>
      </c>
      <c r="L698" s="2" t="s">
        <v>81</v>
      </c>
      <c r="M698" s="2" t="s">
        <v>45</v>
      </c>
      <c r="N698" s="2">
        <v>604.79999999999995</v>
      </c>
    </row>
    <row r="699" spans="1:14" ht="15" x14ac:dyDescent="0.25">
      <c r="A699" s="2" t="s">
        <v>2598</v>
      </c>
      <c r="B699" s="3">
        <v>45692</v>
      </c>
      <c r="C699" s="2" t="s">
        <v>2599</v>
      </c>
      <c r="D699" s="2" t="s">
        <v>48</v>
      </c>
      <c r="E699" s="2">
        <v>5</v>
      </c>
      <c r="F699" s="2">
        <v>94.85</v>
      </c>
      <c r="G699" s="2" t="s">
        <v>2294</v>
      </c>
      <c r="H699" s="2" t="s">
        <v>65</v>
      </c>
      <c r="I699" s="2" t="s">
        <v>19</v>
      </c>
      <c r="J699" s="2" t="s">
        <v>2600</v>
      </c>
      <c r="K699" s="2">
        <v>6</v>
      </c>
      <c r="L699" s="2" t="s">
        <v>81</v>
      </c>
      <c r="M699" s="2" t="s">
        <v>38</v>
      </c>
      <c r="N699" s="2">
        <v>474.25</v>
      </c>
    </row>
    <row r="700" spans="1:14" ht="15" x14ac:dyDescent="0.25">
      <c r="A700" s="2" t="s">
        <v>2601</v>
      </c>
      <c r="B700" s="3">
        <v>44930</v>
      </c>
      <c r="C700" s="2" t="s">
        <v>2602</v>
      </c>
      <c r="D700" s="2" t="s">
        <v>58</v>
      </c>
      <c r="E700" s="2">
        <v>2</v>
      </c>
      <c r="F700" s="2">
        <v>388.22</v>
      </c>
      <c r="G700" s="2" t="s">
        <v>1923</v>
      </c>
      <c r="H700" s="2" t="s">
        <v>65</v>
      </c>
      <c r="I700" s="2" t="s">
        <v>50</v>
      </c>
      <c r="J700" s="2" t="s">
        <v>2603</v>
      </c>
      <c r="K700" s="2">
        <v>2</v>
      </c>
      <c r="L700" s="2" t="s">
        <v>81</v>
      </c>
      <c r="M700" s="2" t="s">
        <v>22</v>
      </c>
      <c r="N700" s="2">
        <v>776.44</v>
      </c>
    </row>
    <row r="701" spans="1:14" ht="15" x14ac:dyDescent="0.25">
      <c r="A701" s="2" t="s">
        <v>2604</v>
      </c>
      <c r="B701" s="3">
        <v>45243</v>
      </c>
      <c r="C701" s="2" t="s">
        <v>2605</v>
      </c>
      <c r="D701" s="2" t="s">
        <v>58</v>
      </c>
      <c r="E701" s="2">
        <v>3</v>
      </c>
      <c r="F701" s="2">
        <v>614.15</v>
      </c>
      <c r="G701" s="2" t="s">
        <v>2606</v>
      </c>
      <c r="H701" s="2" t="s">
        <v>60</v>
      </c>
      <c r="I701" s="2" t="s">
        <v>35</v>
      </c>
      <c r="J701" s="2" t="s">
        <v>2607</v>
      </c>
      <c r="K701" s="2">
        <v>3</v>
      </c>
      <c r="M701" s="2" t="s">
        <v>45</v>
      </c>
      <c r="N701" s="2">
        <v>1842.45</v>
      </c>
    </row>
    <row r="702" spans="1:14" ht="15" x14ac:dyDescent="0.25">
      <c r="A702" s="2" t="s">
        <v>2608</v>
      </c>
      <c r="B702" s="3">
        <v>45560</v>
      </c>
      <c r="C702" s="2" t="s">
        <v>2609</v>
      </c>
      <c r="D702" s="2" t="s">
        <v>58</v>
      </c>
      <c r="E702" s="2">
        <v>2</v>
      </c>
      <c r="F702" s="2">
        <v>92.91</v>
      </c>
      <c r="G702" s="2" t="s">
        <v>2610</v>
      </c>
      <c r="H702" s="2" t="s">
        <v>65</v>
      </c>
      <c r="I702" s="2" t="s">
        <v>43</v>
      </c>
      <c r="J702" s="2" t="s">
        <v>2611</v>
      </c>
      <c r="K702" s="2">
        <v>3</v>
      </c>
      <c r="L702" s="2" t="s">
        <v>81</v>
      </c>
      <c r="M702" s="2" t="s">
        <v>22</v>
      </c>
      <c r="N702" s="2">
        <v>185.82</v>
      </c>
    </row>
    <row r="703" spans="1:14" ht="15" x14ac:dyDescent="0.25">
      <c r="A703" s="2" t="s">
        <v>2612</v>
      </c>
      <c r="B703" s="3">
        <v>45466</v>
      </c>
      <c r="C703" s="2" t="s">
        <v>2613</v>
      </c>
      <c r="D703" s="2" t="s">
        <v>16</v>
      </c>
      <c r="E703" s="2">
        <v>3</v>
      </c>
      <c r="F703" s="2">
        <v>92.22</v>
      </c>
      <c r="G703" s="2" t="s">
        <v>490</v>
      </c>
      <c r="H703" s="2" t="s">
        <v>34</v>
      </c>
      <c r="I703" s="2" t="s">
        <v>50</v>
      </c>
      <c r="J703" s="2" t="s">
        <v>2614</v>
      </c>
      <c r="K703" s="2">
        <v>5</v>
      </c>
      <c r="L703" s="2" t="s">
        <v>37</v>
      </c>
      <c r="M703" s="2" t="s">
        <v>38</v>
      </c>
      <c r="N703" s="2">
        <v>276.66000000000003</v>
      </c>
    </row>
    <row r="704" spans="1:14" ht="15" x14ac:dyDescent="0.25">
      <c r="A704" s="2" t="s">
        <v>2615</v>
      </c>
      <c r="B704" s="3">
        <v>45452</v>
      </c>
      <c r="C704" s="2" t="s">
        <v>2616</v>
      </c>
      <c r="D704" s="2" t="s">
        <v>48</v>
      </c>
      <c r="E704" s="2">
        <v>3</v>
      </c>
      <c r="F704" s="2">
        <v>562.54999999999995</v>
      </c>
      <c r="G704" s="2" t="s">
        <v>2311</v>
      </c>
      <c r="H704" s="2" t="s">
        <v>18</v>
      </c>
      <c r="I704" s="2" t="s">
        <v>43</v>
      </c>
      <c r="J704" s="2" t="s">
        <v>2617</v>
      </c>
      <c r="K704" s="2">
        <v>6</v>
      </c>
      <c r="M704" s="2" t="s">
        <v>38</v>
      </c>
      <c r="N704" s="2">
        <v>1687.65</v>
      </c>
    </row>
    <row r="705" spans="1:14" ht="15" x14ac:dyDescent="0.25">
      <c r="A705" s="2" t="s">
        <v>2618</v>
      </c>
      <c r="B705" s="3">
        <v>45007</v>
      </c>
      <c r="C705" s="2" t="s">
        <v>2619</v>
      </c>
      <c r="D705" s="2" t="s">
        <v>73</v>
      </c>
      <c r="E705" s="2">
        <v>1</v>
      </c>
      <c r="F705" s="2">
        <v>92.79</v>
      </c>
      <c r="G705" s="2" t="s">
        <v>2620</v>
      </c>
      <c r="H705" s="2" t="s">
        <v>65</v>
      </c>
      <c r="I705" s="2" t="s">
        <v>89</v>
      </c>
      <c r="J705" s="2" t="s">
        <v>2621</v>
      </c>
      <c r="K705" s="2">
        <v>3</v>
      </c>
      <c r="L705" s="2" t="s">
        <v>81</v>
      </c>
      <c r="M705" s="2" t="s">
        <v>38</v>
      </c>
      <c r="N705" s="2">
        <v>92.79</v>
      </c>
    </row>
    <row r="706" spans="1:14" ht="15" x14ac:dyDescent="0.25">
      <c r="A706" s="2" t="s">
        <v>2622</v>
      </c>
      <c r="B706" s="3">
        <v>45080</v>
      </c>
      <c r="C706" s="2" t="s">
        <v>2623</v>
      </c>
      <c r="D706" s="2" t="s">
        <v>73</v>
      </c>
      <c r="E706" s="2">
        <v>4</v>
      </c>
      <c r="F706" s="2">
        <v>30.27</v>
      </c>
      <c r="G706" s="2" t="s">
        <v>663</v>
      </c>
      <c r="H706" s="2" t="s">
        <v>27</v>
      </c>
      <c r="I706" s="2" t="s">
        <v>50</v>
      </c>
      <c r="J706" s="2" t="s">
        <v>2624</v>
      </c>
      <c r="K706" s="2">
        <v>9</v>
      </c>
      <c r="L706" s="2" t="s">
        <v>37</v>
      </c>
      <c r="M706" s="2" t="s">
        <v>76</v>
      </c>
      <c r="N706" s="2">
        <v>121.08</v>
      </c>
    </row>
    <row r="707" spans="1:14" ht="15" x14ac:dyDescent="0.25">
      <c r="A707" s="2" t="s">
        <v>2625</v>
      </c>
      <c r="B707" s="3">
        <v>45746</v>
      </c>
      <c r="C707" s="2" t="s">
        <v>2626</v>
      </c>
      <c r="D707" s="2" t="s">
        <v>16</v>
      </c>
      <c r="E707" s="2">
        <v>2</v>
      </c>
      <c r="F707" s="2">
        <v>49.08</v>
      </c>
      <c r="G707" s="2" t="s">
        <v>2627</v>
      </c>
      <c r="H707" s="2" t="s">
        <v>18</v>
      </c>
      <c r="I707" s="2" t="s">
        <v>43</v>
      </c>
      <c r="J707" s="2" t="s">
        <v>2628</v>
      </c>
      <c r="K707" s="2">
        <v>7</v>
      </c>
      <c r="L707" s="2" t="s">
        <v>37</v>
      </c>
      <c r="M707" s="2" t="s">
        <v>22</v>
      </c>
      <c r="N707" s="2">
        <v>98.16</v>
      </c>
    </row>
    <row r="708" spans="1:14" ht="15" x14ac:dyDescent="0.25">
      <c r="A708" s="2" t="s">
        <v>2629</v>
      </c>
      <c r="B708" s="3">
        <v>45718</v>
      </c>
      <c r="C708" s="2" t="s">
        <v>2630</v>
      </c>
      <c r="D708" s="2" t="s">
        <v>73</v>
      </c>
      <c r="E708" s="2">
        <v>5</v>
      </c>
      <c r="F708" s="2">
        <v>228.09</v>
      </c>
      <c r="G708" s="2" t="s">
        <v>1470</v>
      </c>
      <c r="H708" s="2" t="s">
        <v>60</v>
      </c>
      <c r="I708" s="2" t="s">
        <v>43</v>
      </c>
      <c r="J708" s="2" t="s">
        <v>2631</v>
      </c>
      <c r="K708" s="2">
        <v>9</v>
      </c>
      <c r="L708" s="2" t="s">
        <v>37</v>
      </c>
      <c r="M708" s="2" t="s">
        <v>45</v>
      </c>
      <c r="N708" s="2">
        <v>1140.45</v>
      </c>
    </row>
    <row r="709" spans="1:14" ht="15" x14ac:dyDescent="0.25">
      <c r="A709" s="2" t="s">
        <v>2632</v>
      </c>
      <c r="B709" s="3">
        <v>45597</v>
      </c>
      <c r="C709" s="2" t="s">
        <v>2633</v>
      </c>
      <c r="D709" s="2" t="s">
        <v>41</v>
      </c>
      <c r="E709" s="2">
        <v>4</v>
      </c>
      <c r="F709" s="2">
        <v>650.04</v>
      </c>
      <c r="G709" s="2" t="s">
        <v>367</v>
      </c>
      <c r="H709" s="2" t="s">
        <v>60</v>
      </c>
      <c r="I709" s="2" t="s">
        <v>35</v>
      </c>
      <c r="J709" s="2" t="s">
        <v>2634</v>
      </c>
      <c r="K709" s="2">
        <v>6</v>
      </c>
      <c r="L709" s="2" t="s">
        <v>21</v>
      </c>
      <c r="M709" s="2" t="s">
        <v>45</v>
      </c>
      <c r="N709" s="2">
        <v>2600.16</v>
      </c>
    </row>
    <row r="710" spans="1:14" ht="15" x14ac:dyDescent="0.25">
      <c r="A710" s="2" t="s">
        <v>2635</v>
      </c>
      <c r="B710" s="3">
        <v>45720</v>
      </c>
      <c r="C710" s="2" t="s">
        <v>2636</v>
      </c>
      <c r="D710" s="2" t="s">
        <v>48</v>
      </c>
      <c r="E710" s="2">
        <v>1</v>
      </c>
      <c r="F710" s="2">
        <v>665.11</v>
      </c>
      <c r="G710" s="2" t="s">
        <v>2294</v>
      </c>
      <c r="H710" s="2" t="s">
        <v>65</v>
      </c>
      <c r="I710" s="2" t="s">
        <v>89</v>
      </c>
      <c r="J710" s="2" t="s">
        <v>2637</v>
      </c>
      <c r="K710" s="2">
        <v>3</v>
      </c>
      <c r="L710" s="2" t="s">
        <v>37</v>
      </c>
      <c r="M710" s="2" t="s">
        <v>22</v>
      </c>
      <c r="N710" s="2">
        <v>665.11</v>
      </c>
    </row>
    <row r="711" spans="1:14" ht="15" x14ac:dyDescent="0.25">
      <c r="A711" s="2" t="s">
        <v>2638</v>
      </c>
      <c r="B711" s="3">
        <v>45633</v>
      </c>
      <c r="C711" s="2" t="s">
        <v>2639</v>
      </c>
      <c r="D711" s="2" t="s">
        <v>73</v>
      </c>
      <c r="E711" s="2">
        <v>1</v>
      </c>
      <c r="F711" s="2">
        <v>386.03</v>
      </c>
      <c r="G711" s="2" t="s">
        <v>2640</v>
      </c>
      <c r="H711" s="2" t="s">
        <v>27</v>
      </c>
      <c r="I711" s="2" t="s">
        <v>89</v>
      </c>
      <c r="J711" s="2" t="s">
        <v>2641</v>
      </c>
      <c r="K711" s="2">
        <v>4</v>
      </c>
      <c r="L711" s="2" t="s">
        <v>37</v>
      </c>
      <c r="M711" s="2" t="s">
        <v>76</v>
      </c>
      <c r="N711" s="2">
        <v>386.03</v>
      </c>
    </row>
    <row r="712" spans="1:14" ht="15" x14ac:dyDescent="0.25">
      <c r="A712" s="2" t="s">
        <v>2642</v>
      </c>
      <c r="B712" s="3">
        <v>45495</v>
      </c>
      <c r="C712" s="2" t="s">
        <v>2643</v>
      </c>
      <c r="D712" s="2" t="s">
        <v>58</v>
      </c>
      <c r="E712" s="2">
        <v>5</v>
      </c>
      <c r="F712" s="2">
        <v>21.54</v>
      </c>
      <c r="G712" s="2" t="s">
        <v>2644</v>
      </c>
      <c r="H712" s="2" t="s">
        <v>60</v>
      </c>
      <c r="I712" s="2" t="s">
        <v>43</v>
      </c>
      <c r="J712" s="2" t="s">
        <v>2645</v>
      </c>
      <c r="K712" s="2">
        <v>10</v>
      </c>
      <c r="M712" s="2" t="s">
        <v>76</v>
      </c>
      <c r="N712" s="2">
        <v>107.7</v>
      </c>
    </row>
    <row r="713" spans="1:14" ht="15" x14ac:dyDescent="0.25">
      <c r="A713" s="2" t="s">
        <v>2646</v>
      </c>
      <c r="B713" s="3">
        <v>45477</v>
      </c>
      <c r="C713" s="2" t="s">
        <v>2647</v>
      </c>
      <c r="D713" s="2" t="s">
        <v>32</v>
      </c>
      <c r="E713" s="2">
        <v>2</v>
      </c>
      <c r="F713" s="2">
        <v>475.78</v>
      </c>
      <c r="G713" s="2" t="s">
        <v>2648</v>
      </c>
      <c r="H713" s="2" t="s">
        <v>27</v>
      </c>
      <c r="I713" s="2" t="s">
        <v>19</v>
      </c>
      <c r="J713" s="2" t="s">
        <v>2649</v>
      </c>
      <c r="K713" s="2">
        <v>2</v>
      </c>
      <c r="L713" s="2" t="s">
        <v>81</v>
      </c>
      <c r="M713" s="2" t="s">
        <v>76</v>
      </c>
      <c r="N713" s="2">
        <v>951.56</v>
      </c>
    </row>
    <row r="714" spans="1:14" ht="15" x14ac:dyDescent="0.25">
      <c r="A714" s="2" t="s">
        <v>2650</v>
      </c>
      <c r="B714" s="3">
        <v>45300</v>
      </c>
      <c r="C714" s="2" t="s">
        <v>2119</v>
      </c>
      <c r="D714" s="2" t="s">
        <v>32</v>
      </c>
      <c r="E714" s="2">
        <v>2</v>
      </c>
      <c r="F714" s="2">
        <v>68.400000000000006</v>
      </c>
      <c r="G714" s="2" t="s">
        <v>2651</v>
      </c>
      <c r="H714" s="2" t="s">
        <v>60</v>
      </c>
      <c r="I714" s="2" t="s">
        <v>89</v>
      </c>
      <c r="J714" s="2" t="s">
        <v>2652</v>
      </c>
      <c r="K714" s="2">
        <v>7</v>
      </c>
      <c r="L714" s="2" t="s">
        <v>37</v>
      </c>
      <c r="M714" s="2" t="s">
        <v>38</v>
      </c>
      <c r="N714" s="2">
        <v>136.80000000000001</v>
      </c>
    </row>
    <row r="715" spans="1:14" ht="15" x14ac:dyDescent="0.25">
      <c r="A715" s="2" t="s">
        <v>2653</v>
      </c>
      <c r="B715" s="3">
        <v>45829</v>
      </c>
      <c r="C715" s="2" t="s">
        <v>2654</v>
      </c>
      <c r="D715" s="2" t="s">
        <v>32</v>
      </c>
      <c r="E715" s="2">
        <v>4</v>
      </c>
      <c r="F715" s="2">
        <v>532.49</v>
      </c>
      <c r="G715" s="2" t="s">
        <v>2557</v>
      </c>
      <c r="H715" s="2" t="s">
        <v>27</v>
      </c>
      <c r="I715" s="2" t="s">
        <v>35</v>
      </c>
      <c r="J715" s="2" t="s">
        <v>2655</v>
      </c>
      <c r="K715" s="2">
        <v>6</v>
      </c>
      <c r="L715" s="2" t="s">
        <v>21</v>
      </c>
      <c r="M715" s="2" t="s">
        <v>45</v>
      </c>
      <c r="N715" s="2">
        <v>2129.96</v>
      </c>
    </row>
    <row r="716" spans="1:14" ht="15" x14ac:dyDescent="0.25">
      <c r="A716" s="2" t="s">
        <v>2656</v>
      </c>
      <c r="B716" s="3">
        <v>45037</v>
      </c>
      <c r="C716" s="2" t="s">
        <v>2657</v>
      </c>
      <c r="D716" s="2" t="s">
        <v>58</v>
      </c>
      <c r="E716" s="2">
        <v>1</v>
      </c>
      <c r="F716" s="2">
        <v>51.73</v>
      </c>
      <c r="G716" s="2" t="s">
        <v>1176</v>
      </c>
      <c r="H716" s="2" t="s">
        <v>18</v>
      </c>
      <c r="I716" s="2" t="s">
        <v>89</v>
      </c>
      <c r="J716" s="2" t="s">
        <v>2658</v>
      </c>
      <c r="K716" s="2">
        <v>1</v>
      </c>
      <c r="L716" s="2" t="s">
        <v>37</v>
      </c>
      <c r="M716" s="2" t="s">
        <v>45</v>
      </c>
      <c r="N716" s="2">
        <v>51.73</v>
      </c>
    </row>
    <row r="717" spans="1:14" ht="15" x14ac:dyDescent="0.25">
      <c r="A717" s="2" t="s">
        <v>2659</v>
      </c>
      <c r="B717" s="3">
        <v>45499</v>
      </c>
      <c r="C717" s="2" t="s">
        <v>2660</v>
      </c>
      <c r="D717" s="2" t="s">
        <v>48</v>
      </c>
      <c r="E717" s="2">
        <v>3</v>
      </c>
      <c r="F717" s="2">
        <v>653.63</v>
      </c>
      <c r="G717" s="2" t="s">
        <v>2661</v>
      </c>
      <c r="H717" s="2" t="s">
        <v>27</v>
      </c>
      <c r="I717" s="2" t="s">
        <v>50</v>
      </c>
      <c r="J717" s="2" t="s">
        <v>2662</v>
      </c>
      <c r="K717" s="2">
        <v>7</v>
      </c>
      <c r="L717" s="2" t="s">
        <v>37</v>
      </c>
      <c r="M717" s="2" t="s">
        <v>38</v>
      </c>
      <c r="N717" s="2">
        <v>1960.89</v>
      </c>
    </row>
    <row r="718" spans="1:14" ht="15" x14ac:dyDescent="0.25">
      <c r="A718" s="2" t="s">
        <v>2663</v>
      </c>
      <c r="B718" s="3">
        <v>45456</v>
      </c>
      <c r="C718" s="2" t="s">
        <v>2664</v>
      </c>
      <c r="D718" s="2" t="s">
        <v>41</v>
      </c>
      <c r="E718" s="2">
        <v>3</v>
      </c>
      <c r="F718" s="2">
        <v>454.29</v>
      </c>
      <c r="G718" s="2" t="s">
        <v>113</v>
      </c>
      <c r="H718" s="2" t="s">
        <v>34</v>
      </c>
      <c r="I718" s="2" t="s">
        <v>89</v>
      </c>
      <c r="J718" s="2" t="s">
        <v>2665</v>
      </c>
      <c r="K718" s="2">
        <v>4</v>
      </c>
      <c r="L718" s="2" t="s">
        <v>81</v>
      </c>
      <c r="M718" s="2" t="s">
        <v>76</v>
      </c>
      <c r="N718" s="2">
        <v>1362.87</v>
      </c>
    </row>
    <row r="719" spans="1:14" ht="15" x14ac:dyDescent="0.25">
      <c r="A719" s="2" t="s">
        <v>2666</v>
      </c>
      <c r="B719" s="3">
        <v>45215</v>
      </c>
      <c r="C719" s="2" t="s">
        <v>2667</v>
      </c>
      <c r="D719" s="2" t="s">
        <v>41</v>
      </c>
      <c r="E719" s="2">
        <v>3</v>
      </c>
      <c r="F719" s="2">
        <v>122.11</v>
      </c>
      <c r="G719" s="2" t="s">
        <v>2668</v>
      </c>
      <c r="H719" s="2" t="s">
        <v>27</v>
      </c>
      <c r="I719" s="2" t="s">
        <v>50</v>
      </c>
      <c r="J719" s="2" t="s">
        <v>2669</v>
      </c>
      <c r="K719" s="2">
        <v>4</v>
      </c>
      <c r="L719" s="2" t="s">
        <v>81</v>
      </c>
      <c r="M719" s="2" t="s">
        <v>38</v>
      </c>
      <c r="N719" s="2">
        <v>366.33</v>
      </c>
    </row>
    <row r="720" spans="1:14" ht="15" x14ac:dyDescent="0.25">
      <c r="A720" s="2" t="s">
        <v>2670</v>
      </c>
      <c r="B720" s="3">
        <v>45024</v>
      </c>
      <c r="C720" s="2" t="s">
        <v>2671</v>
      </c>
      <c r="D720" s="2" t="s">
        <v>58</v>
      </c>
      <c r="E720" s="2">
        <v>4</v>
      </c>
      <c r="F720" s="2">
        <v>64.739999999999995</v>
      </c>
      <c r="G720" s="2" t="s">
        <v>2672</v>
      </c>
      <c r="H720" s="2" t="s">
        <v>60</v>
      </c>
      <c r="I720" s="2" t="s">
        <v>35</v>
      </c>
      <c r="J720" s="2" t="s">
        <v>2673</v>
      </c>
      <c r="K720" s="2">
        <v>8</v>
      </c>
      <c r="L720" s="2" t="s">
        <v>21</v>
      </c>
      <c r="M720" s="2" t="s">
        <v>76</v>
      </c>
      <c r="N720" s="2">
        <v>258.95999999999998</v>
      </c>
    </row>
    <row r="721" spans="1:14" ht="15" x14ac:dyDescent="0.25">
      <c r="A721" s="2" t="s">
        <v>2674</v>
      </c>
      <c r="B721" s="3">
        <v>45312</v>
      </c>
      <c r="C721" s="2" t="s">
        <v>2675</v>
      </c>
      <c r="D721" s="2" t="s">
        <v>58</v>
      </c>
      <c r="E721" s="2">
        <v>2</v>
      </c>
      <c r="F721" s="2">
        <v>681.06</v>
      </c>
      <c r="G721" s="2" t="s">
        <v>2676</v>
      </c>
      <c r="H721" s="2" t="s">
        <v>18</v>
      </c>
      <c r="I721" s="2" t="s">
        <v>19</v>
      </c>
      <c r="J721" s="2" t="s">
        <v>2677</v>
      </c>
      <c r="K721" s="2">
        <v>3</v>
      </c>
      <c r="L721" s="2" t="s">
        <v>37</v>
      </c>
      <c r="M721" s="2" t="s">
        <v>45</v>
      </c>
      <c r="N721" s="2">
        <v>1362.12</v>
      </c>
    </row>
    <row r="722" spans="1:14" ht="15" x14ac:dyDescent="0.25">
      <c r="A722" s="2" t="s">
        <v>2678</v>
      </c>
      <c r="B722" s="3">
        <v>45190</v>
      </c>
      <c r="C722" s="2" t="s">
        <v>2679</v>
      </c>
      <c r="D722" s="2" t="s">
        <v>73</v>
      </c>
      <c r="E722" s="2">
        <v>5</v>
      </c>
      <c r="F722" s="2">
        <v>128.94999999999999</v>
      </c>
      <c r="G722" s="2" t="s">
        <v>2680</v>
      </c>
      <c r="H722" s="2" t="s">
        <v>65</v>
      </c>
      <c r="I722" s="2" t="s">
        <v>89</v>
      </c>
      <c r="J722" s="2" t="s">
        <v>2681</v>
      </c>
      <c r="K722" s="2">
        <v>10</v>
      </c>
      <c r="L722" s="2" t="s">
        <v>37</v>
      </c>
      <c r="M722" s="2" t="s">
        <v>22</v>
      </c>
      <c r="N722" s="2">
        <v>644.75</v>
      </c>
    </row>
    <row r="723" spans="1:14" ht="15" x14ac:dyDescent="0.25">
      <c r="A723" s="2" t="s">
        <v>2682</v>
      </c>
      <c r="B723" s="3">
        <v>45369</v>
      </c>
      <c r="C723" s="2" t="s">
        <v>2683</v>
      </c>
      <c r="D723" s="2" t="s">
        <v>73</v>
      </c>
      <c r="E723" s="2">
        <v>2</v>
      </c>
      <c r="F723" s="2">
        <v>118.59</v>
      </c>
      <c r="G723" s="2" t="s">
        <v>2684</v>
      </c>
      <c r="H723" s="2" t="s">
        <v>34</v>
      </c>
      <c r="I723" s="2" t="s">
        <v>50</v>
      </c>
      <c r="J723" s="2" t="s">
        <v>2685</v>
      </c>
      <c r="K723" s="2">
        <v>2</v>
      </c>
      <c r="M723" s="2" t="s">
        <v>38</v>
      </c>
      <c r="N723" s="2">
        <v>237.18</v>
      </c>
    </row>
    <row r="724" spans="1:14" ht="15" x14ac:dyDescent="0.25">
      <c r="A724" s="2" t="s">
        <v>2686</v>
      </c>
      <c r="B724" s="3">
        <v>45611</v>
      </c>
      <c r="C724" s="2" t="s">
        <v>2687</v>
      </c>
      <c r="D724" s="2" t="s">
        <v>48</v>
      </c>
      <c r="E724" s="2">
        <v>1</v>
      </c>
      <c r="F724" s="2">
        <v>95.1</v>
      </c>
      <c r="G724" s="2" t="s">
        <v>1137</v>
      </c>
      <c r="H724" s="2" t="s">
        <v>60</v>
      </c>
      <c r="I724" s="2" t="s">
        <v>89</v>
      </c>
      <c r="J724" s="2" t="s">
        <v>2688</v>
      </c>
      <c r="K724" s="2">
        <v>1</v>
      </c>
      <c r="L724" s="2" t="s">
        <v>81</v>
      </c>
      <c r="M724" s="2" t="s">
        <v>22</v>
      </c>
      <c r="N724" s="2">
        <v>95.1</v>
      </c>
    </row>
    <row r="725" spans="1:14" ht="15" x14ac:dyDescent="0.25">
      <c r="A725" s="2" t="s">
        <v>2689</v>
      </c>
      <c r="B725" s="3">
        <v>45269</v>
      </c>
      <c r="C725" s="2" t="s">
        <v>2690</v>
      </c>
      <c r="D725" s="2" t="s">
        <v>73</v>
      </c>
      <c r="E725" s="2">
        <v>3</v>
      </c>
      <c r="F725" s="2">
        <v>54.95</v>
      </c>
      <c r="G725" s="2" t="s">
        <v>297</v>
      </c>
      <c r="H725" s="2" t="s">
        <v>65</v>
      </c>
      <c r="I725" s="2" t="s">
        <v>43</v>
      </c>
      <c r="J725" s="2" t="s">
        <v>2691</v>
      </c>
      <c r="K725" s="2">
        <v>8</v>
      </c>
      <c r="L725" s="2" t="s">
        <v>21</v>
      </c>
      <c r="M725" s="2" t="s">
        <v>29</v>
      </c>
      <c r="N725" s="2">
        <v>164.85</v>
      </c>
    </row>
    <row r="726" spans="1:14" ht="15" x14ac:dyDescent="0.25">
      <c r="A726" s="2" t="s">
        <v>2692</v>
      </c>
      <c r="B726" s="3">
        <v>45583</v>
      </c>
      <c r="C726" s="2" t="s">
        <v>2693</v>
      </c>
      <c r="D726" s="2" t="s">
        <v>48</v>
      </c>
      <c r="E726" s="2">
        <v>3</v>
      </c>
      <c r="F726" s="2">
        <v>136.97</v>
      </c>
      <c r="G726" s="2" t="s">
        <v>1210</v>
      </c>
      <c r="H726" s="2" t="s">
        <v>34</v>
      </c>
      <c r="I726" s="2" t="s">
        <v>43</v>
      </c>
      <c r="J726" s="2" t="s">
        <v>2694</v>
      </c>
      <c r="K726" s="2">
        <v>4</v>
      </c>
      <c r="L726" s="2" t="s">
        <v>37</v>
      </c>
      <c r="M726" s="2" t="s">
        <v>29</v>
      </c>
      <c r="N726" s="2">
        <v>410.91</v>
      </c>
    </row>
    <row r="727" spans="1:14" ht="15" x14ac:dyDescent="0.25">
      <c r="A727" s="2" t="s">
        <v>2695</v>
      </c>
      <c r="B727" s="3">
        <v>44997</v>
      </c>
      <c r="C727" s="2" t="s">
        <v>2696</v>
      </c>
      <c r="D727" s="2" t="s">
        <v>41</v>
      </c>
      <c r="E727" s="2">
        <v>2</v>
      </c>
      <c r="F727" s="2">
        <v>194.85</v>
      </c>
      <c r="G727" s="2" t="s">
        <v>1897</v>
      </c>
      <c r="H727" s="2" t="s">
        <v>60</v>
      </c>
      <c r="I727" s="2" t="s">
        <v>43</v>
      </c>
      <c r="J727" s="2" t="s">
        <v>2697</v>
      </c>
      <c r="K727" s="2">
        <v>5</v>
      </c>
      <c r="M727" s="2" t="s">
        <v>29</v>
      </c>
      <c r="N727" s="2">
        <v>389.7</v>
      </c>
    </row>
    <row r="728" spans="1:14" ht="15" x14ac:dyDescent="0.25">
      <c r="A728" s="2" t="s">
        <v>2698</v>
      </c>
      <c r="B728" s="3">
        <v>45590</v>
      </c>
      <c r="C728" s="2" t="s">
        <v>2699</v>
      </c>
      <c r="D728" s="2" t="s">
        <v>58</v>
      </c>
      <c r="E728" s="2">
        <v>4</v>
      </c>
      <c r="F728" s="2">
        <v>583.02</v>
      </c>
      <c r="G728" s="2" t="s">
        <v>2700</v>
      </c>
      <c r="H728" s="2" t="s">
        <v>27</v>
      </c>
      <c r="I728" s="2" t="s">
        <v>50</v>
      </c>
      <c r="J728" s="2" t="s">
        <v>2701</v>
      </c>
      <c r="K728" s="2">
        <v>4</v>
      </c>
      <c r="L728" s="2" t="s">
        <v>37</v>
      </c>
      <c r="M728" s="2" t="s">
        <v>45</v>
      </c>
      <c r="N728" s="2">
        <v>2332.08</v>
      </c>
    </row>
    <row r="729" spans="1:14" ht="15" x14ac:dyDescent="0.25">
      <c r="A729" s="2" t="s">
        <v>2702</v>
      </c>
      <c r="B729" s="3">
        <v>45564</v>
      </c>
      <c r="C729" s="2" t="s">
        <v>2703</v>
      </c>
      <c r="D729" s="2" t="s">
        <v>41</v>
      </c>
      <c r="E729" s="2">
        <v>5</v>
      </c>
      <c r="F729" s="2">
        <v>95.75</v>
      </c>
      <c r="G729" s="2" t="s">
        <v>1660</v>
      </c>
      <c r="H729" s="2" t="s">
        <v>27</v>
      </c>
      <c r="I729" s="2" t="s">
        <v>19</v>
      </c>
      <c r="J729" s="2" t="s">
        <v>2704</v>
      </c>
      <c r="K729" s="2">
        <v>8</v>
      </c>
      <c r="L729" s="2" t="s">
        <v>21</v>
      </c>
      <c r="M729" s="2" t="s">
        <v>22</v>
      </c>
      <c r="N729" s="2">
        <v>478.75</v>
      </c>
    </row>
    <row r="730" spans="1:14" ht="15" x14ac:dyDescent="0.25">
      <c r="A730" s="2" t="s">
        <v>2705</v>
      </c>
      <c r="B730" s="3">
        <v>45502</v>
      </c>
      <c r="C730" s="2" t="s">
        <v>2706</v>
      </c>
      <c r="D730" s="2" t="s">
        <v>73</v>
      </c>
      <c r="E730" s="2">
        <v>4</v>
      </c>
      <c r="F730" s="2">
        <v>325.76</v>
      </c>
      <c r="G730" s="2" t="s">
        <v>2707</v>
      </c>
      <c r="H730" s="2" t="s">
        <v>60</v>
      </c>
      <c r="I730" s="2" t="s">
        <v>19</v>
      </c>
      <c r="J730" s="2" t="s">
        <v>2708</v>
      </c>
      <c r="K730" s="2">
        <v>8</v>
      </c>
      <c r="L730" s="2" t="s">
        <v>81</v>
      </c>
      <c r="M730" s="2" t="s">
        <v>38</v>
      </c>
      <c r="N730" s="2">
        <v>1303.04</v>
      </c>
    </row>
    <row r="731" spans="1:14" ht="15" x14ac:dyDescent="0.25">
      <c r="A731" s="2" t="s">
        <v>2709</v>
      </c>
      <c r="B731" s="3">
        <v>45177</v>
      </c>
      <c r="C731" s="2" t="s">
        <v>2710</v>
      </c>
      <c r="D731" s="2" t="s">
        <v>25</v>
      </c>
      <c r="E731" s="2">
        <v>4</v>
      </c>
      <c r="F731" s="2">
        <v>186.41</v>
      </c>
      <c r="G731" s="2" t="s">
        <v>663</v>
      </c>
      <c r="H731" s="2" t="s">
        <v>60</v>
      </c>
      <c r="I731" s="2" t="s">
        <v>89</v>
      </c>
      <c r="J731" s="2" t="s">
        <v>2711</v>
      </c>
      <c r="K731" s="2">
        <v>6</v>
      </c>
      <c r="L731" s="2" t="s">
        <v>21</v>
      </c>
      <c r="M731" s="2" t="s">
        <v>76</v>
      </c>
      <c r="N731" s="2">
        <v>745.64</v>
      </c>
    </row>
    <row r="732" spans="1:14" ht="15" x14ac:dyDescent="0.25">
      <c r="A732" s="2" t="s">
        <v>2712</v>
      </c>
      <c r="B732" s="3">
        <v>45710</v>
      </c>
      <c r="C732" s="2" t="s">
        <v>2713</v>
      </c>
      <c r="D732" s="2" t="s">
        <v>25</v>
      </c>
      <c r="E732" s="2">
        <v>1</v>
      </c>
      <c r="F732" s="2">
        <v>474.6</v>
      </c>
      <c r="G732" s="2" t="s">
        <v>972</v>
      </c>
      <c r="H732" s="2" t="s">
        <v>18</v>
      </c>
      <c r="I732" s="2" t="s">
        <v>50</v>
      </c>
      <c r="J732" s="2" t="s">
        <v>2714</v>
      </c>
      <c r="K732" s="2">
        <v>4</v>
      </c>
      <c r="L732" s="2" t="s">
        <v>21</v>
      </c>
      <c r="M732" s="2" t="s">
        <v>38</v>
      </c>
      <c r="N732" s="2">
        <v>474.6</v>
      </c>
    </row>
    <row r="733" spans="1:14" ht="15" x14ac:dyDescent="0.25">
      <c r="A733" s="2" t="s">
        <v>2715</v>
      </c>
      <c r="B733" s="3">
        <v>45450</v>
      </c>
      <c r="C733" s="2" t="s">
        <v>2716</v>
      </c>
      <c r="D733" s="2" t="s">
        <v>48</v>
      </c>
      <c r="E733" s="2">
        <v>5</v>
      </c>
      <c r="F733" s="2">
        <v>584.46</v>
      </c>
      <c r="G733" s="2" t="s">
        <v>2717</v>
      </c>
      <c r="H733" s="2" t="s">
        <v>34</v>
      </c>
      <c r="I733" s="2" t="s">
        <v>43</v>
      </c>
      <c r="J733" s="2" t="s">
        <v>2718</v>
      </c>
      <c r="K733" s="2">
        <v>8</v>
      </c>
      <c r="M733" s="2" t="s">
        <v>38</v>
      </c>
      <c r="N733" s="2">
        <v>2922.3</v>
      </c>
    </row>
    <row r="734" spans="1:14" ht="15" x14ac:dyDescent="0.25">
      <c r="A734" s="2" t="s">
        <v>2719</v>
      </c>
      <c r="B734" s="3">
        <v>45723</v>
      </c>
      <c r="C734" s="2" t="s">
        <v>2720</v>
      </c>
      <c r="D734" s="2" t="s">
        <v>58</v>
      </c>
      <c r="E734" s="2">
        <v>1</v>
      </c>
      <c r="F734" s="2">
        <v>132.05000000000001</v>
      </c>
      <c r="G734" s="2" t="s">
        <v>2572</v>
      </c>
      <c r="H734" s="2" t="s">
        <v>27</v>
      </c>
      <c r="I734" s="2" t="s">
        <v>50</v>
      </c>
      <c r="J734" s="2" t="s">
        <v>2721</v>
      </c>
      <c r="K734" s="2">
        <v>2</v>
      </c>
      <c r="M734" s="2" t="s">
        <v>76</v>
      </c>
      <c r="N734" s="2">
        <v>132.05000000000001</v>
      </c>
    </row>
    <row r="735" spans="1:14" ht="15" x14ac:dyDescent="0.25">
      <c r="A735" s="2" t="s">
        <v>2722</v>
      </c>
      <c r="B735" s="3">
        <v>45264</v>
      </c>
      <c r="C735" s="2" t="s">
        <v>2723</v>
      </c>
      <c r="D735" s="2" t="s">
        <v>32</v>
      </c>
      <c r="E735" s="2">
        <v>4</v>
      </c>
      <c r="F735" s="2">
        <v>494.84</v>
      </c>
      <c r="G735" s="2" t="s">
        <v>2538</v>
      </c>
      <c r="H735" s="2" t="s">
        <v>65</v>
      </c>
      <c r="I735" s="2" t="s">
        <v>43</v>
      </c>
      <c r="J735" s="2" t="s">
        <v>2724</v>
      </c>
      <c r="K735" s="2">
        <v>8</v>
      </c>
      <c r="L735" s="2" t="s">
        <v>21</v>
      </c>
      <c r="M735" s="2" t="s">
        <v>38</v>
      </c>
      <c r="N735" s="2">
        <v>1979.36</v>
      </c>
    </row>
    <row r="736" spans="1:14" ht="15" x14ac:dyDescent="0.25">
      <c r="A736" s="2" t="s">
        <v>2725</v>
      </c>
      <c r="B736" s="3">
        <v>45314</v>
      </c>
      <c r="C736" s="2" t="s">
        <v>2726</v>
      </c>
      <c r="D736" s="2" t="s">
        <v>48</v>
      </c>
      <c r="E736" s="2">
        <v>4</v>
      </c>
      <c r="F736" s="2">
        <v>224.61</v>
      </c>
      <c r="G736" s="2" t="s">
        <v>1147</v>
      </c>
      <c r="H736" s="2" t="s">
        <v>34</v>
      </c>
      <c r="I736" s="2" t="s">
        <v>43</v>
      </c>
      <c r="J736" s="2" t="s">
        <v>2727</v>
      </c>
      <c r="K736" s="2">
        <v>6</v>
      </c>
      <c r="L736" s="2" t="s">
        <v>81</v>
      </c>
      <c r="M736" s="2" t="s">
        <v>45</v>
      </c>
      <c r="N736" s="2">
        <v>898.44</v>
      </c>
    </row>
    <row r="737" spans="1:14" ht="15" x14ac:dyDescent="0.25">
      <c r="A737" s="2" t="s">
        <v>2728</v>
      </c>
      <c r="B737" s="3">
        <v>45471</v>
      </c>
      <c r="C737" s="2" t="s">
        <v>2729</v>
      </c>
      <c r="D737" s="2" t="s">
        <v>16</v>
      </c>
      <c r="E737" s="2">
        <v>4</v>
      </c>
      <c r="F737" s="2">
        <v>44.07</v>
      </c>
      <c r="G737" s="2" t="s">
        <v>1542</v>
      </c>
      <c r="H737" s="2" t="s">
        <v>18</v>
      </c>
      <c r="I737" s="2" t="s">
        <v>89</v>
      </c>
      <c r="J737" s="2" t="s">
        <v>2730</v>
      </c>
      <c r="K737" s="2">
        <v>6</v>
      </c>
      <c r="M737" s="2" t="s">
        <v>38</v>
      </c>
      <c r="N737" s="2">
        <v>176.28</v>
      </c>
    </row>
    <row r="738" spans="1:14" ht="15" x14ac:dyDescent="0.25">
      <c r="A738" s="2" t="s">
        <v>2731</v>
      </c>
      <c r="B738" s="3">
        <v>45331</v>
      </c>
      <c r="C738" s="2" t="s">
        <v>2732</v>
      </c>
      <c r="D738" s="2" t="s">
        <v>16</v>
      </c>
      <c r="E738" s="2">
        <v>5</v>
      </c>
      <c r="F738" s="2">
        <v>418.53</v>
      </c>
      <c r="G738" s="2" t="s">
        <v>1945</v>
      </c>
      <c r="H738" s="2" t="s">
        <v>34</v>
      </c>
      <c r="I738" s="2" t="s">
        <v>89</v>
      </c>
      <c r="J738" s="2" t="s">
        <v>2733</v>
      </c>
      <c r="K738" s="2">
        <v>6</v>
      </c>
      <c r="L738" s="2" t="s">
        <v>37</v>
      </c>
      <c r="M738" s="2" t="s">
        <v>76</v>
      </c>
      <c r="N738" s="2">
        <v>2092.65</v>
      </c>
    </row>
    <row r="739" spans="1:14" ht="15" x14ac:dyDescent="0.25">
      <c r="A739" s="2" t="s">
        <v>2734</v>
      </c>
      <c r="B739" s="3">
        <v>45294</v>
      </c>
      <c r="C739" s="2" t="s">
        <v>2735</v>
      </c>
      <c r="D739" s="2" t="s">
        <v>25</v>
      </c>
      <c r="E739" s="2">
        <v>4</v>
      </c>
      <c r="F739" s="2">
        <v>532.87</v>
      </c>
      <c r="G739" s="2" t="s">
        <v>2736</v>
      </c>
      <c r="H739" s="2" t="s">
        <v>65</v>
      </c>
      <c r="I739" s="2" t="s">
        <v>89</v>
      </c>
      <c r="J739" s="2" t="s">
        <v>2737</v>
      </c>
      <c r="K739" s="2">
        <v>9</v>
      </c>
      <c r="L739" s="2" t="s">
        <v>37</v>
      </c>
      <c r="M739" s="2" t="s">
        <v>22</v>
      </c>
      <c r="N739" s="2">
        <v>2131.48</v>
      </c>
    </row>
    <row r="740" spans="1:14" ht="15" x14ac:dyDescent="0.25">
      <c r="A740" s="2" t="s">
        <v>2738</v>
      </c>
      <c r="B740" s="3">
        <v>45812</v>
      </c>
      <c r="C740" s="2" t="s">
        <v>2739</v>
      </c>
      <c r="D740" s="2" t="s">
        <v>25</v>
      </c>
      <c r="E740" s="2">
        <v>2</v>
      </c>
      <c r="F740" s="2">
        <v>485.37</v>
      </c>
      <c r="G740" s="2" t="s">
        <v>2740</v>
      </c>
      <c r="H740" s="2" t="s">
        <v>34</v>
      </c>
      <c r="I740" s="2" t="s">
        <v>19</v>
      </c>
      <c r="J740" s="2" t="s">
        <v>2741</v>
      </c>
      <c r="K740" s="2">
        <v>5</v>
      </c>
      <c r="L740" s="2" t="s">
        <v>21</v>
      </c>
      <c r="M740" s="2" t="s">
        <v>38</v>
      </c>
      <c r="N740" s="2">
        <v>970.74</v>
      </c>
    </row>
    <row r="741" spans="1:14" ht="15" x14ac:dyDescent="0.25">
      <c r="A741" s="2" t="s">
        <v>2742</v>
      </c>
      <c r="B741" s="3">
        <v>45456</v>
      </c>
      <c r="C741" s="2" t="s">
        <v>2743</v>
      </c>
      <c r="D741" s="2" t="s">
        <v>25</v>
      </c>
      <c r="E741" s="2">
        <v>4</v>
      </c>
      <c r="F741" s="2">
        <v>386.73</v>
      </c>
      <c r="G741" s="2" t="s">
        <v>553</v>
      </c>
      <c r="H741" s="2" t="s">
        <v>65</v>
      </c>
      <c r="I741" s="2" t="s">
        <v>50</v>
      </c>
      <c r="J741" s="2" t="s">
        <v>2744</v>
      </c>
      <c r="K741" s="2">
        <v>4</v>
      </c>
      <c r="L741" s="2" t="s">
        <v>21</v>
      </c>
      <c r="M741" s="2" t="s">
        <v>45</v>
      </c>
      <c r="N741" s="2">
        <v>1546.92</v>
      </c>
    </row>
    <row r="742" spans="1:14" ht="15" x14ac:dyDescent="0.25">
      <c r="A742" s="2" t="s">
        <v>2745</v>
      </c>
      <c r="B742" s="3">
        <v>45493</v>
      </c>
      <c r="C742" s="2" t="s">
        <v>2746</v>
      </c>
      <c r="D742" s="2" t="s">
        <v>73</v>
      </c>
      <c r="E742" s="2">
        <v>2</v>
      </c>
      <c r="F742" s="2">
        <v>377.47</v>
      </c>
      <c r="G742" s="2" t="s">
        <v>1670</v>
      </c>
      <c r="H742" s="2" t="s">
        <v>65</v>
      </c>
      <c r="I742" s="2" t="s">
        <v>89</v>
      </c>
      <c r="J742" s="2" t="s">
        <v>2747</v>
      </c>
      <c r="K742" s="2">
        <v>7</v>
      </c>
      <c r="M742" s="2" t="s">
        <v>76</v>
      </c>
      <c r="N742" s="2">
        <v>754.94</v>
      </c>
    </row>
    <row r="743" spans="1:14" ht="15" x14ac:dyDescent="0.25">
      <c r="A743" s="2" t="s">
        <v>2748</v>
      </c>
      <c r="B743" s="3">
        <v>45680</v>
      </c>
      <c r="C743" s="2" t="s">
        <v>2749</v>
      </c>
      <c r="D743" s="2" t="s">
        <v>16</v>
      </c>
      <c r="E743" s="2">
        <v>5</v>
      </c>
      <c r="F743" s="2">
        <v>332.64</v>
      </c>
      <c r="G743" s="2" t="s">
        <v>2750</v>
      </c>
      <c r="H743" s="2" t="s">
        <v>60</v>
      </c>
      <c r="I743" s="2" t="s">
        <v>50</v>
      </c>
      <c r="J743" s="2" t="s">
        <v>2751</v>
      </c>
      <c r="K743" s="2">
        <v>10</v>
      </c>
      <c r="M743" s="2" t="s">
        <v>29</v>
      </c>
      <c r="N743" s="2">
        <v>1663.2</v>
      </c>
    </row>
    <row r="744" spans="1:14" ht="15" x14ac:dyDescent="0.25">
      <c r="A744" s="2" t="s">
        <v>2752</v>
      </c>
      <c r="B744" s="3">
        <v>45626</v>
      </c>
      <c r="C744" s="2" t="s">
        <v>2753</v>
      </c>
      <c r="D744" s="2" t="s">
        <v>58</v>
      </c>
      <c r="E744" s="2">
        <v>3</v>
      </c>
      <c r="F744" s="2">
        <v>699.93</v>
      </c>
      <c r="G744" s="2" t="s">
        <v>1198</v>
      </c>
      <c r="H744" s="2" t="s">
        <v>65</v>
      </c>
      <c r="I744" s="2" t="s">
        <v>43</v>
      </c>
      <c r="J744" s="2" t="s">
        <v>2754</v>
      </c>
      <c r="K744" s="2">
        <v>7</v>
      </c>
      <c r="L744" s="2" t="s">
        <v>21</v>
      </c>
      <c r="M744" s="2" t="s">
        <v>76</v>
      </c>
      <c r="N744" s="2">
        <v>2099.79</v>
      </c>
    </row>
    <row r="745" spans="1:14" ht="15" x14ac:dyDescent="0.25">
      <c r="A745" s="2" t="s">
        <v>2755</v>
      </c>
      <c r="B745" s="3">
        <v>45565</v>
      </c>
      <c r="C745" s="2" t="s">
        <v>2756</v>
      </c>
      <c r="D745" s="2" t="s">
        <v>16</v>
      </c>
      <c r="E745" s="2">
        <v>1</v>
      </c>
      <c r="F745" s="2">
        <v>576.35</v>
      </c>
      <c r="G745" s="2" t="s">
        <v>193</v>
      </c>
      <c r="H745" s="2" t="s">
        <v>60</v>
      </c>
      <c r="I745" s="2" t="s">
        <v>43</v>
      </c>
      <c r="J745" s="2" t="s">
        <v>2757</v>
      </c>
      <c r="K745" s="2">
        <v>1</v>
      </c>
      <c r="L745" s="2" t="s">
        <v>81</v>
      </c>
      <c r="M745" s="2" t="s">
        <v>22</v>
      </c>
      <c r="N745" s="2">
        <v>576.35</v>
      </c>
    </row>
    <row r="746" spans="1:14" ht="15" x14ac:dyDescent="0.25">
      <c r="A746" s="2" t="s">
        <v>2758</v>
      </c>
      <c r="B746" s="3">
        <v>45455</v>
      </c>
      <c r="C746" s="2" t="s">
        <v>2759</v>
      </c>
      <c r="D746" s="2" t="s">
        <v>32</v>
      </c>
      <c r="E746" s="2">
        <v>2</v>
      </c>
      <c r="F746" s="2">
        <v>461.37</v>
      </c>
      <c r="G746" s="2" t="s">
        <v>2760</v>
      </c>
      <c r="H746" s="2" t="s">
        <v>65</v>
      </c>
      <c r="I746" s="2" t="s">
        <v>50</v>
      </c>
      <c r="J746" s="2" t="s">
        <v>2761</v>
      </c>
      <c r="K746" s="2">
        <v>5</v>
      </c>
      <c r="L746" s="2" t="s">
        <v>21</v>
      </c>
      <c r="M746" s="2" t="s">
        <v>76</v>
      </c>
      <c r="N746" s="2">
        <v>922.74</v>
      </c>
    </row>
    <row r="747" spans="1:14" ht="15" x14ac:dyDescent="0.25">
      <c r="A747" s="2" t="s">
        <v>2762</v>
      </c>
      <c r="B747" s="3">
        <v>44987</v>
      </c>
      <c r="C747" s="2" t="s">
        <v>2763</v>
      </c>
      <c r="D747" s="2" t="s">
        <v>48</v>
      </c>
      <c r="E747" s="2">
        <v>4</v>
      </c>
      <c r="F747" s="2">
        <v>111.3</v>
      </c>
      <c r="G747" s="2" t="s">
        <v>2764</v>
      </c>
      <c r="H747" s="2" t="s">
        <v>18</v>
      </c>
      <c r="I747" s="2" t="s">
        <v>89</v>
      </c>
      <c r="J747" s="2" t="s">
        <v>2765</v>
      </c>
      <c r="K747" s="2">
        <v>7</v>
      </c>
      <c r="L747" s="2" t="s">
        <v>37</v>
      </c>
      <c r="M747" s="2" t="s">
        <v>38</v>
      </c>
      <c r="N747" s="2">
        <v>445.2</v>
      </c>
    </row>
    <row r="748" spans="1:14" ht="15" x14ac:dyDescent="0.25">
      <c r="A748" s="2" t="s">
        <v>2766</v>
      </c>
      <c r="B748" s="3">
        <v>45712</v>
      </c>
      <c r="C748" s="2" t="s">
        <v>2767</v>
      </c>
      <c r="D748" s="2" t="s">
        <v>73</v>
      </c>
      <c r="E748" s="2">
        <v>3</v>
      </c>
      <c r="F748" s="2">
        <v>661.89</v>
      </c>
      <c r="G748" s="2" t="s">
        <v>2768</v>
      </c>
      <c r="H748" s="2" t="s">
        <v>27</v>
      </c>
      <c r="I748" s="2" t="s">
        <v>35</v>
      </c>
      <c r="J748" s="2" t="s">
        <v>2769</v>
      </c>
      <c r="K748" s="2">
        <v>6</v>
      </c>
      <c r="L748" s="2" t="s">
        <v>81</v>
      </c>
      <c r="M748" s="2" t="s">
        <v>29</v>
      </c>
      <c r="N748" s="2">
        <v>1985.67</v>
      </c>
    </row>
    <row r="749" spans="1:14" ht="15" x14ac:dyDescent="0.25">
      <c r="A749" s="2" t="s">
        <v>2770</v>
      </c>
      <c r="B749" s="3">
        <v>45728</v>
      </c>
      <c r="C749" s="2" t="s">
        <v>2771</v>
      </c>
      <c r="D749" s="2" t="s">
        <v>32</v>
      </c>
      <c r="E749" s="2">
        <v>2</v>
      </c>
      <c r="F749" s="2">
        <v>259.58</v>
      </c>
      <c r="G749" s="2" t="s">
        <v>2772</v>
      </c>
      <c r="H749" s="2" t="s">
        <v>18</v>
      </c>
      <c r="I749" s="2" t="s">
        <v>50</v>
      </c>
      <c r="J749" s="2" t="s">
        <v>2773</v>
      </c>
      <c r="K749" s="2">
        <v>7</v>
      </c>
      <c r="L749" s="2" t="s">
        <v>37</v>
      </c>
      <c r="M749" s="2" t="s">
        <v>22</v>
      </c>
      <c r="N749" s="2">
        <v>519.16</v>
      </c>
    </row>
    <row r="750" spans="1:14" ht="15" x14ac:dyDescent="0.25">
      <c r="A750" s="2" t="s">
        <v>2774</v>
      </c>
      <c r="B750" s="3">
        <v>45488</v>
      </c>
      <c r="C750" s="2" t="s">
        <v>2775</v>
      </c>
      <c r="D750" s="2" t="s">
        <v>32</v>
      </c>
      <c r="E750" s="2">
        <v>3</v>
      </c>
      <c r="F750" s="2">
        <v>70.81</v>
      </c>
      <c r="G750" s="2" t="s">
        <v>1908</v>
      </c>
      <c r="H750" s="2" t="s">
        <v>34</v>
      </c>
      <c r="I750" s="2" t="s">
        <v>19</v>
      </c>
      <c r="J750" s="2" t="s">
        <v>2776</v>
      </c>
      <c r="K750" s="2">
        <v>8</v>
      </c>
      <c r="L750" s="2" t="s">
        <v>37</v>
      </c>
      <c r="M750" s="2" t="s">
        <v>29</v>
      </c>
      <c r="N750" s="2">
        <v>212.43</v>
      </c>
    </row>
    <row r="751" spans="1:14" ht="15" x14ac:dyDescent="0.25">
      <c r="A751" s="2" t="s">
        <v>2777</v>
      </c>
      <c r="B751" s="3">
        <v>45760</v>
      </c>
      <c r="C751" s="2" t="s">
        <v>2778</v>
      </c>
      <c r="D751" s="2" t="s">
        <v>58</v>
      </c>
      <c r="E751" s="2">
        <v>1</v>
      </c>
      <c r="F751" s="2">
        <v>518.39</v>
      </c>
      <c r="G751" s="2" t="s">
        <v>2779</v>
      </c>
      <c r="H751" s="2" t="s">
        <v>18</v>
      </c>
      <c r="I751" s="2" t="s">
        <v>89</v>
      </c>
      <c r="J751" s="2" t="s">
        <v>2780</v>
      </c>
      <c r="K751" s="2">
        <v>4</v>
      </c>
      <c r="L751" s="2" t="s">
        <v>37</v>
      </c>
      <c r="M751" s="2" t="s">
        <v>22</v>
      </c>
      <c r="N751" s="2">
        <v>518.39</v>
      </c>
    </row>
    <row r="752" spans="1:14" ht="15" x14ac:dyDescent="0.25">
      <c r="A752" s="2" t="s">
        <v>2781</v>
      </c>
      <c r="B752" s="3">
        <v>44940</v>
      </c>
      <c r="C752" s="2" t="s">
        <v>2782</v>
      </c>
      <c r="D752" s="2" t="s">
        <v>32</v>
      </c>
      <c r="E752" s="2">
        <v>4</v>
      </c>
      <c r="F752" s="2">
        <v>145.41</v>
      </c>
      <c r="G752" s="2" t="s">
        <v>2783</v>
      </c>
      <c r="H752" s="2" t="s">
        <v>34</v>
      </c>
      <c r="I752" s="2" t="s">
        <v>43</v>
      </c>
      <c r="J752" s="2" t="s">
        <v>2784</v>
      </c>
      <c r="K752" s="2">
        <v>7</v>
      </c>
      <c r="L752" s="2" t="s">
        <v>37</v>
      </c>
      <c r="M752" s="2" t="s">
        <v>38</v>
      </c>
      <c r="N752" s="2">
        <v>581.64</v>
      </c>
    </row>
    <row r="753" spans="1:14" ht="15" x14ac:dyDescent="0.25">
      <c r="A753" s="2" t="s">
        <v>2785</v>
      </c>
      <c r="B753" s="3">
        <v>44950</v>
      </c>
      <c r="C753" s="2" t="s">
        <v>2786</v>
      </c>
      <c r="D753" s="2" t="s">
        <v>32</v>
      </c>
      <c r="E753" s="2">
        <v>2</v>
      </c>
      <c r="F753" s="2">
        <v>599.86</v>
      </c>
      <c r="G753" s="2" t="s">
        <v>2787</v>
      </c>
      <c r="H753" s="2" t="s">
        <v>60</v>
      </c>
      <c r="I753" s="2" t="s">
        <v>89</v>
      </c>
      <c r="J753" s="2" t="s">
        <v>2788</v>
      </c>
      <c r="K753" s="2">
        <v>7</v>
      </c>
      <c r="L753" s="2" t="s">
        <v>37</v>
      </c>
      <c r="M753" s="2" t="s">
        <v>45</v>
      </c>
      <c r="N753" s="2">
        <v>1199.72</v>
      </c>
    </row>
    <row r="754" spans="1:14" ht="15" x14ac:dyDescent="0.25">
      <c r="A754" s="2" t="s">
        <v>2789</v>
      </c>
      <c r="B754" s="3">
        <v>45568</v>
      </c>
      <c r="C754" s="2" t="s">
        <v>2790</v>
      </c>
      <c r="D754" s="2" t="s">
        <v>25</v>
      </c>
      <c r="E754" s="2">
        <v>4</v>
      </c>
      <c r="F754" s="2">
        <v>429.37</v>
      </c>
      <c r="G754" s="2" t="s">
        <v>1113</v>
      </c>
      <c r="H754" s="2" t="s">
        <v>34</v>
      </c>
      <c r="I754" s="2" t="s">
        <v>50</v>
      </c>
      <c r="J754" s="2" t="s">
        <v>2791</v>
      </c>
      <c r="K754" s="2">
        <v>8</v>
      </c>
      <c r="L754" s="2" t="s">
        <v>37</v>
      </c>
      <c r="M754" s="2" t="s">
        <v>76</v>
      </c>
      <c r="N754" s="2">
        <v>1717.48</v>
      </c>
    </row>
    <row r="755" spans="1:14" ht="15" x14ac:dyDescent="0.25">
      <c r="A755" s="2" t="s">
        <v>2792</v>
      </c>
      <c r="B755" s="3">
        <v>45406</v>
      </c>
      <c r="C755" s="2" t="s">
        <v>2793</v>
      </c>
      <c r="D755" s="2" t="s">
        <v>25</v>
      </c>
      <c r="E755" s="2">
        <v>2</v>
      </c>
      <c r="F755" s="2">
        <v>241.49</v>
      </c>
      <c r="G755" s="2" t="s">
        <v>2794</v>
      </c>
      <c r="H755" s="2" t="s">
        <v>18</v>
      </c>
      <c r="I755" s="2" t="s">
        <v>43</v>
      </c>
      <c r="J755" s="2" t="s">
        <v>2795</v>
      </c>
      <c r="K755" s="2">
        <v>7</v>
      </c>
      <c r="L755" s="2" t="s">
        <v>37</v>
      </c>
      <c r="M755" s="2" t="s">
        <v>22</v>
      </c>
      <c r="N755" s="2">
        <v>482.98</v>
      </c>
    </row>
    <row r="756" spans="1:14" ht="15" x14ac:dyDescent="0.25">
      <c r="A756" s="2" t="s">
        <v>2796</v>
      </c>
      <c r="B756" s="3">
        <v>45808</v>
      </c>
      <c r="C756" s="2" t="s">
        <v>2797</v>
      </c>
      <c r="D756" s="2" t="s">
        <v>48</v>
      </c>
      <c r="E756" s="2">
        <v>2</v>
      </c>
      <c r="F756" s="2">
        <v>452.05</v>
      </c>
      <c r="G756" s="2" t="s">
        <v>2798</v>
      </c>
      <c r="H756" s="2" t="s">
        <v>34</v>
      </c>
      <c r="I756" s="2" t="s">
        <v>43</v>
      </c>
      <c r="J756" s="2" t="s">
        <v>2799</v>
      </c>
      <c r="K756" s="2">
        <v>3</v>
      </c>
      <c r="L756" s="2" t="s">
        <v>81</v>
      </c>
      <c r="M756" s="2" t="s">
        <v>38</v>
      </c>
      <c r="N756" s="2">
        <v>904.1</v>
      </c>
    </row>
    <row r="757" spans="1:14" ht="15" x14ac:dyDescent="0.25">
      <c r="A757" s="2" t="s">
        <v>2800</v>
      </c>
      <c r="B757" s="3">
        <v>45090</v>
      </c>
      <c r="C757" s="2" t="s">
        <v>2801</v>
      </c>
      <c r="D757" s="2" t="s">
        <v>73</v>
      </c>
      <c r="E757" s="2">
        <v>3</v>
      </c>
      <c r="F757" s="2">
        <v>336.71</v>
      </c>
      <c r="G757" s="2" t="s">
        <v>2802</v>
      </c>
      <c r="H757" s="2" t="s">
        <v>34</v>
      </c>
      <c r="I757" s="2" t="s">
        <v>89</v>
      </c>
      <c r="J757" s="2" t="s">
        <v>2803</v>
      </c>
      <c r="K757" s="2">
        <v>4</v>
      </c>
      <c r="M757" s="2" t="s">
        <v>38</v>
      </c>
      <c r="N757" s="2">
        <v>1010.13</v>
      </c>
    </row>
    <row r="758" spans="1:14" ht="15" x14ac:dyDescent="0.25">
      <c r="A758" s="2" t="s">
        <v>2804</v>
      </c>
      <c r="B758" s="3">
        <v>45470</v>
      </c>
      <c r="C758" s="2" t="s">
        <v>2805</v>
      </c>
      <c r="D758" s="2" t="s">
        <v>25</v>
      </c>
      <c r="E758" s="2">
        <v>1</v>
      </c>
      <c r="F758" s="2">
        <v>283.69</v>
      </c>
      <c r="G758" s="2" t="s">
        <v>269</v>
      </c>
      <c r="H758" s="2" t="s">
        <v>60</v>
      </c>
      <c r="I758" s="2" t="s">
        <v>19</v>
      </c>
      <c r="J758" s="2" t="s">
        <v>2806</v>
      </c>
      <c r="K758" s="2">
        <v>6</v>
      </c>
      <c r="M758" s="2" t="s">
        <v>76</v>
      </c>
      <c r="N758" s="2">
        <v>283.69</v>
      </c>
    </row>
    <row r="759" spans="1:14" ht="15" x14ac:dyDescent="0.25">
      <c r="A759" s="2" t="s">
        <v>2807</v>
      </c>
      <c r="B759" s="3">
        <v>45344</v>
      </c>
      <c r="C759" s="2" t="s">
        <v>2808</v>
      </c>
      <c r="D759" s="2" t="s">
        <v>73</v>
      </c>
      <c r="E759" s="2">
        <v>1</v>
      </c>
      <c r="F759" s="2">
        <v>157.72</v>
      </c>
      <c r="G759" s="2" t="s">
        <v>779</v>
      </c>
      <c r="H759" s="2" t="s">
        <v>18</v>
      </c>
      <c r="I759" s="2" t="s">
        <v>50</v>
      </c>
      <c r="J759" s="2" t="s">
        <v>2809</v>
      </c>
      <c r="K759" s="2">
        <v>2</v>
      </c>
      <c r="L759" s="2" t="s">
        <v>37</v>
      </c>
      <c r="M759" s="2" t="s">
        <v>76</v>
      </c>
      <c r="N759" s="2">
        <v>157.72</v>
      </c>
    </row>
    <row r="760" spans="1:14" ht="15" x14ac:dyDescent="0.25">
      <c r="A760" s="2" t="s">
        <v>2810</v>
      </c>
      <c r="B760" s="3">
        <v>45011</v>
      </c>
      <c r="C760" s="2" t="s">
        <v>2811</v>
      </c>
      <c r="D760" s="2" t="s">
        <v>32</v>
      </c>
      <c r="E760" s="2">
        <v>3</v>
      </c>
      <c r="F760" s="2">
        <v>624.84</v>
      </c>
      <c r="G760" s="2" t="s">
        <v>335</v>
      </c>
      <c r="H760" s="2" t="s">
        <v>34</v>
      </c>
      <c r="I760" s="2" t="s">
        <v>35</v>
      </c>
      <c r="J760" s="2" t="s">
        <v>2812</v>
      </c>
      <c r="K760" s="2">
        <v>8</v>
      </c>
      <c r="L760" s="2" t="s">
        <v>81</v>
      </c>
      <c r="M760" s="2" t="s">
        <v>45</v>
      </c>
      <c r="N760" s="2">
        <v>1874.52</v>
      </c>
    </row>
    <row r="761" spans="1:14" ht="15" x14ac:dyDescent="0.25">
      <c r="A761" s="2" t="s">
        <v>2813</v>
      </c>
      <c r="B761" s="3">
        <v>45131</v>
      </c>
      <c r="C761" s="2" t="s">
        <v>2814</v>
      </c>
      <c r="D761" s="2" t="s">
        <v>73</v>
      </c>
      <c r="E761" s="2">
        <v>3</v>
      </c>
      <c r="F761" s="2">
        <v>308.01</v>
      </c>
      <c r="G761" s="2" t="s">
        <v>2815</v>
      </c>
      <c r="H761" s="2" t="s">
        <v>65</v>
      </c>
      <c r="I761" s="2" t="s">
        <v>89</v>
      </c>
      <c r="J761" s="2" t="s">
        <v>2816</v>
      </c>
      <c r="K761" s="2">
        <v>3</v>
      </c>
      <c r="L761" s="2" t="s">
        <v>37</v>
      </c>
      <c r="M761" s="2" t="s">
        <v>45</v>
      </c>
      <c r="N761" s="2">
        <v>924.03</v>
      </c>
    </row>
    <row r="762" spans="1:14" ht="15" x14ac:dyDescent="0.25">
      <c r="A762" s="2" t="s">
        <v>2817</v>
      </c>
      <c r="B762" s="3">
        <v>45706</v>
      </c>
      <c r="C762" s="2" t="s">
        <v>2818</v>
      </c>
      <c r="D762" s="2" t="s">
        <v>73</v>
      </c>
      <c r="E762" s="2">
        <v>1</v>
      </c>
      <c r="F762" s="2">
        <v>39.56</v>
      </c>
      <c r="G762" s="2" t="s">
        <v>735</v>
      </c>
      <c r="H762" s="2" t="s">
        <v>18</v>
      </c>
      <c r="I762" s="2" t="s">
        <v>35</v>
      </c>
      <c r="J762" s="2" t="s">
        <v>2819</v>
      </c>
      <c r="K762" s="2">
        <v>5</v>
      </c>
      <c r="M762" s="2" t="s">
        <v>76</v>
      </c>
      <c r="N762" s="2">
        <v>39.56</v>
      </c>
    </row>
    <row r="763" spans="1:14" ht="15" x14ac:dyDescent="0.25">
      <c r="A763" s="2" t="s">
        <v>2820</v>
      </c>
      <c r="B763" s="3">
        <v>45079</v>
      </c>
      <c r="C763" s="2" t="s">
        <v>2821</v>
      </c>
      <c r="D763" s="2" t="s">
        <v>73</v>
      </c>
      <c r="E763" s="2">
        <v>4</v>
      </c>
      <c r="F763" s="2">
        <v>37.76</v>
      </c>
      <c r="G763" s="2" t="s">
        <v>2822</v>
      </c>
      <c r="H763" s="2" t="s">
        <v>18</v>
      </c>
      <c r="I763" s="2" t="s">
        <v>50</v>
      </c>
      <c r="J763" s="2" t="s">
        <v>2823</v>
      </c>
      <c r="K763" s="2">
        <v>7</v>
      </c>
      <c r="M763" s="2" t="s">
        <v>76</v>
      </c>
      <c r="N763" s="2">
        <v>151.04</v>
      </c>
    </row>
    <row r="764" spans="1:14" ht="15" x14ac:dyDescent="0.25">
      <c r="A764" s="2" t="s">
        <v>2824</v>
      </c>
      <c r="B764" s="3">
        <v>45552</v>
      </c>
      <c r="C764" s="2" t="s">
        <v>2825</v>
      </c>
      <c r="D764" s="2" t="s">
        <v>25</v>
      </c>
      <c r="E764" s="2">
        <v>3</v>
      </c>
      <c r="F764" s="2">
        <v>76.959999999999994</v>
      </c>
      <c r="G764" s="2" t="s">
        <v>395</v>
      </c>
      <c r="H764" s="2" t="s">
        <v>65</v>
      </c>
      <c r="I764" s="2" t="s">
        <v>43</v>
      </c>
      <c r="J764" s="2" t="s">
        <v>2826</v>
      </c>
      <c r="K764" s="2">
        <v>8</v>
      </c>
      <c r="L764" s="2" t="s">
        <v>37</v>
      </c>
      <c r="M764" s="2" t="s">
        <v>38</v>
      </c>
      <c r="N764" s="2">
        <v>230.88</v>
      </c>
    </row>
    <row r="765" spans="1:14" ht="15" x14ac:dyDescent="0.25">
      <c r="A765" s="2" t="s">
        <v>2827</v>
      </c>
      <c r="B765" s="3">
        <v>45022</v>
      </c>
      <c r="C765" s="2" t="s">
        <v>2828</v>
      </c>
      <c r="D765" s="2" t="s">
        <v>58</v>
      </c>
      <c r="E765" s="2">
        <v>1</v>
      </c>
      <c r="F765" s="2">
        <v>569.96</v>
      </c>
      <c r="G765" s="2" t="s">
        <v>426</v>
      </c>
      <c r="H765" s="2" t="s">
        <v>27</v>
      </c>
      <c r="I765" s="2" t="s">
        <v>50</v>
      </c>
      <c r="J765" s="2" t="s">
        <v>2829</v>
      </c>
      <c r="K765" s="2">
        <v>4</v>
      </c>
      <c r="L765" s="2" t="s">
        <v>37</v>
      </c>
      <c r="M765" s="2" t="s">
        <v>38</v>
      </c>
      <c r="N765" s="2">
        <v>569.96</v>
      </c>
    </row>
    <row r="766" spans="1:14" ht="15" x14ac:dyDescent="0.25">
      <c r="A766" s="2" t="s">
        <v>2830</v>
      </c>
      <c r="B766" s="3">
        <v>45361</v>
      </c>
      <c r="C766" s="2" t="s">
        <v>2831</v>
      </c>
      <c r="D766" s="2" t="s">
        <v>58</v>
      </c>
      <c r="E766" s="2">
        <v>5</v>
      </c>
      <c r="F766" s="2">
        <v>627.42999999999995</v>
      </c>
      <c r="G766" s="2" t="s">
        <v>715</v>
      </c>
      <c r="H766" s="2" t="s">
        <v>34</v>
      </c>
      <c r="I766" s="2" t="s">
        <v>35</v>
      </c>
      <c r="J766" s="2" t="s">
        <v>2832</v>
      </c>
      <c r="K766" s="2">
        <v>10</v>
      </c>
      <c r="L766" s="2" t="s">
        <v>37</v>
      </c>
      <c r="M766" s="2" t="s">
        <v>38</v>
      </c>
      <c r="N766" s="2">
        <v>3137.15</v>
      </c>
    </row>
    <row r="767" spans="1:14" ht="15" x14ac:dyDescent="0.25">
      <c r="A767" s="2" t="s">
        <v>2833</v>
      </c>
      <c r="B767" s="3">
        <v>45205</v>
      </c>
      <c r="C767" s="2" t="s">
        <v>2834</v>
      </c>
      <c r="D767" s="2" t="s">
        <v>58</v>
      </c>
      <c r="E767" s="2">
        <v>2</v>
      </c>
      <c r="F767" s="2">
        <v>534.91</v>
      </c>
      <c r="G767" s="2" t="s">
        <v>2661</v>
      </c>
      <c r="H767" s="2" t="s">
        <v>18</v>
      </c>
      <c r="I767" s="2" t="s">
        <v>43</v>
      </c>
      <c r="J767" s="2" t="s">
        <v>2835</v>
      </c>
      <c r="K767" s="2">
        <v>5</v>
      </c>
      <c r="L767" s="2" t="s">
        <v>21</v>
      </c>
      <c r="M767" s="2" t="s">
        <v>76</v>
      </c>
      <c r="N767" s="2">
        <v>1069.82</v>
      </c>
    </row>
    <row r="768" spans="1:14" ht="15" x14ac:dyDescent="0.25">
      <c r="A768" s="2" t="s">
        <v>2836</v>
      </c>
      <c r="B768" s="3">
        <v>44948</v>
      </c>
      <c r="C768" s="2" t="s">
        <v>2837</v>
      </c>
      <c r="D768" s="2" t="s">
        <v>48</v>
      </c>
      <c r="E768" s="2">
        <v>2</v>
      </c>
      <c r="F768" s="2">
        <v>278.88</v>
      </c>
      <c r="G768" s="2" t="s">
        <v>1388</v>
      </c>
      <c r="H768" s="2" t="s">
        <v>18</v>
      </c>
      <c r="I768" s="2" t="s">
        <v>89</v>
      </c>
      <c r="J768" s="2" t="s">
        <v>2838</v>
      </c>
      <c r="K768" s="2">
        <v>3</v>
      </c>
      <c r="L768" s="2" t="s">
        <v>37</v>
      </c>
      <c r="M768" s="2" t="s">
        <v>29</v>
      </c>
      <c r="N768" s="2">
        <v>557.76</v>
      </c>
    </row>
    <row r="769" spans="1:14" ht="15" x14ac:dyDescent="0.25">
      <c r="A769" s="2" t="s">
        <v>2839</v>
      </c>
      <c r="B769" s="3">
        <v>45765</v>
      </c>
      <c r="C769" s="2" t="s">
        <v>2840</v>
      </c>
      <c r="D769" s="2" t="s">
        <v>32</v>
      </c>
      <c r="E769" s="2">
        <v>2</v>
      </c>
      <c r="F769" s="2">
        <v>323.22000000000003</v>
      </c>
      <c r="G769" s="2" t="s">
        <v>2841</v>
      </c>
      <c r="H769" s="2" t="s">
        <v>34</v>
      </c>
      <c r="I769" s="2" t="s">
        <v>50</v>
      </c>
      <c r="J769" s="2" t="s">
        <v>2842</v>
      </c>
      <c r="K769" s="2">
        <v>7</v>
      </c>
      <c r="M769" s="2" t="s">
        <v>22</v>
      </c>
      <c r="N769" s="2">
        <v>646.44000000000005</v>
      </c>
    </row>
    <row r="770" spans="1:14" ht="15" x14ac:dyDescent="0.25">
      <c r="A770" s="2" t="s">
        <v>2843</v>
      </c>
      <c r="B770" s="3">
        <v>45173</v>
      </c>
      <c r="C770" s="2" t="s">
        <v>2844</v>
      </c>
      <c r="D770" s="2" t="s">
        <v>32</v>
      </c>
      <c r="E770" s="2">
        <v>5</v>
      </c>
      <c r="F770" s="2">
        <v>653.46</v>
      </c>
      <c r="G770" s="2" t="s">
        <v>2845</v>
      </c>
      <c r="H770" s="2" t="s">
        <v>65</v>
      </c>
      <c r="I770" s="2" t="s">
        <v>35</v>
      </c>
      <c r="J770" s="2" t="s">
        <v>2846</v>
      </c>
      <c r="K770" s="2">
        <v>9</v>
      </c>
      <c r="L770" s="2" t="s">
        <v>81</v>
      </c>
      <c r="M770" s="2" t="s">
        <v>38</v>
      </c>
      <c r="N770" s="2">
        <v>3267.3</v>
      </c>
    </row>
    <row r="771" spans="1:14" ht="15" x14ac:dyDescent="0.25">
      <c r="A771" s="2" t="s">
        <v>2847</v>
      </c>
      <c r="B771" s="3">
        <v>45113</v>
      </c>
      <c r="C771" s="2" t="s">
        <v>2848</v>
      </c>
      <c r="D771" s="2" t="s">
        <v>48</v>
      </c>
      <c r="E771" s="2">
        <v>4</v>
      </c>
      <c r="F771" s="2">
        <v>678.55</v>
      </c>
      <c r="G771" s="2" t="s">
        <v>153</v>
      </c>
      <c r="H771" s="2" t="s">
        <v>65</v>
      </c>
      <c r="I771" s="2" t="s">
        <v>50</v>
      </c>
      <c r="J771" s="2" t="s">
        <v>2849</v>
      </c>
      <c r="K771" s="2">
        <v>5</v>
      </c>
      <c r="M771" s="2" t="s">
        <v>38</v>
      </c>
      <c r="N771" s="2">
        <v>2714.2</v>
      </c>
    </row>
    <row r="772" spans="1:14" ht="15" x14ac:dyDescent="0.25">
      <c r="A772" s="2" t="s">
        <v>2850</v>
      </c>
      <c r="B772" s="3">
        <v>45333</v>
      </c>
      <c r="C772" s="2" t="s">
        <v>2851</v>
      </c>
      <c r="D772" s="2" t="s">
        <v>73</v>
      </c>
      <c r="E772" s="2">
        <v>1</v>
      </c>
      <c r="F772" s="2">
        <v>314.38</v>
      </c>
      <c r="G772" s="2" t="s">
        <v>1723</v>
      </c>
      <c r="H772" s="2" t="s">
        <v>27</v>
      </c>
      <c r="I772" s="2" t="s">
        <v>43</v>
      </c>
      <c r="J772" s="2" t="s">
        <v>2852</v>
      </c>
      <c r="K772" s="2">
        <v>6</v>
      </c>
      <c r="M772" s="2" t="s">
        <v>76</v>
      </c>
      <c r="N772" s="2">
        <v>314.38</v>
      </c>
    </row>
    <row r="773" spans="1:14" ht="15" x14ac:dyDescent="0.25">
      <c r="A773" s="2" t="s">
        <v>2853</v>
      </c>
      <c r="B773" s="3">
        <v>45455</v>
      </c>
      <c r="C773" s="2" t="s">
        <v>2854</v>
      </c>
      <c r="D773" s="2" t="s">
        <v>25</v>
      </c>
      <c r="E773" s="2">
        <v>3</v>
      </c>
      <c r="F773" s="2">
        <v>692.44</v>
      </c>
      <c r="G773" s="2" t="s">
        <v>1501</v>
      </c>
      <c r="H773" s="2" t="s">
        <v>18</v>
      </c>
      <c r="I773" s="2" t="s">
        <v>35</v>
      </c>
      <c r="J773" s="2" t="s">
        <v>2855</v>
      </c>
      <c r="K773" s="2">
        <v>8</v>
      </c>
      <c r="L773" s="2" t="s">
        <v>37</v>
      </c>
      <c r="M773" s="2" t="s">
        <v>76</v>
      </c>
      <c r="N773" s="2">
        <v>2077.3200000000002</v>
      </c>
    </row>
    <row r="774" spans="1:14" ht="15" x14ac:dyDescent="0.25">
      <c r="A774" s="2" t="s">
        <v>2856</v>
      </c>
      <c r="B774" s="3">
        <v>45501</v>
      </c>
      <c r="C774" s="2" t="s">
        <v>2857</v>
      </c>
      <c r="D774" s="2" t="s">
        <v>16</v>
      </c>
      <c r="E774" s="2">
        <v>1</v>
      </c>
      <c r="F774" s="2">
        <v>604.87</v>
      </c>
      <c r="G774" s="2" t="s">
        <v>2858</v>
      </c>
      <c r="H774" s="2" t="s">
        <v>27</v>
      </c>
      <c r="I774" s="2" t="s">
        <v>50</v>
      </c>
      <c r="J774" s="2" t="s">
        <v>2859</v>
      </c>
      <c r="K774" s="2">
        <v>4</v>
      </c>
      <c r="M774" s="2" t="s">
        <v>22</v>
      </c>
      <c r="N774" s="2">
        <v>604.87</v>
      </c>
    </row>
    <row r="775" spans="1:14" ht="15" x14ac:dyDescent="0.25">
      <c r="A775" s="2" t="s">
        <v>2860</v>
      </c>
      <c r="B775" s="3">
        <v>45836</v>
      </c>
      <c r="C775" s="2" t="s">
        <v>2861</v>
      </c>
      <c r="D775" s="2" t="s">
        <v>25</v>
      </c>
      <c r="E775" s="2">
        <v>2</v>
      </c>
      <c r="F775" s="2">
        <v>512.33000000000004</v>
      </c>
      <c r="G775" s="2" t="s">
        <v>2862</v>
      </c>
      <c r="H775" s="2" t="s">
        <v>65</v>
      </c>
      <c r="I775" s="2" t="s">
        <v>35</v>
      </c>
      <c r="J775" s="2" t="s">
        <v>2863</v>
      </c>
      <c r="K775" s="2">
        <v>7</v>
      </c>
      <c r="M775" s="2" t="s">
        <v>45</v>
      </c>
      <c r="N775" s="2">
        <v>1024.6600000000001</v>
      </c>
    </row>
    <row r="776" spans="1:14" ht="15" x14ac:dyDescent="0.25">
      <c r="A776" s="2" t="s">
        <v>2864</v>
      </c>
      <c r="B776" s="3">
        <v>45762</v>
      </c>
      <c r="C776" s="2" t="s">
        <v>2865</v>
      </c>
      <c r="D776" s="2" t="s">
        <v>41</v>
      </c>
      <c r="E776" s="2">
        <v>3</v>
      </c>
      <c r="F776" s="2">
        <v>20.54</v>
      </c>
      <c r="G776" s="2" t="s">
        <v>2866</v>
      </c>
      <c r="H776" s="2" t="s">
        <v>34</v>
      </c>
      <c r="I776" s="2" t="s">
        <v>35</v>
      </c>
      <c r="J776" s="2" t="s">
        <v>2867</v>
      </c>
      <c r="K776" s="2">
        <v>3</v>
      </c>
      <c r="L776" s="2" t="s">
        <v>37</v>
      </c>
      <c r="M776" s="2" t="s">
        <v>22</v>
      </c>
      <c r="N776" s="2">
        <v>61.62</v>
      </c>
    </row>
    <row r="777" spans="1:14" ht="15" x14ac:dyDescent="0.25">
      <c r="A777" s="2" t="s">
        <v>2868</v>
      </c>
      <c r="B777" s="3">
        <v>44989</v>
      </c>
      <c r="C777" s="2" t="s">
        <v>2869</v>
      </c>
      <c r="D777" s="2" t="s">
        <v>25</v>
      </c>
      <c r="E777" s="2">
        <v>2</v>
      </c>
      <c r="F777" s="2">
        <v>625.22</v>
      </c>
      <c r="G777" s="2" t="s">
        <v>125</v>
      </c>
      <c r="H777" s="2" t="s">
        <v>27</v>
      </c>
      <c r="I777" s="2" t="s">
        <v>35</v>
      </c>
      <c r="J777" s="2" t="s">
        <v>2870</v>
      </c>
      <c r="K777" s="2">
        <v>5</v>
      </c>
      <c r="M777" s="2" t="s">
        <v>76</v>
      </c>
      <c r="N777" s="2">
        <v>1250.44</v>
      </c>
    </row>
    <row r="778" spans="1:14" ht="15" x14ac:dyDescent="0.25">
      <c r="A778" s="2" t="s">
        <v>2871</v>
      </c>
      <c r="B778" s="3">
        <v>45159</v>
      </c>
      <c r="C778" s="2" t="s">
        <v>2872</v>
      </c>
      <c r="D778" s="2" t="s">
        <v>32</v>
      </c>
      <c r="E778" s="2">
        <v>1</v>
      </c>
      <c r="F778" s="2">
        <v>21.19</v>
      </c>
      <c r="G778" s="2" t="s">
        <v>2873</v>
      </c>
      <c r="H778" s="2" t="s">
        <v>65</v>
      </c>
      <c r="I778" s="2" t="s">
        <v>43</v>
      </c>
      <c r="J778" s="2" t="s">
        <v>2874</v>
      </c>
      <c r="K778" s="2">
        <v>5</v>
      </c>
      <c r="L778" s="2" t="s">
        <v>81</v>
      </c>
      <c r="M778" s="2" t="s">
        <v>76</v>
      </c>
      <c r="N778" s="2">
        <v>21.19</v>
      </c>
    </row>
    <row r="779" spans="1:14" ht="15" x14ac:dyDescent="0.25">
      <c r="A779" s="2" t="s">
        <v>2875</v>
      </c>
      <c r="B779" s="3">
        <v>45737</v>
      </c>
      <c r="C779" s="2" t="s">
        <v>2876</v>
      </c>
      <c r="D779" s="2" t="s">
        <v>41</v>
      </c>
      <c r="E779" s="2">
        <v>5</v>
      </c>
      <c r="F779" s="2">
        <v>64.489999999999995</v>
      </c>
      <c r="G779" s="2" t="s">
        <v>129</v>
      </c>
      <c r="H779" s="2" t="s">
        <v>27</v>
      </c>
      <c r="I779" s="2" t="s">
        <v>35</v>
      </c>
      <c r="J779" s="2" t="s">
        <v>2877</v>
      </c>
      <c r="K779" s="2">
        <v>7</v>
      </c>
      <c r="M779" s="2" t="s">
        <v>45</v>
      </c>
      <c r="N779" s="2">
        <v>322.45</v>
      </c>
    </row>
    <row r="780" spans="1:14" ht="15" x14ac:dyDescent="0.25">
      <c r="A780" s="2" t="s">
        <v>2878</v>
      </c>
      <c r="B780" s="3">
        <v>45044</v>
      </c>
      <c r="C780" s="2" t="s">
        <v>2879</v>
      </c>
      <c r="D780" s="2" t="s">
        <v>58</v>
      </c>
      <c r="E780" s="2">
        <v>4</v>
      </c>
      <c r="F780" s="2">
        <v>246.85</v>
      </c>
      <c r="G780" s="2" t="s">
        <v>2880</v>
      </c>
      <c r="H780" s="2" t="s">
        <v>34</v>
      </c>
      <c r="I780" s="2" t="s">
        <v>19</v>
      </c>
      <c r="J780" s="2" t="s">
        <v>2881</v>
      </c>
      <c r="K780" s="2">
        <v>8</v>
      </c>
      <c r="L780" s="2" t="s">
        <v>81</v>
      </c>
      <c r="M780" s="2" t="s">
        <v>76</v>
      </c>
      <c r="N780" s="2">
        <v>987.4</v>
      </c>
    </row>
    <row r="781" spans="1:14" ht="15" x14ac:dyDescent="0.25">
      <c r="A781" s="2" t="s">
        <v>2882</v>
      </c>
      <c r="B781" s="3">
        <v>45261</v>
      </c>
      <c r="C781" s="2" t="s">
        <v>2883</v>
      </c>
      <c r="D781" s="2" t="s">
        <v>25</v>
      </c>
      <c r="E781" s="2">
        <v>3</v>
      </c>
      <c r="F781" s="2">
        <v>588.74</v>
      </c>
      <c r="G781" s="2" t="s">
        <v>2884</v>
      </c>
      <c r="H781" s="2" t="s">
        <v>18</v>
      </c>
      <c r="I781" s="2" t="s">
        <v>89</v>
      </c>
      <c r="J781" s="2" t="s">
        <v>2885</v>
      </c>
      <c r="K781" s="2">
        <v>8</v>
      </c>
      <c r="L781" s="2" t="s">
        <v>37</v>
      </c>
      <c r="M781" s="2" t="s">
        <v>38</v>
      </c>
      <c r="N781" s="2">
        <v>1766.22</v>
      </c>
    </row>
    <row r="782" spans="1:14" ht="15" x14ac:dyDescent="0.25">
      <c r="A782" s="2" t="s">
        <v>2886</v>
      </c>
      <c r="B782" s="3">
        <v>45382</v>
      </c>
      <c r="C782" s="2" t="s">
        <v>2887</v>
      </c>
      <c r="D782" s="2" t="s">
        <v>58</v>
      </c>
      <c r="E782" s="2">
        <v>4</v>
      </c>
      <c r="F782" s="2">
        <v>184.48</v>
      </c>
      <c r="G782" s="2" t="s">
        <v>1712</v>
      </c>
      <c r="H782" s="2" t="s">
        <v>27</v>
      </c>
      <c r="I782" s="2" t="s">
        <v>35</v>
      </c>
      <c r="J782" s="2" t="s">
        <v>2888</v>
      </c>
      <c r="K782" s="2">
        <v>4</v>
      </c>
      <c r="L782" s="2" t="s">
        <v>81</v>
      </c>
      <c r="M782" s="2" t="s">
        <v>76</v>
      </c>
      <c r="N782" s="2">
        <v>737.92</v>
      </c>
    </row>
    <row r="783" spans="1:14" ht="15" x14ac:dyDescent="0.25">
      <c r="A783" s="2" t="s">
        <v>2889</v>
      </c>
      <c r="B783" s="3">
        <v>45301</v>
      </c>
      <c r="C783" s="2" t="s">
        <v>2890</v>
      </c>
      <c r="D783" s="2" t="s">
        <v>25</v>
      </c>
      <c r="E783" s="2">
        <v>5</v>
      </c>
      <c r="F783" s="2">
        <v>524.26</v>
      </c>
      <c r="G783" s="2" t="s">
        <v>54</v>
      </c>
      <c r="H783" s="2" t="s">
        <v>60</v>
      </c>
      <c r="I783" s="2" t="s">
        <v>50</v>
      </c>
      <c r="J783" s="2" t="s">
        <v>2891</v>
      </c>
      <c r="K783" s="2">
        <v>5</v>
      </c>
      <c r="L783" s="2" t="s">
        <v>37</v>
      </c>
      <c r="M783" s="2" t="s">
        <v>29</v>
      </c>
      <c r="N783" s="2">
        <v>2621.3000000000002</v>
      </c>
    </row>
    <row r="784" spans="1:14" ht="15" x14ac:dyDescent="0.25">
      <c r="A784" s="2" t="s">
        <v>2892</v>
      </c>
      <c r="B784" s="3">
        <v>45515</v>
      </c>
      <c r="C784" s="2" t="s">
        <v>2893</v>
      </c>
      <c r="D784" s="2" t="s">
        <v>16</v>
      </c>
      <c r="E784" s="2">
        <v>2</v>
      </c>
      <c r="F784" s="2">
        <v>493.63</v>
      </c>
      <c r="G784" s="2" t="s">
        <v>2153</v>
      </c>
      <c r="H784" s="2" t="s">
        <v>27</v>
      </c>
      <c r="I784" s="2" t="s">
        <v>43</v>
      </c>
      <c r="J784" s="2" t="s">
        <v>2894</v>
      </c>
      <c r="K784" s="2">
        <v>6</v>
      </c>
      <c r="L784" s="2" t="s">
        <v>21</v>
      </c>
      <c r="M784" s="2" t="s">
        <v>29</v>
      </c>
      <c r="N784" s="2">
        <v>987.26</v>
      </c>
    </row>
    <row r="785" spans="1:14" ht="15" x14ac:dyDescent="0.25">
      <c r="A785" s="2" t="s">
        <v>2895</v>
      </c>
      <c r="B785" s="3">
        <v>45803</v>
      </c>
      <c r="C785" s="2" t="s">
        <v>2896</v>
      </c>
      <c r="D785" s="2" t="s">
        <v>48</v>
      </c>
      <c r="E785" s="2">
        <v>1</v>
      </c>
      <c r="F785" s="2">
        <v>438.34</v>
      </c>
      <c r="G785" s="2" t="s">
        <v>2661</v>
      </c>
      <c r="H785" s="2" t="s">
        <v>60</v>
      </c>
      <c r="I785" s="2" t="s">
        <v>43</v>
      </c>
      <c r="J785" s="2" t="s">
        <v>2897</v>
      </c>
      <c r="K785" s="2">
        <v>5</v>
      </c>
      <c r="L785" s="2" t="s">
        <v>37</v>
      </c>
      <c r="M785" s="2" t="s">
        <v>45</v>
      </c>
      <c r="N785" s="2">
        <v>438.34</v>
      </c>
    </row>
    <row r="786" spans="1:14" ht="15" x14ac:dyDescent="0.25">
      <c r="A786" s="2" t="s">
        <v>2898</v>
      </c>
      <c r="B786" s="3">
        <v>45793</v>
      </c>
      <c r="C786" s="2" t="s">
        <v>2899</v>
      </c>
      <c r="D786" s="2" t="s">
        <v>58</v>
      </c>
      <c r="E786" s="2">
        <v>1</v>
      </c>
      <c r="F786" s="2">
        <v>325.81</v>
      </c>
      <c r="G786" s="2" t="s">
        <v>246</v>
      </c>
      <c r="H786" s="2" t="s">
        <v>34</v>
      </c>
      <c r="I786" s="2" t="s">
        <v>89</v>
      </c>
      <c r="J786" s="2" t="s">
        <v>2900</v>
      </c>
      <c r="K786" s="2">
        <v>1</v>
      </c>
      <c r="L786" s="2" t="s">
        <v>81</v>
      </c>
      <c r="M786" s="2" t="s">
        <v>29</v>
      </c>
      <c r="N786" s="2">
        <v>325.81</v>
      </c>
    </row>
    <row r="787" spans="1:14" ht="15" x14ac:dyDescent="0.25">
      <c r="A787" s="2" t="s">
        <v>2901</v>
      </c>
      <c r="B787" s="3">
        <v>45136</v>
      </c>
      <c r="C787" s="2" t="s">
        <v>2902</v>
      </c>
      <c r="D787" s="2" t="s">
        <v>41</v>
      </c>
      <c r="E787" s="2">
        <v>1</v>
      </c>
      <c r="F787" s="2">
        <v>176.1</v>
      </c>
      <c r="G787" s="2" t="s">
        <v>2903</v>
      </c>
      <c r="H787" s="2" t="s">
        <v>34</v>
      </c>
      <c r="I787" s="2" t="s">
        <v>89</v>
      </c>
      <c r="J787" s="2" t="s">
        <v>2904</v>
      </c>
      <c r="K787" s="2">
        <v>1</v>
      </c>
      <c r="L787" s="2" t="s">
        <v>21</v>
      </c>
      <c r="M787" s="2" t="s">
        <v>22</v>
      </c>
      <c r="N787" s="2">
        <v>176.1</v>
      </c>
    </row>
    <row r="788" spans="1:14" ht="15" x14ac:dyDescent="0.25">
      <c r="A788" s="2" t="s">
        <v>2905</v>
      </c>
      <c r="B788" s="3">
        <v>45161</v>
      </c>
      <c r="C788" s="2" t="s">
        <v>2906</v>
      </c>
      <c r="D788" s="2" t="s">
        <v>41</v>
      </c>
      <c r="E788" s="2">
        <v>5</v>
      </c>
      <c r="F788" s="2">
        <v>45.31</v>
      </c>
      <c r="G788" s="2" t="s">
        <v>2907</v>
      </c>
      <c r="H788" s="2" t="s">
        <v>27</v>
      </c>
      <c r="I788" s="2" t="s">
        <v>35</v>
      </c>
      <c r="J788" s="2" t="s">
        <v>2908</v>
      </c>
      <c r="K788" s="2">
        <v>8</v>
      </c>
      <c r="M788" s="2" t="s">
        <v>29</v>
      </c>
      <c r="N788" s="2">
        <v>226.55</v>
      </c>
    </row>
    <row r="789" spans="1:14" ht="15" x14ac:dyDescent="0.25">
      <c r="A789" s="2" t="s">
        <v>2909</v>
      </c>
      <c r="B789" s="3">
        <v>45368</v>
      </c>
      <c r="C789" s="2" t="s">
        <v>2910</v>
      </c>
      <c r="D789" s="2" t="s">
        <v>73</v>
      </c>
      <c r="E789" s="2">
        <v>4</v>
      </c>
      <c r="F789" s="2">
        <v>221.96</v>
      </c>
      <c r="G789" s="2" t="s">
        <v>2911</v>
      </c>
      <c r="H789" s="2" t="s">
        <v>65</v>
      </c>
      <c r="I789" s="2" t="s">
        <v>50</v>
      </c>
      <c r="J789" s="2" t="s">
        <v>2912</v>
      </c>
      <c r="K789" s="2">
        <v>7</v>
      </c>
      <c r="M789" s="2" t="s">
        <v>76</v>
      </c>
      <c r="N789" s="2">
        <v>887.84</v>
      </c>
    </row>
    <row r="790" spans="1:14" ht="15" x14ac:dyDescent="0.25">
      <c r="A790" s="2" t="s">
        <v>2913</v>
      </c>
      <c r="B790" s="3">
        <v>45232</v>
      </c>
      <c r="C790" s="2" t="s">
        <v>2914</v>
      </c>
      <c r="D790" s="2" t="s">
        <v>41</v>
      </c>
      <c r="E790" s="2">
        <v>2</v>
      </c>
      <c r="F790" s="2">
        <v>601.42999999999995</v>
      </c>
      <c r="G790" s="2" t="s">
        <v>2915</v>
      </c>
      <c r="H790" s="2" t="s">
        <v>27</v>
      </c>
      <c r="I790" s="2" t="s">
        <v>89</v>
      </c>
      <c r="J790" s="2" t="s">
        <v>2916</v>
      </c>
      <c r="K790" s="2">
        <v>5</v>
      </c>
      <c r="L790" s="2" t="s">
        <v>37</v>
      </c>
      <c r="M790" s="2" t="s">
        <v>22</v>
      </c>
      <c r="N790" s="2">
        <v>1202.8599999999999</v>
      </c>
    </row>
    <row r="791" spans="1:14" ht="15" x14ac:dyDescent="0.25">
      <c r="A791" s="2" t="s">
        <v>2917</v>
      </c>
      <c r="B791" s="3">
        <v>45155</v>
      </c>
      <c r="C791" s="2" t="s">
        <v>2918</v>
      </c>
      <c r="D791" s="2" t="s">
        <v>32</v>
      </c>
      <c r="E791" s="2">
        <v>5</v>
      </c>
      <c r="F791" s="2">
        <v>691.28</v>
      </c>
      <c r="G791" s="2" t="s">
        <v>2919</v>
      </c>
      <c r="H791" s="2" t="s">
        <v>27</v>
      </c>
      <c r="I791" s="2" t="s">
        <v>50</v>
      </c>
      <c r="J791" s="2" t="s">
        <v>2920</v>
      </c>
      <c r="K791" s="2">
        <v>10</v>
      </c>
      <c r="L791" s="2" t="s">
        <v>21</v>
      </c>
      <c r="M791" s="2" t="s">
        <v>38</v>
      </c>
      <c r="N791" s="2">
        <v>3456.4</v>
      </c>
    </row>
    <row r="792" spans="1:14" ht="15" x14ac:dyDescent="0.25">
      <c r="A792" s="2" t="s">
        <v>2921</v>
      </c>
      <c r="B792" s="3">
        <v>45549</v>
      </c>
      <c r="C792" s="2" t="s">
        <v>2922</v>
      </c>
      <c r="D792" s="2" t="s">
        <v>58</v>
      </c>
      <c r="E792" s="2">
        <v>4</v>
      </c>
      <c r="F792" s="2">
        <v>417.89</v>
      </c>
      <c r="G792" s="2" t="s">
        <v>2923</v>
      </c>
      <c r="H792" s="2" t="s">
        <v>60</v>
      </c>
      <c r="I792" s="2" t="s">
        <v>89</v>
      </c>
      <c r="J792" s="2" t="s">
        <v>2924</v>
      </c>
      <c r="K792" s="2">
        <v>4</v>
      </c>
      <c r="M792" s="2" t="s">
        <v>76</v>
      </c>
      <c r="N792" s="2">
        <v>1671.56</v>
      </c>
    </row>
    <row r="793" spans="1:14" ht="15" x14ac:dyDescent="0.25">
      <c r="A793" s="2" t="s">
        <v>2925</v>
      </c>
      <c r="B793" s="3">
        <v>45304</v>
      </c>
      <c r="C793" s="2" t="s">
        <v>2926</v>
      </c>
      <c r="D793" s="2" t="s">
        <v>41</v>
      </c>
      <c r="E793" s="2">
        <v>4</v>
      </c>
      <c r="F793" s="2">
        <v>409.28</v>
      </c>
      <c r="G793" s="2" t="s">
        <v>137</v>
      </c>
      <c r="H793" s="2" t="s">
        <v>65</v>
      </c>
      <c r="I793" s="2" t="s">
        <v>89</v>
      </c>
      <c r="J793" s="2" t="s">
        <v>2927</v>
      </c>
      <c r="K793" s="2">
        <v>8</v>
      </c>
      <c r="M793" s="2" t="s">
        <v>38</v>
      </c>
      <c r="N793" s="2">
        <v>1637.12</v>
      </c>
    </row>
    <row r="794" spans="1:14" ht="15" x14ac:dyDescent="0.25">
      <c r="A794" s="2" t="s">
        <v>2928</v>
      </c>
      <c r="B794" s="3">
        <v>45093</v>
      </c>
      <c r="C794" s="2" t="s">
        <v>2929</v>
      </c>
      <c r="D794" s="2" t="s">
        <v>73</v>
      </c>
      <c r="E794" s="2">
        <v>2</v>
      </c>
      <c r="F794" s="2">
        <v>356.35</v>
      </c>
      <c r="G794" s="2" t="s">
        <v>2930</v>
      </c>
      <c r="H794" s="2" t="s">
        <v>18</v>
      </c>
      <c r="I794" s="2" t="s">
        <v>43</v>
      </c>
      <c r="J794" s="2" t="s">
        <v>2931</v>
      </c>
      <c r="K794" s="2">
        <v>6</v>
      </c>
      <c r="L794" s="2" t="s">
        <v>81</v>
      </c>
      <c r="M794" s="2" t="s">
        <v>45</v>
      </c>
      <c r="N794" s="2">
        <v>712.7</v>
      </c>
    </row>
    <row r="795" spans="1:14" ht="15" x14ac:dyDescent="0.25">
      <c r="A795" s="2" t="s">
        <v>2932</v>
      </c>
      <c r="B795" s="3">
        <v>45397</v>
      </c>
      <c r="C795" s="2" t="s">
        <v>2933</v>
      </c>
      <c r="D795" s="2" t="s">
        <v>41</v>
      </c>
      <c r="E795" s="2">
        <v>5</v>
      </c>
      <c r="F795" s="2">
        <v>170.22</v>
      </c>
      <c r="G795" s="2" t="s">
        <v>1639</v>
      </c>
      <c r="H795" s="2" t="s">
        <v>18</v>
      </c>
      <c r="I795" s="2" t="s">
        <v>50</v>
      </c>
      <c r="J795" s="2" t="s">
        <v>2934</v>
      </c>
      <c r="K795" s="2">
        <v>8</v>
      </c>
      <c r="M795" s="2" t="s">
        <v>29</v>
      </c>
      <c r="N795" s="2">
        <v>851.1</v>
      </c>
    </row>
    <row r="796" spans="1:14" ht="15" x14ac:dyDescent="0.25">
      <c r="A796" s="2" t="s">
        <v>2935</v>
      </c>
      <c r="B796" s="3">
        <v>44994</v>
      </c>
      <c r="C796" s="2" t="s">
        <v>2936</v>
      </c>
      <c r="D796" s="2" t="s">
        <v>48</v>
      </c>
      <c r="E796" s="2">
        <v>4</v>
      </c>
      <c r="F796" s="2">
        <v>384.85</v>
      </c>
      <c r="G796" s="2" t="s">
        <v>2937</v>
      </c>
      <c r="H796" s="2" t="s">
        <v>27</v>
      </c>
      <c r="I796" s="2" t="s">
        <v>50</v>
      </c>
      <c r="J796" s="2" t="s">
        <v>2938</v>
      </c>
      <c r="K796" s="2">
        <v>9</v>
      </c>
      <c r="L796" s="2" t="s">
        <v>37</v>
      </c>
      <c r="M796" s="2" t="s">
        <v>22</v>
      </c>
      <c r="N796" s="2">
        <v>1539.4</v>
      </c>
    </row>
    <row r="797" spans="1:14" ht="15" x14ac:dyDescent="0.25">
      <c r="A797" s="2" t="s">
        <v>2939</v>
      </c>
      <c r="B797" s="3">
        <v>45616</v>
      </c>
      <c r="C797" s="2" t="s">
        <v>2940</v>
      </c>
      <c r="D797" s="2" t="s">
        <v>58</v>
      </c>
      <c r="E797" s="2">
        <v>4</v>
      </c>
      <c r="F797" s="2">
        <v>115.77</v>
      </c>
      <c r="G797" s="2" t="s">
        <v>2941</v>
      </c>
      <c r="H797" s="2" t="s">
        <v>27</v>
      </c>
      <c r="I797" s="2" t="s">
        <v>89</v>
      </c>
      <c r="J797" s="2" t="s">
        <v>2942</v>
      </c>
      <c r="K797" s="2">
        <v>7</v>
      </c>
      <c r="L797" s="2" t="s">
        <v>21</v>
      </c>
      <c r="M797" s="2" t="s">
        <v>22</v>
      </c>
      <c r="N797" s="2">
        <v>463.08</v>
      </c>
    </row>
    <row r="798" spans="1:14" ht="15" x14ac:dyDescent="0.25">
      <c r="A798" s="2" t="s">
        <v>2943</v>
      </c>
      <c r="B798" s="3">
        <v>45776</v>
      </c>
      <c r="C798" s="2" t="s">
        <v>2944</v>
      </c>
      <c r="D798" s="2" t="s">
        <v>25</v>
      </c>
      <c r="E798" s="2">
        <v>3</v>
      </c>
      <c r="F798" s="2">
        <v>579.54999999999995</v>
      </c>
      <c r="G798" s="2" t="s">
        <v>884</v>
      </c>
      <c r="H798" s="2" t="s">
        <v>60</v>
      </c>
      <c r="I798" s="2" t="s">
        <v>43</v>
      </c>
      <c r="J798" s="2" t="s">
        <v>2945</v>
      </c>
      <c r="K798" s="2">
        <v>8</v>
      </c>
      <c r="L798" s="2" t="s">
        <v>81</v>
      </c>
      <c r="M798" s="2" t="s">
        <v>45</v>
      </c>
      <c r="N798" s="2">
        <v>1738.65</v>
      </c>
    </row>
    <row r="799" spans="1:14" ht="15" x14ac:dyDescent="0.25">
      <c r="A799" s="2" t="s">
        <v>2946</v>
      </c>
      <c r="B799" s="3">
        <v>44984</v>
      </c>
      <c r="C799" s="2" t="s">
        <v>2947</v>
      </c>
      <c r="D799" s="2" t="s">
        <v>58</v>
      </c>
      <c r="E799" s="2">
        <v>2</v>
      </c>
      <c r="F799" s="2">
        <v>438.76</v>
      </c>
      <c r="G799" s="2" t="s">
        <v>2948</v>
      </c>
      <c r="H799" s="2" t="s">
        <v>18</v>
      </c>
      <c r="I799" s="2" t="s">
        <v>43</v>
      </c>
      <c r="J799" s="2" t="s">
        <v>2949</v>
      </c>
      <c r="K799" s="2">
        <v>2</v>
      </c>
      <c r="M799" s="2" t="s">
        <v>45</v>
      </c>
      <c r="N799" s="2">
        <v>877.52</v>
      </c>
    </row>
    <row r="800" spans="1:14" ht="15" x14ac:dyDescent="0.25">
      <c r="A800" s="2" t="s">
        <v>2950</v>
      </c>
      <c r="B800" s="3">
        <v>45796</v>
      </c>
      <c r="C800" s="2" t="s">
        <v>2951</v>
      </c>
      <c r="D800" s="2" t="s">
        <v>25</v>
      </c>
      <c r="E800" s="2">
        <v>5</v>
      </c>
      <c r="F800" s="2">
        <v>488.35</v>
      </c>
      <c r="G800" s="2" t="s">
        <v>1233</v>
      </c>
      <c r="H800" s="2" t="s">
        <v>18</v>
      </c>
      <c r="I800" s="2" t="s">
        <v>43</v>
      </c>
      <c r="J800" s="2" t="s">
        <v>2952</v>
      </c>
      <c r="K800" s="2">
        <v>9</v>
      </c>
      <c r="L800" s="2" t="s">
        <v>37</v>
      </c>
      <c r="M800" s="2" t="s">
        <v>38</v>
      </c>
      <c r="N800" s="2">
        <v>2441.75</v>
      </c>
    </row>
    <row r="801" spans="1:14" ht="15" x14ac:dyDescent="0.25">
      <c r="A801" s="2" t="s">
        <v>2953</v>
      </c>
      <c r="B801" s="3">
        <v>45032</v>
      </c>
      <c r="C801" s="2" t="s">
        <v>2954</v>
      </c>
      <c r="D801" s="2" t="s">
        <v>58</v>
      </c>
      <c r="E801" s="2">
        <v>4</v>
      </c>
      <c r="F801" s="2">
        <v>328.56</v>
      </c>
      <c r="G801" s="2" t="s">
        <v>1070</v>
      </c>
      <c r="H801" s="2" t="s">
        <v>18</v>
      </c>
      <c r="I801" s="2" t="s">
        <v>43</v>
      </c>
      <c r="J801" s="2" t="s">
        <v>2955</v>
      </c>
      <c r="K801" s="2">
        <v>4</v>
      </c>
      <c r="L801" s="2" t="s">
        <v>37</v>
      </c>
      <c r="M801" s="2" t="s">
        <v>38</v>
      </c>
      <c r="N801" s="2">
        <v>1314.24</v>
      </c>
    </row>
    <row r="802" spans="1:14" ht="15" x14ac:dyDescent="0.25">
      <c r="A802" s="2" t="s">
        <v>2956</v>
      </c>
      <c r="B802" s="3">
        <v>45744</v>
      </c>
      <c r="C802" s="2" t="s">
        <v>2957</v>
      </c>
      <c r="D802" s="2" t="s">
        <v>32</v>
      </c>
      <c r="E802" s="2">
        <v>1</v>
      </c>
      <c r="F802" s="2">
        <v>68.39</v>
      </c>
      <c r="G802" s="2" t="s">
        <v>2958</v>
      </c>
      <c r="H802" s="2" t="s">
        <v>27</v>
      </c>
      <c r="I802" s="2" t="s">
        <v>43</v>
      </c>
      <c r="J802" s="2" t="s">
        <v>2959</v>
      </c>
      <c r="K802" s="2">
        <v>3</v>
      </c>
      <c r="L802" s="2" t="s">
        <v>81</v>
      </c>
      <c r="M802" s="2" t="s">
        <v>45</v>
      </c>
      <c r="N802" s="2">
        <v>68.39</v>
      </c>
    </row>
    <row r="803" spans="1:14" ht="15" x14ac:dyDescent="0.25">
      <c r="A803" s="2" t="s">
        <v>2960</v>
      </c>
      <c r="B803" s="3">
        <v>45049</v>
      </c>
      <c r="C803" s="2" t="s">
        <v>148</v>
      </c>
      <c r="D803" s="2" t="s">
        <v>48</v>
      </c>
      <c r="E803" s="2">
        <v>4</v>
      </c>
      <c r="F803" s="2">
        <v>595.62</v>
      </c>
      <c r="G803" s="2" t="s">
        <v>2961</v>
      </c>
      <c r="H803" s="2" t="s">
        <v>18</v>
      </c>
      <c r="I803" s="2" t="s">
        <v>89</v>
      </c>
      <c r="J803" s="2" t="s">
        <v>2962</v>
      </c>
      <c r="K803" s="2">
        <v>8</v>
      </c>
      <c r="L803" s="2" t="s">
        <v>37</v>
      </c>
      <c r="M803" s="2" t="s">
        <v>45</v>
      </c>
      <c r="N803" s="2">
        <v>2382.48</v>
      </c>
    </row>
    <row r="804" spans="1:14" ht="15" x14ac:dyDescent="0.25">
      <c r="A804" s="2" t="s">
        <v>2963</v>
      </c>
      <c r="B804" s="3">
        <v>45339</v>
      </c>
      <c r="C804" s="2" t="s">
        <v>2964</v>
      </c>
      <c r="D804" s="2" t="s">
        <v>41</v>
      </c>
      <c r="E804" s="2">
        <v>5</v>
      </c>
      <c r="F804" s="2">
        <v>644.64</v>
      </c>
      <c r="G804" s="2" t="s">
        <v>2965</v>
      </c>
      <c r="H804" s="2" t="s">
        <v>60</v>
      </c>
      <c r="I804" s="2" t="s">
        <v>35</v>
      </c>
      <c r="J804" s="2" t="s">
        <v>2966</v>
      </c>
      <c r="K804" s="2">
        <v>6</v>
      </c>
      <c r="L804" s="2" t="s">
        <v>37</v>
      </c>
      <c r="M804" s="2" t="s">
        <v>38</v>
      </c>
      <c r="N804" s="2">
        <v>3223.2</v>
      </c>
    </row>
    <row r="805" spans="1:14" ht="15" x14ac:dyDescent="0.25">
      <c r="A805" s="2" t="s">
        <v>2967</v>
      </c>
      <c r="B805" s="3">
        <v>45158</v>
      </c>
      <c r="C805" s="2" t="s">
        <v>2968</v>
      </c>
      <c r="D805" s="2" t="s">
        <v>16</v>
      </c>
      <c r="E805" s="2">
        <v>5</v>
      </c>
      <c r="F805" s="2">
        <v>397.81</v>
      </c>
      <c r="G805" s="2" t="s">
        <v>223</v>
      </c>
      <c r="H805" s="2" t="s">
        <v>18</v>
      </c>
      <c r="I805" s="2" t="s">
        <v>43</v>
      </c>
      <c r="J805" s="2" t="s">
        <v>2969</v>
      </c>
      <c r="K805" s="2">
        <v>5</v>
      </c>
      <c r="L805" s="2" t="s">
        <v>21</v>
      </c>
      <c r="M805" s="2" t="s">
        <v>29</v>
      </c>
      <c r="N805" s="2">
        <v>1989.05</v>
      </c>
    </row>
    <row r="806" spans="1:14" ht="15" x14ac:dyDescent="0.25">
      <c r="A806" s="2" t="s">
        <v>2970</v>
      </c>
      <c r="B806" s="3">
        <v>45292</v>
      </c>
      <c r="C806" s="2" t="s">
        <v>2971</v>
      </c>
      <c r="D806" s="2" t="s">
        <v>41</v>
      </c>
      <c r="E806" s="2">
        <v>3</v>
      </c>
      <c r="F806" s="2">
        <v>236.5</v>
      </c>
      <c r="G806" s="2" t="s">
        <v>2972</v>
      </c>
      <c r="H806" s="2" t="s">
        <v>27</v>
      </c>
      <c r="I806" s="2" t="s">
        <v>50</v>
      </c>
      <c r="J806" s="2" t="s">
        <v>2973</v>
      </c>
      <c r="K806" s="2">
        <v>8</v>
      </c>
      <c r="L806" s="2" t="s">
        <v>37</v>
      </c>
      <c r="M806" s="2" t="s">
        <v>38</v>
      </c>
      <c r="N806" s="2">
        <v>709.5</v>
      </c>
    </row>
    <row r="807" spans="1:14" ht="15" x14ac:dyDescent="0.25">
      <c r="A807" s="2" t="s">
        <v>2974</v>
      </c>
      <c r="B807" s="3">
        <v>45580</v>
      </c>
      <c r="C807" s="2" t="s">
        <v>2975</v>
      </c>
      <c r="D807" s="2" t="s">
        <v>58</v>
      </c>
      <c r="E807" s="2">
        <v>5</v>
      </c>
      <c r="F807" s="2">
        <v>472.01</v>
      </c>
      <c r="G807" s="2" t="s">
        <v>2976</v>
      </c>
      <c r="H807" s="2" t="s">
        <v>60</v>
      </c>
      <c r="I807" s="2" t="s">
        <v>35</v>
      </c>
      <c r="J807" s="2" t="s">
        <v>2977</v>
      </c>
      <c r="K807" s="2">
        <v>10</v>
      </c>
      <c r="L807" s="2" t="s">
        <v>21</v>
      </c>
      <c r="M807" s="2" t="s">
        <v>38</v>
      </c>
      <c r="N807" s="2">
        <v>2360.0500000000002</v>
      </c>
    </row>
    <row r="808" spans="1:14" ht="15" x14ac:dyDescent="0.25">
      <c r="A808" s="2" t="s">
        <v>2978</v>
      </c>
      <c r="B808" s="3">
        <v>45170</v>
      </c>
      <c r="C808" s="2" t="s">
        <v>2979</v>
      </c>
      <c r="D808" s="2" t="s">
        <v>41</v>
      </c>
      <c r="E808" s="2">
        <v>5</v>
      </c>
      <c r="F808" s="2">
        <v>253.75</v>
      </c>
      <c r="G808" s="2" t="s">
        <v>1121</v>
      </c>
      <c r="H808" s="2" t="s">
        <v>27</v>
      </c>
      <c r="I808" s="2" t="s">
        <v>89</v>
      </c>
      <c r="J808" s="2" t="s">
        <v>2980</v>
      </c>
      <c r="K808" s="2">
        <v>9</v>
      </c>
      <c r="L808" s="2" t="s">
        <v>81</v>
      </c>
      <c r="M808" s="2" t="s">
        <v>22</v>
      </c>
      <c r="N808" s="2">
        <v>1268.75</v>
      </c>
    </row>
    <row r="809" spans="1:14" ht="15" x14ac:dyDescent="0.25">
      <c r="A809" s="2" t="s">
        <v>2981</v>
      </c>
      <c r="B809" s="3">
        <v>45606</v>
      </c>
      <c r="C809" s="2" t="s">
        <v>2982</v>
      </c>
      <c r="D809" s="2" t="s">
        <v>16</v>
      </c>
      <c r="E809" s="2">
        <v>3</v>
      </c>
      <c r="F809" s="2">
        <v>676.21</v>
      </c>
      <c r="G809" s="2" t="s">
        <v>2983</v>
      </c>
      <c r="H809" s="2" t="s">
        <v>27</v>
      </c>
      <c r="I809" s="2" t="s">
        <v>50</v>
      </c>
      <c r="J809" s="2" t="s">
        <v>2984</v>
      </c>
      <c r="K809" s="2">
        <v>5</v>
      </c>
      <c r="L809" s="2" t="s">
        <v>21</v>
      </c>
      <c r="M809" s="2" t="s">
        <v>76</v>
      </c>
      <c r="N809" s="2">
        <v>2028.63</v>
      </c>
    </row>
    <row r="810" spans="1:14" ht="15" x14ac:dyDescent="0.25">
      <c r="A810" s="2" t="s">
        <v>2985</v>
      </c>
      <c r="B810" s="3">
        <v>45335</v>
      </c>
      <c r="C810" s="2" t="s">
        <v>2986</v>
      </c>
      <c r="D810" s="2" t="s">
        <v>73</v>
      </c>
      <c r="E810" s="2">
        <v>3</v>
      </c>
      <c r="F810" s="2">
        <v>134.05000000000001</v>
      </c>
      <c r="G810" s="2" t="s">
        <v>2987</v>
      </c>
      <c r="H810" s="2" t="s">
        <v>34</v>
      </c>
      <c r="I810" s="2" t="s">
        <v>19</v>
      </c>
      <c r="J810" s="2" t="s">
        <v>2988</v>
      </c>
      <c r="K810" s="2">
        <v>3</v>
      </c>
      <c r="M810" s="2" t="s">
        <v>76</v>
      </c>
      <c r="N810" s="2">
        <v>402.15</v>
      </c>
    </row>
    <row r="811" spans="1:14" ht="15" x14ac:dyDescent="0.25">
      <c r="A811" s="2" t="s">
        <v>2989</v>
      </c>
      <c r="B811" s="3">
        <v>45391</v>
      </c>
      <c r="C811" s="2" t="s">
        <v>2990</v>
      </c>
      <c r="D811" s="2" t="s">
        <v>73</v>
      </c>
      <c r="E811" s="2">
        <v>5</v>
      </c>
      <c r="F811" s="2">
        <v>217.43</v>
      </c>
      <c r="G811" s="2" t="s">
        <v>293</v>
      </c>
      <c r="H811" s="2" t="s">
        <v>18</v>
      </c>
      <c r="I811" s="2" t="s">
        <v>19</v>
      </c>
      <c r="J811" s="2" t="s">
        <v>2991</v>
      </c>
      <c r="K811" s="2">
        <v>10</v>
      </c>
      <c r="L811" s="2" t="s">
        <v>21</v>
      </c>
      <c r="M811" s="2" t="s">
        <v>22</v>
      </c>
      <c r="N811" s="2">
        <v>1087.1500000000001</v>
      </c>
    </row>
    <row r="812" spans="1:14" ht="15" x14ac:dyDescent="0.25">
      <c r="A812" s="2" t="s">
        <v>2992</v>
      </c>
      <c r="B812" s="3">
        <v>45077</v>
      </c>
      <c r="C812" s="2" t="s">
        <v>2993</v>
      </c>
      <c r="D812" s="2" t="s">
        <v>32</v>
      </c>
      <c r="E812" s="2">
        <v>1</v>
      </c>
      <c r="F812" s="2">
        <v>553.55999999999995</v>
      </c>
      <c r="G812" s="2" t="s">
        <v>2994</v>
      </c>
      <c r="H812" s="2" t="s">
        <v>34</v>
      </c>
      <c r="I812" s="2" t="s">
        <v>35</v>
      </c>
      <c r="J812" s="2" t="s">
        <v>2995</v>
      </c>
      <c r="K812" s="2">
        <v>5</v>
      </c>
      <c r="M812" s="2" t="s">
        <v>29</v>
      </c>
      <c r="N812" s="2">
        <v>553.55999999999995</v>
      </c>
    </row>
    <row r="813" spans="1:14" ht="15" x14ac:dyDescent="0.25">
      <c r="A813" s="2" t="s">
        <v>2996</v>
      </c>
      <c r="B813" s="3">
        <v>45235</v>
      </c>
      <c r="C813" s="2" t="s">
        <v>2997</v>
      </c>
      <c r="D813" s="2" t="s">
        <v>58</v>
      </c>
      <c r="E813" s="2">
        <v>2</v>
      </c>
      <c r="F813" s="2">
        <v>28.55</v>
      </c>
      <c r="G813" s="2" t="s">
        <v>2794</v>
      </c>
      <c r="H813" s="2" t="s">
        <v>60</v>
      </c>
      <c r="I813" s="2" t="s">
        <v>19</v>
      </c>
      <c r="J813" s="2" t="s">
        <v>2998</v>
      </c>
      <c r="K813" s="2">
        <v>7</v>
      </c>
      <c r="L813" s="2" t="s">
        <v>21</v>
      </c>
      <c r="M813" s="2" t="s">
        <v>38</v>
      </c>
      <c r="N813" s="2">
        <v>57.1</v>
      </c>
    </row>
    <row r="814" spans="1:14" ht="15" x14ac:dyDescent="0.25">
      <c r="A814" s="2" t="s">
        <v>2999</v>
      </c>
      <c r="B814" s="3">
        <v>45317</v>
      </c>
      <c r="C814" s="2" t="s">
        <v>3000</v>
      </c>
      <c r="D814" s="2" t="s">
        <v>25</v>
      </c>
      <c r="E814" s="2">
        <v>2</v>
      </c>
      <c r="F814" s="2">
        <v>255.26</v>
      </c>
      <c r="G814" s="2" t="s">
        <v>1070</v>
      </c>
      <c r="H814" s="2" t="s">
        <v>34</v>
      </c>
      <c r="I814" s="2" t="s">
        <v>35</v>
      </c>
      <c r="J814" s="2" t="s">
        <v>3001</v>
      </c>
      <c r="K814" s="2">
        <v>6</v>
      </c>
      <c r="L814" s="2" t="s">
        <v>37</v>
      </c>
      <c r="M814" s="2" t="s">
        <v>76</v>
      </c>
      <c r="N814" s="2">
        <v>510.52</v>
      </c>
    </row>
    <row r="815" spans="1:14" ht="15" x14ac:dyDescent="0.25">
      <c r="A815" s="2" t="s">
        <v>3002</v>
      </c>
      <c r="B815" s="3">
        <v>45731</v>
      </c>
      <c r="C815" s="2" t="s">
        <v>3003</v>
      </c>
      <c r="D815" s="2" t="s">
        <v>58</v>
      </c>
      <c r="E815" s="2">
        <v>5</v>
      </c>
      <c r="F815" s="2">
        <v>292.54000000000002</v>
      </c>
      <c r="G815" s="2" t="s">
        <v>1117</v>
      </c>
      <c r="H815" s="2" t="s">
        <v>18</v>
      </c>
      <c r="I815" s="2" t="s">
        <v>35</v>
      </c>
      <c r="J815" s="2" t="s">
        <v>3004</v>
      </c>
      <c r="K815" s="2">
        <v>8</v>
      </c>
      <c r="L815" s="2" t="s">
        <v>37</v>
      </c>
      <c r="M815" s="2" t="s">
        <v>38</v>
      </c>
      <c r="N815" s="2">
        <v>1462.7</v>
      </c>
    </row>
    <row r="816" spans="1:14" ht="15" x14ac:dyDescent="0.25">
      <c r="A816" s="2" t="s">
        <v>3005</v>
      </c>
      <c r="B816" s="3">
        <v>45637</v>
      </c>
      <c r="C816" s="2" t="s">
        <v>3006</v>
      </c>
      <c r="D816" s="2" t="s">
        <v>41</v>
      </c>
      <c r="E816" s="2">
        <v>4</v>
      </c>
      <c r="F816" s="2">
        <v>147.51</v>
      </c>
      <c r="G816" s="2" t="s">
        <v>3007</v>
      </c>
      <c r="H816" s="2" t="s">
        <v>18</v>
      </c>
      <c r="I816" s="2" t="s">
        <v>89</v>
      </c>
      <c r="J816" s="2" t="s">
        <v>3008</v>
      </c>
      <c r="K816" s="2">
        <v>4</v>
      </c>
      <c r="L816" s="2" t="s">
        <v>81</v>
      </c>
      <c r="M816" s="2" t="s">
        <v>22</v>
      </c>
      <c r="N816" s="2">
        <v>590.04</v>
      </c>
    </row>
    <row r="817" spans="1:14" ht="15" x14ac:dyDescent="0.25">
      <c r="A817" s="2" t="s">
        <v>3009</v>
      </c>
      <c r="B817" s="3">
        <v>45508</v>
      </c>
      <c r="C817" s="2" t="s">
        <v>3010</v>
      </c>
      <c r="D817" s="2" t="s">
        <v>48</v>
      </c>
      <c r="E817" s="2">
        <v>3</v>
      </c>
      <c r="F817" s="2">
        <v>569.84</v>
      </c>
      <c r="G817" s="2" t="s">
        <v>3011</v>
      </c>
      <c r="H817" s="2" t="s">
        <v>60</v>
      </c>
      <c r="I817" s="2" t="s">
        <v>35</v>
      </c>
      <c r="J817" s="2" t="s">
        <v>3012</v>
      </c>
      <c r="K817" s="2">
        <v>8</v>
      </c>
      <c r="L817" s="2" t="s">
        <v>81</v>
      </c>
      <c r="M817" s="2" t="s">
        <v>22</v>
      </c>
      <c r="N817" s="2">
        <v>1709.52</v>
      </c>
    </row>
    <row r="818" spans="1:14" ht="15" x14ac:dyDescent="0.25">
      <c r="A818" s="2" t="s">
        <v>3013</v>
      </c>
      <c r="B818" s="3">
        <v>45343</v>
      </c>
      <c r="C818" s="2" t="s">
        <v>3014</v>
      </c>
      <c r="D818" s="2" t="s">
        <v>32</v>
      </c>
      <c r="E818" s="2">
        <v>5</v>
      </c>
      <c r="F818" s="2">
        <v>574.79</v>
      </c>
      <c r="G818" s="2" t="s">
        <v>892</v>
      </c>
      <c r="H818" s="2" t="s">
        <v>34</v>
      </c>
      <c r="I818" s="2" t="s">
        <v>89</v>
      </c>
      <c r="J818" s="2" t="s">
        <v>3015</v>
      </c>
      <c r="K818" s="2">
        <v>8</v>
      </c>
      <c r="L818" s="2" t="s">
        <v>81</v>
      </c>
      <c r="M818" s="2" t="s">
        <v>29</v>
      </c>
      <c r="N818" s="2">
        <v>2873.95</v>
      </c>
    </row>
    <row r="819" spans="1:14" ht="15" x14ac:dyDescent="0.25">
      <c r="A819" s="2" t="s">
        <v>3016</v>
      </c>
      <c r="B819" s="3">
        <v>45204</v>
      </c>
      <c r="C819" s="2" t="s">
        <v>3017</v>
      </c>
      <c r="D819" s="2" t="s">
        <v>41</v>
      </c>
      <c r="E819" s="2">
        <v>4</v>
      </c>
      <c r="F819" s="2">
        <v>598.19000000000005</v>
      </c>
      <c r="G819" s="2" t="s">
        <v>3018</v>
      </c>
      <c r="H819" s="2" t="s">
        <v>34</v>
      </c>
      <c r="I819" s="2" t="s">
        <v>50</v>
      </c>
      <c r="J819" s="2" t="s">
        <v>3019</v>
      </c>
      <c r="K819" s="2">
        <v>7</v>
      </c>
      <c r="L819" s="2" t="s">
        <v>81</v>
      </c>
      <c r="M819" s="2" t="s">
        <v>38</v>
      </c>
      <c r="N819" s="2">
        <v>2392.7600000000002</v>
      </c>
    </row>
    <row r="820" spans="1:14" ht="15" x14ac:dyDescent="0.25">
      <c r="A820" s="2" t="s">
        <v>3020</v>
      </c>
      <c r="B820" s="3">
        <v>44987</v>
      </c>
      <c r="C820" s="2" t="s">
        <v>3021</v>
      </c>
      <c r="D820" s="2" t="s">
        <v>25</v>
      </c>
      <c r="E820" s="2">
        <v>4</v>
      </c>
      <c r="F820" s="2">
        <v>390.84</v>
      </c>
      <c r="G820" s="2" t="s">
        <v>2519</v>
      </c>
      <c r="H820" s="2" t="s">
        <v>34</v>
      </c>
      <c r="I820" s="2" t="s">
        <v>35</v>
      </c>
      <c r="J820" s="2" t="s">
        <v>3022</v>
      </c>
      <c r="K820" s="2">
        <v>9</v>
      </c>
      <c r="L820" s="2" t="s">
        <v>81</v>
      </c>
      <c r="M820" s="2" t="s">
        <v>29</v>
      </c>
      <c r="N820" s="2">
        <v>1563.36</v>
      </c>
    </row>
    <row r="821" spans="1:14" ht="15" x14ac:dyDescent="0.25">
      <c r="A821" s="2" t="s">
        <v>3023</v>
      </c>
      <c r="B821" s="3">
        <v>45563</v>
      </c>
      <c r="C821" s="2" t="s">
        <v>3024</v>
      </c>
      <c r="D821" s="2" t="s">
        <v>25</v>
      </c>
      <c r="E821" s="2">
        <v>2</v>
      </c>
      <c r="F821" s="2">
        <v>398.45</v>
      </c>
      <c r="G821" s="2" t="s">
        <v>3025</v>
      </c>
      <c r="H821" s="2" t="s">
        <v>18</v>
      </c>
      <c r="I821" s="2" t="s">
        <v>35</v>
      </c>
      <c r="J821" s="2" t="s">
        <v>3026</v>
      </c>
      <c r="K821" s="2">
        <v>7</v>
      </c>
      <c r="L821" s="2" t="s">
        <v>21</v>
      </c>
      <c r="M821" s="2" t="s">
        <v>76</v>
      </c>
      <c r="N821" s="2">
        <v>796.9</v>
      </c>
    </row>
    <row r="822" spans="1:14" ht="15" x14ac:dyDescent="0.25">
      <c r="A822" s="2" t="s">
        <v>3027</v>
      </c>
      <c r="B822" s="3">
        <v>45073</v>
      </c>
      <c r="C822" s="2" t="s">
        <v>3028</v>
      </c>
      <c r="D822" s="2" t="s">
        <v>25</v>
      </c>
      <c r="E822" s="2">
        <v>5</v>
      </c>
      <c r="F822" s="2">
        <v>623.80999999999995</v>
      </c>
      <c r="G822" s="2" t="s">
        <v>1396</v>
      </c>
      <c r="H822" s="2" t="s">
        <v>65</v>
      </c>
      <c r="I822" s="2" t="s">
        <v>43</v>
      </c>
      <c r="J822" s="2" t="s">
        <v>3029</v>
      </c>
      <c r="K822" s="2">
        <v>6</v>
      </c>
      <c r="L822" s="2" t="s">
        <v>37</v>
      </c>
      <c r="M822" s="2" t="s">
        <v>38</v>
      </c>
      <c r="N822" s="2">
        <v>3119.05</v>
      </c>
    </row>
    <row r="823" spans="1:14" ht="15" x14ac:dyDescent="0.25">
      <c r="A823" s="2" t="s">
        <v>3030</v>
      </c>
      <c r="B823" s="3">
        <v>45640</v>
      </c>
      <c r="C823" s="2" t="s">
        <v>3031</v>
      </c>
      <c r="D823" s="2" t="s">
        <v>58</v>
      </c>
      <c r="E823" s="2">
        <v>4</v>
      </c>
      <c r="F823" s="2">
        <v>174.49</v>
      </c>
      <c r="G823" s="2" t="s">
        <v>1364</v>
      </c>
      <c r="H823" s="2" t="s">
        <v>34</v>
      </c>
      <c r="I823" s="2" t="s">
        <v>50</v>
      </c>
      <c r="J823" s="2" t="s">
        <v>3032</v>
      </c>
      <c r="K823" s="2">
        <v>5</v>
      </c>
      <c r="L823" s="2" t="s">
        <v>21</v>
      </c>
      <c r="M823" s="2" t="s">
        <v>45</v>
      </c>
      <c r="N823" s="2">
        <v>697.96</v>
      </c>
    </row>
    <row r="824" spans="1:14" ht="15" x14ac:dyDescent="0.25">
      <c r="A824" s="2" t="s">
        <v>3033</v>
      </c>
      <c r="B824" s="3">
        <v>45731</v>
      </c>
      <c r="C824" s="2" t="s">
        <v>3034</v>
      </c>
      <c r="D824" s="2" t="s">
        <v>25</v>
      </c>
      <c r="E824" s="2">
        <v>1</v>
      </c>
      <c r="F824" s="2">
        <v>479.56</v>
      </c>
      <c r="G824" s="2" t="s">
        <v>320</v>
      </c>
      <c r="H824" s="2" t="s">
        <v>60</v>
      </c>
      <c r="I824" s="2" t="s">
        <v>43</v>
      </c>
      <c r="J824" s="2" t="s">
        <v>3035</v>
      </c>
      <c r="K824" s="2">
        <v>1</v>
      </c>
      <c r="L824" s="2" t="s">
        <v>21</v>
      </c>
      <c r="M824" s="2" t="s">
        <v>76</v>
      </c>
      <c r="N824" s="2">
        <v>479.56</v>
      </c>
    </row>
    <row r="825" spans="1:14" ht="15" x14ac:dyDescent="0.25">
      <c r="A825" s="2" t="s">
        <v>3036</v>
      </c>
      <c r="B825" s="3">
        <v>45572</v>
      </c>
      <c r="C825" s="2" t="s">
        <v>3037</v>
      </c>
      <c r="D825" s="2" t="s">
        <v>58</v>
      </c>
      <c r="E825" s="2">
        <v>4</v>
      </c>
      <c r="F825" s="2">
        <v>653.13</v>
      </c>
      <c r="G825" s="2" t="s">
        <v>3038</v>
      </c>
      <c r="H825" s="2" t="s">
        <v>34</v>
      </c>
      <c r="I825" s="2" t="s">
        <v>19</v>
      </c>
      <c r="J825" s="2" t="s">
        <v>3039</v>
      </c>
      <c r="K825" s="2">
        <v>8</v>
      </c>
      <c r="L825" s="2" t="s">
        <v>81</v>
      </c>
      <c r="M825" s="2" t="s">
        <v>22</v>
      </c>
      <c r="N825" s="2">
        <v>2612.52</v>
      </c>
    </row>
    <row r="826" spans="1:14" ht="15" x14ac:dyDescent="0.25">
      <c r="A826" s="2" t="s">
        <v>3040</v>
      </c>
      <c r="B826" s="3">
        <v>45167</v>
      </c>
      <c r="C826" s="2" t="s">
        <v>3041</v>
      </c>
      <c r="D826" s="2" t="s">
        <v>16</v>
      </c>
      <c r="E826" s="2">
        <v>3</v>
      </c>
      <c r="F826" s="2">
        <v>481.1</v>
      </c>
      <c r="G826" s="2" t="s">
        <v>3042</v>
      </c>
      <c r="H826" s="2" t="s">
        <v>34</v>
      </c>
      <c r="I826" s="2" t="s">
        <v>43</v>
      </c>
      <c r="J826" s="2" t="s">
        <v>3043</v>
      </c>
      <c r="K826" s="2">
        <v>3</v>
      </c>
      <c r="L826" s="2" t="s">
        <v>37</v>
      </c>
      <c r="M826" s="2" t="s">
        <v>45</v>
      </c>
      <c r="N826" s="2">
        <v>1443.3</v>
      </c>
    </row>
    <row r="827" spans="1:14" ht="15" x14ac:dyDescent="0.25">
      <c r="A827" s="2" t="s">
        <v>3044</v>
      </c>
      <c r="B827" s="3">
        <v>45742</v>
      </c>
      <c r="C827" s="2" t="s">
        <v>3045</v>
      </c>
      <c r="D827" s="2" t="s">
        <v>73</v>
      </c>
      <c r="E827" s="2">
        <v>5</v>
      </c>
      <c r="F827" s="2">
        <v>271.69</v>
      </c>
      <c r="G827" s="2" t="s">
        <v>3046</v>
      </c>
      <c r="H827" s="2" t="s">
        <v>27</v>
      </c>
      <c r="I827" s="2" t="s">
        <v>43</v>
      </c>
      <c r="J827" s="2" t="s">
        <v>3047</v>
      </c>
      <c r="K827" s="2">
        <v>7</v>
      </c>
      <c r="L827" s="2" t="s">
        <v>37</v>
      </c>
      <c r="M827" s="2" t="s">
        <v>22</v>
      </c>
      <c r="N827" s="2">
        <v>1358.45</v>
      </c>
    </row>
    <row r="828" spans="1:14" ht="15" x14ac:dyDescent="0.25">
      <c r="A828" s="2" t="s">
        <v>3048</v>
      </c>
      <c r="B828" s="3">
        <v>45724</v>
      </c>
      <c r="C828" s="2" t="s">
        <v>3049</v>
      </c>
      <c r="D828" s="2" t="s">
        <v>48</v>
      </c>
      <c r="E828" s="2">
        <v>3</v>
      </c>
      <c r="F828" s="2">
        <v>463.81</v>
      </c>
      <c r="G828" s="2" t="s">
        <v>735</v>
      </c>
      <c r="H828" s="2" t="s">
        <v>27</v>
      </c>
      <c r="I828" s="2" t="s">
        <v>43</v>
      </c>
      <c r="J828" s="2" t="s">
        <v>3050</v>
      </c>
      <c r="K828" s="2">
        <v>8</v>
      </c>
      <c r="L828" s="2" t="s">
        <v>81</v>
      </c>
      <c r="M828" s="2" t="s">
        <v>38</v>
      </c>
      <c r="N828" s="2">
        <v>1391.43</v>
      </c>
    </row>
    <row r="829" spans="1:14" ht="15" x14ac:dyDescent="0.25">
      <c r="A829" s="2" t="s">
        <v>3051</v>
      </c>
      <c r="B829" s="3">
        <v>45071</v>
      </c>
      <c r="C829" s="2" t="s">
        <v>3052</v>
      </c>
      <c r="D829" s="2" t="s">
        <v>32</v>
      </c>
      <c r="E829" s="2">
        <v>2</v>
      </c>
      <c r="F829" s="2">
        <v>639.88</v>
      </c>
      <c r="G829" s="2" t="s">
        <v>873</v>
      </c>
      <c r="H829" s="2" t="s">
        <v>65</v>
      </c>
      <c r="I829" s="2" t="s">
        <v>50</v>
      </c>
      <c r="J829" s="2" t="s">
        <v>3053</v>
      </c>
      <c r="K829" s="2">
        <v>5</v>
      </c>
      <c r="L829" s="2" t="s">
        <v>81</v>
      </c>
      <c r="M829" s="2" t="s">
        <v>22</v>
      </c>
      <c r="N829" s="2">
        <v>1279.76</v>
      </c>
    </row>
    <row r="830" spans="1:14" ht="15" x14ac:dyDescent="0.25">
      <c r="A830" s="2" t="s">
        <v>3054</v>
      </c>
      <c r="B830" s="3">
        <v>45497</v>
      </c>
      <c r="C830" s="2" t="s">
        <v>3055</v>
      </c>
      <c r="D830" s="2" t="s">
        <v>41</v>
      </c>
      <c r="E830" s="2">
        <v>4</v>
      </c>
      <c r="F830" s="2">
        <v>404.58</v>
      </c>
      <c r="G830" s="2" t="s">
        <v>3056</v>
      </c>
      <c r="H830" s="2" t="s">
        <v>65</v>
      </c>
      <c r="I830" s="2" t="s">
        <v>19</v>
      </c>
      <c r="J830" s="2" t="s">
        <v>3057</v>
      </c>
      <c r="K830" s="2">
        <v>5</v>
      </c>
      <c r="L830" s="2" t="s">
        <v>37</v>
      </c>
      <c r="M830" s="2" t="s">
        <v>22</v>
      </c>
      <c r="N830" s="2">
        <v>1618.32</v>
      </c>
    </row>
    <row r="831" spans="1:14" ht="15" x14ac:dyDescent="0.25">
      <c r="A831" s="2" t="s">
        <v>3058</v>
      </c>
      <c r="B831" s="3">
        <v>44962</v>
      </c>
      <c r="C831" s="2" t="s">
        <v>3059</v>
      </c>
      <c r="D831" s="2" t="s">
        <v>16</v>
      </c>
      <c r="E831" s="2">
        <v>1</v>
      </c>
      <c r="F831" s="2">
        <v>76.930000000000007</v>
      </c>
      <c r="G831" s="2" t="s">
        <v>3060</v>
      </c>
      <c r="H831" s="2" t="s">
        <v>18</v>
      </c>
      <c r="I831" s="2" t="s">
        <v>50</v>
      </c>
      <c r="J831" s="2" t="s">
        <v>3061</v>
      </c>
      <c r="K831" s="2">
        <v>6</v>
      </c>
      <c r="L831" s="2" t="s">
        <v>81</v>
      </c>
      <c r="M831" s="2" t="s">
        <v>22</v>
      </c>
      <c r="N831" s="2">
        <v>76.930000000000007</v>
      </c>
    </row>
    <row r="832" spans="1:14" ht="15" x14ac:dyDescent="0.25">
      <c r="A832" s="2" t="s">
        <v>3062</v>
      </c>
      <c r="B832" s="3">
        <v>45637</v>
      </c>
      <c r="C832" s="2" t="s">
        <v>3063</v>
      </c>
      <c r="D832" s="2" t="s">
        <v>32</v>
      </c>
      <c r="E832" s="2">
        <v>4</v>
      </c>
      <c r="F832" s="2">
        <v>190.64</v>
      </c>
      <c r="G832" s="2" t="s">
        <v>3064</v>
      </c>
      <c r="H832" s="2" t="s">
        <v>65</v>
      </c>
      <c r="I832" s="2" t="s">
        <v>50</v>
      </c>
      <c r="J832" s="2" t="s">
        <v>3065</v>
      </c>
      <c r="K832" s="2">
        <v>5</v>
      </c>
      <c r="L832" s="2" t="s">
        <v>21</v>
      </c>
      <c r="M832" s="2" t="s">
        <v>38</v>
      </c>
      <c r="N832" s="2">
        <v>762.56</v>
      </c>
    </row>
    <row r="833" spans="1:14" ht="15" x14ac:dyDescent="0.25">
      <c r="A833" s="2" t="s">
        <v>3066</v>
      </c>
      <c r="B833" s="3">
        <v>45278</v>
      </c>
      <c r="C833" s="2" t="s">
        <v>3067</v>
      </c>
      <c r="D833" s="2" t="s">
        <v>48</v>
      </c>
      <c r="E833" s="2">
        <v>2</v>
      </c>
      <c r="F833" s="2">
        <v>88.73</v>
      </c>
      <c r="G833" s="2" t="s">
        <v>2371</v>
      </c>
      <c r="H833" s="2" t="s">
        <v>27</v>
      </c>
      <c r="I833" s="2" t="s">
        <v>89</v>
      </c>
      <c r="J833" s="2" t="s">
        <v>3068</v>
      </c>
      <c r="K833" s="2">
        <v>5</v>
      </c>
      <c r="M833" s="2" t="s">
        <v>76</v>
      </c>
      <c r="N833" s="2">
        <v>177.46</v>
      </c>
    </row>
    <row r="834" spans="1:14" ht="15" x14ac:dyDescent="0.25">
      <c r="A834" s="2" t="s">
        <v>3069</v>
      </c>
      <c r="B834" s="3">
        <v>45363</v>
      </c>
      <c r="C834" s="2" t="s">
        <v>3070</v>
      </c>
      <c r="D834" s="2" t="s">
        <v>41</v>
      </c>
      <c r="E834" s="2">
        <v>5</v>
      </c>
      <c r="F834" s="2">
        <v>485.71</v>
      </c>
      <c r="G834" s="2" t="s">
        <v>93</v>
      </c>
      <c r="H834" s="2" t="s">
        <v>27</v>
      </c>
      <c r="I834" s="2" t="s">
        <v>89</v>
      </c>
      <c r="J834" s="2" t="s">
        <v>3071</v>
      </c>
      <c r="K834" s="2">
        <v>10</v>
      </c>
      <c r="L834" s="2" t="s">
        <v>21</v>
      </c>
      <c r="M834" s="2" t="s">
        <v>29</v>
      </c>
      <c r="N834" s="2">
        <v>2428.5500000000002</v>
      </c>
    </row>
    <row r="835" spans="1:14" ht="15" x14ac:dyDescent="0.25">
      <c r="A835" s="2" t="s">
        <v>3072</v>
      </c>
      <c r="B835" s="3">
        <v>45730</v>
      </c>
      <c r="C835" s="2" t="s">
        <v>3073</v>
      </c>
      <c r="D835" s="2" t="s">
        <v>25</v>
      </c>
      <c r="E835" s="2">
        <v>5</v>
      </c>
      <c r="F835" s="2">
        <v>78.290000000000006</v>
      </c>
      <c r="G835" s="2" t="s">
        <v>3074</v>
      </c>
      <c r="H835" s="2" t="s">
        <v>34</v>
      </c>
      <c r="I835" s="2" t="s">
        <v>19</v>
      </c>
      <c r="J835" s="2" t="s">
        <v>3075</v>
      </c>
      <c r="K835" s="2">
        <v>5</v>
      </c>
      <c r="L835" s="2" t="s">
        <v>81</v>
      </c>
      <c r="M835" s="2" t="s">
        <v>29</v>
      </c>
      <c r="N835" s="2">
        <v>391.45</v>
      </c>
    </row>
    <row r="836" spans="1:14" ht="15" x14ac:dyDescent="0.25">
      <c r="A836" s="2" t="s">
        <v>3076</v>
      </c>
      <c r="B836" s="3">
        <v>45393</v>
      </c>
      <c r="C836" s="2" t="s">
        <v>3077</v>
      </c>
      <c r="D836" s="2" t="s">
        <v>48</v>
      </c>
      <c r="E836" s="2">
        <v>5</v>
      </c>
      <c r="F836" s="2">
        <v>22.14</v>
      </c>
      <c r="G836" s="2" t="s">
        <v>964</v>
      </c>
      <c r="H836" s="2" t="s">
        <v>65</v>
      </c>
      <c r="I836" s="2" t="s">
        <v>43</v>
      </c>
      <c r="J836" s="2" t="s">
        <v>3078</v>
      </c>
      <c r="K836" s="2">
        <v>10</v>
      </c>
      <c r="M836" s="2" t="s">
        <v>22</v>
      </c>
      <c r="N836" s="2">
        <v>110.7</v>
      </c>
    </row>
    <row r="837" spans="1:14" ht="15" x14ac:dyDescent="0.25">
      <c r="A837" s="2" t="s">
        <v>3079</v>
      </c>
      <c r="B837" s="3">
        <v>45377</v>
      </c>
      <c r="C837" s="2" t="s">
        <v>3080</v>
      </c>
      <c r="D837" s="2" t="s">
        <v>73</v>
      </c>
      <c r="E837" s="2">
        <v>1</v>
      </c>
      <c r="F837" s="2">
        <v>679.65</v>
      </c>
      <c r="G837" s="2" t="s">
        <v>3081</v>
      </c>
      <c r="H837" s="2" t="s">
        <v>18</v>
      </c>
      <c r="I837" s="2" t="s">
        <v>19</v>
      </c>
      <c r="J837" s="2" t="s">
        <v>3082</v>
      </c>
      <c r="K837" s="2">
        <v>6</v>
      </c>
      <c r="L837" s="2" t="s">
        <v>37</v>
      </c>
      <c r="M837" s="2" t="s">
        <v>76</v>
      </c>
      <c r="N837" s="2">
        <v>679.65</v>
      </c>
    </row>
    <row r="838" spans="1:14" ht="15" x14ac:dyDescent="0.25">
      <c r="A838" s="2" t="s">
        <v>3083</v>
      </c>
      <c r="B838" s="3">
        <v>44959</v>
      </c>
      <c r="C838" s="2" t="s">
        <v>3084</v>
      </c>
      <c r="D838" s="2" t="s">
        <v>25</v>
      </c>
      <c r="E838" s="2">
        <v>1</v>
      </c>
      <c r="F838" s="2">
        <v>178.44</v>
      </c>
      <c r="G838" s="2" t="s">
        <v>2446</v>
      </c>
      <c r="H838" s="2" t="s">
        <v>34</v>
      </c>
      <c r="I838" s="2" t="s">
        <v>35</v>
      </c>
      <c r="J838" s="2" t="s">
        <v>3085</v>
      </c>
      <c r="K838" s="2">
        <v>2</v>
      </c>
      <c r="L838" s="2" t="s">
        <v>37</v>
      </c>
      <c r="M838" s="2" t="s">
        <v>76</v>
      </c>
      <c r="N838" s="2">
        <v>178.44</v>
      </c>
    </row>
    <row r="839" spans="1:14" ht="15" x14ac:dyDescent="0.25">
      <c r="A839" s="2" t="s">
        <v>3086</v>
      </c>
      <c r="B839" s="3">
        <v>45822</v>
      </c>
      <c r="C839" s="2" t="s">
        <v>3087</v>
      </c>
      <c r="D839" s="2" t="s">
        <v>41</v>
      </c>
      <c r="E839" s="2">
        <v>5</v>
      </c>
      <c r="F839" s="2">
        <v>655.55</v>
      </c>
      <c r="G839" s="2" t="s">
        <v>2290</v>
      </c>
      <c r="H839" s="2" t="s">
        <v>27</v>
      </c>
      <c r="I839" s="2" t="s">
        <v>50</v>
      </c>
      <c r="J839" s="2" t="s">
        <v>3088</v>
      </c>
      <c r="K839" s="2">
        <v>5</v>
      </c>
      <c r="M839" s="2" t="s">
        <v>38</v>
      </c>
      <c r="N839" s="2">
        <v>3277.75</v>
      </c>
    </row>
    <row r="840" spans="1:14" ht="15" x14ac:dyDescent="0.25">
      <c r="A840" s="2" t="s">
        <v>3089</v>
      </c>
      <c r="B840" s="3">
        <v>45393</v>
      </c>
      <c r="C840" s="2" t="s">
        <v>3090</v>
      </c>
      <c r="D840" s="2" t="s">
        <v>73</v>
      </c>
      <c r="E840" s="2">
        <v>4</v>
      </c>
      <c r="F840" s="2">
        <v>577.08000000000004</v>
      </c>
      <c r="G840" s="2" t="s">
        <v>316</v>
      </c>
      <c r="H840" s="2" t="s">
        <v>27</v>
      </c>
      <c r="I840" s="2" t="s">
        <v>89</v>
      </c>
      <c r="J840" s="2" t="s">
        <v>3091</v>
      </c>
      <c r="K840" s="2">
        <v>8</v>
      </c>
      <c r="M840" s="2" t="s">
        <v>45</v>
      </c>
      <c r="N840" s="2">
        <v>2308.3200000000002</v>
      </c>
    </row>
    <row r="841" spans="1:14" ht="15" x14ac:dyDescent="0.25">
      <c r="A841" s="2" t="s">
        <v>3092</v>
      </c>
      <c r="B841" s="3">
        <v>45162</v>
      </c>
      <c r="C841" s="2" t="s">
        <v>3093</v>
      </c>
      <c r="D841" s="2" t="s">
        <v>41</v>
      </c>
      <c r="E841" s="2">
        <v>3</v>
      </c>
      <c r="F841" s="2">
        <v>197.97</v>
      </c>
      <c r="G841" s="2" t="s">
        <v>2768</v>
      </c>
      <c r="H841" s="2" t="s">
        <v>27</v>
      </c>
      <c r="I841" s="2" t="s">
        <v>35</v>
      </c>
      <c r="J841" s="2" t="s">
        <v>3094</v>
      </c>
      <c r="K841" s="2">
        <v>5</v>
      </c>
      <c r="M841" s="2" t="s">
        <v>76</v>
      </c>
      <c r="N841" s="2">
        <v>593.91</v>
      </c>
    </row>
    <row r="842" spans="1:14" ht="15" x14ac:dyDescent="0.25">
      <c r="A842" s="2" t="s">
        <v>3095</v>
      </c>
      <c r="B842" s="3">
        <v>45305</v>
      </c>
      <c r="C842" s="2" t="s">
        <v>3096</v>
      </c>
      <c r="D842" s="2" t="s">
        <v>41</v>
      </c>
      <c r="E842" s="2">
        <v>3</v>
      </c>
      <c r="F842" s="2">
        <v>411.95</v>
      </c>
      <c r="G842" s="2" t="s">
        <v>1815</v>
      </c>
      <c r="H842" s="2" t="s">
        <v>34</v>
      </c>
      <c r="I842" s="2" t="s">
        <v>50</v>
      </c>
      <c r="J842" s="2" t="s">
        <v>3097</v>
      </c>
      <c r="K842" s="2">
        <v>7</v>
      </c>
      <c r="L842" s="2" t="s">
        <v>37</v>
      </c>
      <c r="M842" s="2" t="s">
        <v>29</v>
      </c>
      <c r="N842" s="2">
        <v>1235.8499999999999</v>
      </c>
    </row>
    <row r="843" spans="1:14" ht="15" x14ac:dyDescent="0.25">
      <c r="A843" s="2" t="s">
        <v>3098</v>
      </c>
      <c r="B843" s="3">
        <v>45554</v>
      </c>
      <c r="C843" s="2" t="s">
        <v>3099</v>
      </c>
      <c r="D843" s="2" t="s">
        <v>48</v>
      </c>
      <c r="E843" s="2">
        <v>2</v>
      </c>
      <c r="F843" s="2">
        <v>443.22</v>
      </c>
      <c r="G843" s="2" t="s">
        <v>3100</v>
      </c>
      <c r="H843" s="2" t="s">
        <v>34</v>
      </c>
      <c r="I843" s="2" t="s">
        <v>50</v>
      </c>
      <c r="J843" s="2" t="s">
        <v>3101</v>
      </c>
      <c r="K843" s="2">
        <v>5</v>
      </c>
      <c r="M843" s="2" t="s">
        <v>45</v>
      </c>
      <c r="N843" s="2">
        <v>886.44</v>
      </c>
    </row>
    <row r="844" spans="1:14" ht="15" x14ac:dyDescent="0.25">
      <c r="A844" s="2" t="s">
        <v>3102</v>
      </c>
      <c r="B844" s="3">
        <v>45784</v>
      </c>
      <c r="C844" s="2" t="s">
        <v>3103</v>
      </c>
      <c r="D844" s="2" t="s">
        <v>58</v>
      </c>
      <c r="E844" s="2">
        <v>3</v>
      </c>
      <c r="F844" s="2">
        <v>364.14</v>
      </c>
      <c r="G844" s="2" t="s">
        <v>2579</v>
      </c>
      <c r="H844" s="2" t="s">
        <v>27</v>
      </c>
      <c r="I844" s="2" t="s">
        <v>89</v>
      </c>
      <c r="J844" s="2" t="s">
        <v>3104</v>
      </c>
      <c r="K844" s="2">
        <v>7</v>
      </c>
      <c r="L844" s="2" t="s">
        <v>81</v>
      </c>
      <c r="M844" s="2" t="s">
        <v>29</v>
      </c>
      <c r="N844" s="2">
        <v>1092.42</v>
      </c>
    </row>
    <row r="845" spans="1:14" ht="15" x14ac:dyDescent="0.25">
      <c r="A845" s="2" t="s">
        <v>3105</v>
      </c>
      <c r="B845" s="3">
        <v>45790</v>
      </c>
      <c r="C845" s="2" t="s">
        <v>3106</v>
      </c>
      <c r="D845" s="2" t="s">
        <v>73</v>
      </c>
      <c r="E845" s="2">
        <v>3</v>
      </c>
      <c r="F845" s="2">
        <v>430.06</v>
      </c>
      <c r="G845" s="2" t="s">
        <v>3107</v>
      </c>
      <c r="H845" s="2" t="s">
        <v>60</v>
      </c>
      <c r="I845" s="2" t="s">
        <v>35</v>
      </c>
      <c r="J845" s="2" t="s">
        <v>3108</v>
      </c>
      <c r="K845" s="2">
        <v>8</v>
      </c>
      <c r="L845" s="2" t="s">
        <v>37</v>
      </c>
      <c r="M845" s="2" t="s">
        <v>22</v>
      </c>
      <c r="N845" s="2">
        <v>1290.18</v>
      </c>
    </row>
    <row r="846" spans="1:14" ht="15" x14ac:dyDescent="0.25">
      <c r="A846" s="2" t="s">
        <v>3109</v>
      </c>
      <c r="B846" s="3">
        <v>45630</v>
      </c>
      <c r="C846" s="2" t="s">
        <v>3110</v>
      </c>
      <c r="D846" s="2" t="s">
        <v>41</v>
      </c>
      <c r="E846" s="2">
        <v>1</v>
      </c>
      <c r="F846" s="2">
        <v>320.92</v>
      </c>
      <c r="G846" s="2" t="s">
        <v>3111</v>
      </c>
      <c r="H846" s="2" t="s">
        <v>27</v>
      </c>
      <c r="I846" s="2" t="s">
        <v>43</v>
      </c>
      <c r="J846" s="2" t="s">
        <v>3112</v>
      </c>
      <c r="K846" s="2">
        <v>5</v>
      </c>
      <c r="L846" s="2" t="s">
        <v>37</v>
      </c>
      <c r="M846" s="2" t="s">
        <v>45</v>
      </c>
      <c r="N846" s="2">
        <v>320.92</v>
      </c>
    </row>
    <row r="847" spans="1:14" ht="15" x14ac:dyDescent="0.25">
      <c r="A847" s="2" t="s">
        <v>3113</v>
      </c>
      <c r="B847" s="3">
        <v>45207</v>
      </c>
      <c r="C847" s="2" t="s">
        <v>3114</v>
      </c>
      <c r="D847" s="2" t="s">
        <v>25</v>
      </c>
      <c r="E847" s="2">
        <v>3</v>
      </c>
      <c r="F847" s="2">
        <v>107.36</v>
      </c>
      <c r="G847" s="2" t="s">
        <v>3115</v>
      </c>
      <c r="H847" s="2" t="s">
        <v>60</v>
      </c>
      <c r="I847" s="2" t="s">
        <v>50</v>
      </c>
      <c r="J847" s="2" t="s">
        <v>3116</v>
      </c>
      <c r="K847" s="2">
        <v>5</v>
      </c>
      <c r="L847" s="2" t="s">
        <v>37</v>
      </c>
      <c r="M847" s="2" t="s">
        <v>76</v>
      </c>
      <c r="N847" s="2">
        <v>322.08</v>
      </c>
    </row>
    <row r="848" spans="1:14" ht="15" x14ac:dyDescent="0.25">
      <c r="A848" s="2" t="s">
        <v>3117</v>
      </c>
      <c r="B848" s="3">
        <v>45477</v>
      </c>
      <c r="C848" s="2" t="s">
        <v>3118</v>
      </c>
      <c r="D848" s="2" t="s">
        <v>73</v>
      </c>
      <c r="E848" s="2">
        <v>2</v>
      </c>
      <c r="F848" s="2">
        <v>359.86</v>
      </c>
      <c r="G848" s="2" t="s">
        <v>3119</v>
      </c>
      <c r="H848" s="2" t="s">
        <v>18</v>
      </c>
      <c r="I848" s="2" t="s">
        <v>35</v>
      </c>
      <c r="J848" s="2" t="s">
        <v>3120</v>
      </c>
      <c r="K848" s="2">
        <v>4</v>
      </c>
      <c r="M848" s="2" t="s">
        <v>29</v>
      </c>
      <c r="N848" s="2">
        <v>719.72</v>
      </c>
    </row>
    <row r="849" spans="1:14" ht="15" x14ac:dyDescent="0.25">
      <c r="A849" s="2" t="s">
        <v>3121</v>
      </c>
      <c r="B849" s="3">
        <v>45614</v>
      </c>
      <c r="C849" s="2" t="s">
        <v>3122</v>
      </c>
      <c r="D849" s="2" t="s">
        <v>48</v>
      </c>
      <c r="E849" s="2">
        <v>4</v>
      </c>
      <c r="F849" s="2">
        <v>434.23</v>
      </c>
      <c r="G849" s="2" t="s">
        <v>1161</v>
      </c>
      <c r="H849" s="2" t="s">
        <v>27</v>
      </c>
      <c r="I849" s="2" t="s">
        <v>19</v>
      </c>
      <c r="J849" s="2" t="s">
        <v>3123</v>
      </c>
      <c r="K849" s="2">
        <v>8</v>
      </c>
      <c r="L849" s="2" t="s">
        <v>37</v>
      </c>
      <c r="M849" s="2" t="s">
        <v>38</v>
      </c>
      <c r="N849" s="2">
        <v>1736.92</v>
      </c>
    </row>
    <row r="850" spans="1:14" ht="15" x14ac:dyDescent="0.25">
      <c r="A850" s="2" t="s">
        <v>3124</v>
      </c>
      <c r="B850" s="3">
        <v>44927</v>
      </c>
      <c r="C850" s="2" t="s">
        <v>3125</v>
      </c>
      <c r="D850" s="2" t="s">
        <v>41</v>
      </c>
      <c r="E850" s="2">
        <v>2</v>
      </c>
      <c r="F850" s="2">
        <v>645.85</v>
      </c>
      <c r="G850" s="2" t="s">
        <v>277</v>
      </c>
      <c r="H850" s="2" t="s">
        <v>27</v>
      </c>
      <c r="I850" s="2" t="s">
        <v>19</v>
      </c>
      <c r="J850" s="2" t="s">
        <v>3126</v>
      </c>
      <c r="K850" s="2">
        <v>5</v>
      </c>
      <c r="M850" s="2" t="s">
        <v>29</v>
      </c>
      <c r="N850" s="2">
        <v>1291.7</v>
      </c>
    </row>
    <row r="851" spans="1:14" ht="15" x14ac:dyDescent="0.25">
      <c r="A851" s="2" t="s">
        <v>3127</v>
      </c>
      <c r="B851" s="3">
        <v>45817</v>
      </c>
      <c r="C851" s="2" t="s">
        <v>3128</v>
      </c>
      <c r="D851" s="2" t="s">
        <v>48</v>
      </c>
      <c r="E851" s="2">
        <v>4</v>
      </c>
      <c r="F851" s="2">
        <v>214.35</v>
      </c>
      <c r="G851" s="2" t="s">
        <v>3042</v>
      </c>
      <c r="H851" s="2" t="s">
        <v>18</v>
      </c>
      <c r="I851" s="2" t="s">
        <v>35</v>
      </c>
      <c r="J851" s="2" t="s">
        <v>3129</v>
      </c>
      <c r="K851" s="2">
        <v>7</v>
      </c>
      <c r="L851" s="2" t="s">
        <v>81</v>
      </c>
      <c r="M851" s="2" t="s">
        <v>29</v>
      </c>
      <c r="N851" s="2">
        <v>857.4</v>
      </c>
    </row>
    <row r="852" spans="1:14" ht="15" x14ac:dyDescent="0.25">
      <c r="A852" s="2" t="s">
        <v>3130</v>
      </c>
      <c r="B852" s="3">
        <v>45774</v>
      </c>
      <c r="C852" s="2" t="s">
        <v>3131</v>
      </c>
      <c r="D852" s="2" t="s">
        <v>16</v>
      </c>
      <c r="E852" s="2">
        <v>3</v>
      </c>
      <c r="F852" s="2">
        <v>638.5</v>
      </c>
      <c r="G852" s="2" t="s">
        <v>2684</v>
      </c>
      <c r="H852" s="2" t="s">
        <v>18</v>
      </c>
      <c r="I852" s="2" t="s">
        <v>35</v>
      </c>
      <c r="J852" s="2" t="s">
        <v>3132</v>
      </c>
      <c r="K852" s="2">
        <v>4</v>
      </c>
      <c r="L852" s="2" t="s">
        <v>37</v>
      </c>
      <c r="M852" s="2" t="s">
        <v>22</v>
      </c>
      <c r="N852" s="2">
        <v>1915.5</v>
      </c>
    </row>
    <row r="853" spans="1:14" ht="15" x14ac:dyDescent="0.25">
      <c r="A853" s="2" t="s">
        <v>3133</v>
      </c>
      <c r="B853" s="3">
        <v>45272</v>
      </c>
      <c r="C853" s="2" t="s">
        <v>3134</v>
      </c>
      <c r="D853" s="2" t="s">
        <v>58</v>
      </c>
      <c r="E853" s="2">
        <v>1</v>
      </c>
      <c r="F853" s="2">
        <v>365.57</v>
      </c>
      <c r="G853" s="2" t="s">
        <v>347</v>
      </c>
      <c r="H853" s="2" t="s">
        <v>27</v>
      </c>
      <c r="I853" s="2" t="s">
        <v>35</v>
      </c>
      <c r="J853" s="2" t="s">
        <v>3135</v>
      </c>
      <c r="K853" s="2">
        <v>5</v>
      </c>
      <c r="L853" s="2" t="s">
        <v>21</v>
      </c>
      <c r="M853" s="2" t="s">
        <v>38</v>
      </c>
      <c r="N853" s="2">
        <v>365.57</v>
      </c>
    </row>
    <row r="854" spans="1:14" ht="15" x14ac:dyDescent="0.25">
      <c r="A854" s="2" t="s">
        <v>3136</v>
      </c>
      <c r="B854" s="3">
        <v>45589</v>
      </c>
      <c r="C854" s="2" t="s">
        <v>3137</v>
      </c>
      <c r="D854" s="2" t="s">
        <v>73</v>
      </c>
      <c r="E854" s="2">
        <v>3</v>
      </c>
      <c r="F854" s="2">
        <v>568.04999999999995</v>
      </c>
      <c r="G854" s="2" t="s">
        <v>3138</v>
      </c>
      <c r="H854" s="2" t="s">
        <v>60</v>
      </c>
      <c r="I854" s="2" t="s">
        <v>89</v>
      </c>
      <c r="J854" s="2" t="s">
        <v>3139</v>
      </c>
      <c r="K854" s="2">
        <v>6</v>
      </c>
      <c r="L854" s="2" t="s">
        <v>21</v>
      </c>
      <c r="M854" s="2" t="s">
        <v>76</v>
      </c>
      <c r="N854" s="2">
        <v>1704.15</v>
      </c>
    </row>
    <row r="855" spans="1:14" ht="15" x14ac:dyDescent="0.25">
      <c r="A855" s="2" t="s">
        <v>3140</v>
      </c>
      <c r="B855" s="3">
        <v>45215</v>
      </c>
      <c r="C855" s="2" t="s">
        <v>3141</v>
      </c>
      <c r="D855" s="2" t="s">
        <v>48</v>
      </c>
      <c r="E855" s="2">
        <v>3</v>
      </c>
      <c r="F855" s="2">
        <v>490.01</v>
      </c>
      <c r="G855" s="2" t="s">
        <v>1194</v>
      </c>
      <c r="H855" s="2" t="s">
        <v>65</v>
      </c>
      <c r="I855" s="2" t="s">
        <v>43</v>
      </c>
      <c r="J855" s="2" t="s">
        <v>3142</v>
      </c>
      <c r="K855" s="2">
        <v>4</v>
      </c>
      <c r="L855" s="2" t="s">
        <v>21</v>
      </c>
      <c r="M855" s="2" t="s">
        <v>45</v>
      </c>
      <c r="N855" s="2">
        <v>1470.03</v>
      </c>
    </row>
    <row r="856" spans="1:14" ht="15" x14ac:dyDescent="0.25">
      <c r="A856" s="2" t="s">
        <v>3143</v>
      </c>
      <c r="B856" s="3">
        <v>45821</v>
      </c>
      <c r="C856" s="2" t="s">
        <v>3144</v>
      </c>
      <c r="D856" s="2" t="s">
        <v>58</v>
      </c>
      <c r="E856" s="2">
        <v>3</v>
      </c>
      <c r="F856" s="2">
        <v>372.6</v>
      </c>
      <c r="G856" s="2" t="s">
        <v>1731</v>
      </c>
      <c r="H856" s="2" t="s">
        <v>34</v>
      </c>
      <c r="I856" s="2" t="s">
        <v>50</v>
      </c>
      <c r="J856" s="2" t="s">
        <v>3145</v>
      </c>
      <c r="K856" s="2">
        <v>7</v>
      </c>
      <c r="L856" s="2" t="s">
        <v>81</v>
      </c>
      <c r="M856" s="2" t="s">
        <v>29</v>
      </c>
      <c r="N856" s="2">
        <v>1117.8</v>
      </c>
    </row>
    <row r="857" spans="1:14" ht="15" x14ac:dyDescent="0.25">
      <c r="A857" s="2" t="s">
        <v>3146</v>
      </c>
      <c r="B857" s="3">
        <v>45071</v>
      </c>
      <c r="C857" s="2" t="s">
        <v>3147</v>
      </c>
      <c r="D857" s="2" t="s">
        <v>16</v>
      </c>
      <c r="E857" s="2">
        <v>5</v>
      </c>
      <c r="F857" s="2">
        <v>240.61</v>
      </c>
      <c r="G857" s="2" t="s">
        <v>996</v>
      </c>
      <c r="H857" s="2" t="s">
        <v>34</v>
      </c>
      <c r="I857" s="2" t="s">
        <v>19</v>
      </c>
      <c r="J857" s="2" t="s">
        <v>3148</v>
      </c>
      <c r="K857" s="2">
        <v>10</v>
      </c>
      <c r="L857" s="2" t="s">
        <v>37</v>
      </c>
      <c r="M857" s="2" t="s">
        <v>38</v>
      </c>
      <c r="N857" s="2">
        <v>1203.05</v>
      </c>
    </row>
    <row r="858" spans="1:14" ht="15" x14ac:dyDescent="0.25">
      <c r="A858" s="2" t="s">
        <v>3149</v>
      </c>
      <c r="B858" s="3">
        <v>45446</v>
      </c>
      <c r="C858" s="2" t="s">
        <v>3150</v>
      </c>
      <c r="D858" s="2" t="s">
        <v>25</v>
      </c>
      <c r="E858" s="2">
        <v>1</v>
      </c>
      <c r="F858" s="2">
        <v>586.62</v>
      </c>
      <c r="G858" s="2" t="s">
        <v>212</v>
      </c>
      <c r="H858" s="2" t="s">
        <v>18</v>
      </c>
      <c r="I858" s="2" t="s">
        <v>19</v>
      </c>
      <c r="J858" s="2" t="s">
        <v>3151</v>
      </c>
      <c r="K858" s="2">
        <v>5</v>
      </c>
      <c r="M858" s="2" t="s">
        <v>45</v>
      </c>
      <c r="N858" s="2">
        <v>586.62</v>
      </c>
    </row>
    <row r="859" spans="1:14" ht="15" x14ac:dyDescent="0.25">
      <c r="A859" s="2" t="s">
        <v>3152</v>
      </c>
      <c r="B859" s="3">
        <v>45361</v>
      </c>
      <c r="C859" s="2" t="s">
        <v>3153</v>
      </c>
      <c r="D859" s="2" t="s">
        <v>25</v>
      </c>
      <c r="E859" s="2">
        <v>3</v>
      </c>
      <c r="F859" s="2">
        <v>257.83999999999997</v>
      </c>
      <c r="G859" s="2" t="s">
        <v>858</v>
      </c>
      <c r="H859" s="2" t="s">
        <v>27</v>
      </c>
      <c r="I859" s="2" t="s">
        <v>50</v>
      </c>
      <c r="J859" s="2" t="s">
        <v>3154</v>
      </c>
      <c r="K859" s="2">
        <v>4</v>
      </c>
      <c r="M859" s="2" t="s">
        <v>22</v>
      </c>
      <c r="N859" s="2">
        <v>773.52</v>
      </c>
    </row>
    <row r="860" spans="1:14" ht="15" x14ac:dyDescent="0.25">
      <c r="A860" s="2" t="s">
        <v>3155</v>
      </c>
      <c r="B860" s="3">
        <v>45158</v>
      </c>
      <c r="C860" s="2" t="s">
        <v>3156</v>
      </c>
      <c r="D860" s="2" t="s">
        <v>32</v>
      </c>
      <c r="E860" s="2">
        <v>5</v>
      </c>
      <c r="F860" s="2">
        <v>435.66</v>
      </c>
      <c r="G860" s="2" t="s">
        <v>113</v>
      </c>
      <c r="H860" s="2" t="s">
        <v>27</v>
      </c>
      <c r="I860" s="2" t="s">
        <v>89</v>
      </c>
      <c r="J860" s="2" t="s">
        <v>3157</v>
      </c>
      <c r="K860" s="2">
        <v>9</v>
      </c>
      <c r="M860" s="2" t="s">
        <v>45</v>
      </c>
      <c r="N860" s="2">
        <v>2178.3000000000002</v>
      </c>
    </row>
    <row r="861" spans="1:14" ht="15" x14ac:dyDescent="0.25">
      <c r="A861" s="2" t="s">
        <v>3158</v>
      </c>
      <c r="B861" s="3">
        <v>45532</v>
      </c>
      <c r="C861" s="2" t="s">
        <v>3159</v>
      </c>
      <c r="D861" s="2" t="s">
        <v>41</v>
      </c>
      <c r="E861" s="2">
        <v>5</v>
      </c>
      <c r="F861" s="2">
        <v>261.33</v>
      </c>
      <c r="G861" s="2" t="s">
        <v>2311</v>
      </c>
      <c r="H861" s="2" t="s">
        <v>34</v>
      </c>
      <c r="I861" s="2" t="s">
        <v>43</v>
      </c>
      <c r="J861" s="2" t="s">
        <v>3160</v>
      </c>
      <c r="K861" s="2">
        <v>5</v>
      </c>
      <c r="L861" s="2" t="s">
        <v>21</v>
      </c>
      <c r="M861" s="2" t="s">
        <v>29</v>
      </c>
      <c r="N861" s="2">
        <v>1306.6500000000001</v>
      </c>
    </row>
    <row r="862" spans="1:14" ht="15" x14ac:dyDescent="0.25">
      <c r="A862" s="2" t="s">
        <v>3161</v>
      </c>
      <c r="B862" s="3">
        <v>45314</v>
      </c>
      <c r="C862" s="2" t="s">
        <v>3162</v>
      </c>
      <c r="D862" s="2" t="s">
        <v>48</v>
      </c>
      <c r="E862" s="2">
        <v>1</v>
      </c>
      <c r="F862" s="2">
        <v>422.54</v>
      </c>
      <c r="G862" s="2" t="s">
        <v>1368</v>
      </c>
      <c r="H862" s="2" t="s">
        <v>65</v>
      </c>
      <c r="I862" s="2" t="s">
        <v>50</v>
      </c>
      <c r="J862" s="2" t="s">
        <v>3163</v>
      </c>
      <c r="K862" s="2">
        <v>1</v>
      </c>
      <c r="L862" s="2" t="s">
        <v>21</v>
      </c>
      <c r="M862" s="2" t="s">
        <v>76</v>
      </c>
      <c r="N862" s="2">
        <v>422.54</v>
      </c>
    </row>
    <row r="863" spans="1:14" ht="15" x14ac:dyDescent="0.25">
      <c r="A863" s="2" t="s">
        <v>3164</v>
      </c>
      <c r="B863" s="3">
        <v>45004</v>
      </c>
      <c r="C863" s="2" t="s">
        <v>3165</v>
      </c>
      <c r="D863" s="2" t="s">
        <v>73</v>
      </c>
      <c r="E863" s="2">
        <v>5</v>
      </c>
      <c r="F863" s="2">
        <v>330.45</v>
      </c>
      <c r="G863" s="2" t="s">
        <v>3166</v>
      </c>
      <c r="H863" s="2" t="s">
        <v>60</v>
      </c>
      <c r="I863" s="2" t="s">
        <v>19</v>
      </c>
      <c r="J863" s="2" t="s">
        <v>3167</v>
      </c>
      <c r="K863" s="2">
        <v>10</v>
      </c>
      <c r="L863" s="2" t="s">
        <v>37</v>
      </c>
      <c r="M863" s="2" t="s">
        <v>76</v>
      </c>
      <c r="N863" s="2">
        <v>1652.25</v>
      </c>
    </row>
    <row r="864" spans="1:14" ht="15" x14ac:dyDescent="0.25">
      <c r="A864" s="2" t="s">
        <v>3168</v>
      </c>
      <c r="B864" s="3">
        <v>45262</v>
      </c>
      <c r="C864" s="2" t="s">
        <v>3169</v>
      </c>
      <c r="D864" s="2" t="s">
        <v>73</v>
      </c>
      <c r="E864" s="2">
        <v>3</v>
      </c>
      <c r="F864" s="2">
        <v>120.82</v>
      </c>
      <c r="G864" s="2" t="s">
        <v>2620</v>
      </c>
      <c r="H864" s="2" t="s">
        <v>34</v>
      </c>
      <c r="I864" s="2" t="s">
        <v>19</v>
      </c>
      <c r="J864" s="2" t="s">
        <v>3170</v>
      </c>
      <c r="K864" s="2">
        <v>5</v>
      </c>
      <c r="L864" s="2" t="s">
        <v>21</v>
      </c>
      <c r="M864" s="2" t="s">
        <v>29</v>
      </c>
      <c r="N864" s="2">
        <v>362.46</v>
      </c>
    </row>
    <row r="865" spans="1:14" ht="15" x14ac:dyDescent="0.25">
      <c r="A865" s="2" t="s">
        <v>3171</v>
      </c>
      <c r="B865" s="3">
        <v>45432</v>
      </c>
      <c r="C865" s="2" t="s">
        <v>3172</v>
      </c>
      <c r="D865" s="2" t="s">
        <v>25</v>
      </c>
      <c r="E865" s="2">
        <v>1</v>
      </c>
      <c r="F865" s="2">
        <v>14.06</v>
      </c>
      <c r="G865" s="2" t="s">
        <v>1000</v>
      </c>
      <c r="H865" s="2" t="s">
        <v>34</v>
      </c>
      <c r="I865" s="2" t="s">
        <v>89</v>
      </c>
      <c r="J865" s="2" t="s">
        <v>3173</v>
      </c>
      <c r="K865" s="2">
        <v>5</v>
      </c>
      <c r="L865" s="2" t="s">
        <v>21</v>
      </c>
      <c r="M865" s="2" t="s">
        <v>29</v>
      </c>
      <c r="N865" s="2">
        <v>14.06</v>
      </c>
    </row>
    <row r="866" spans="1:14" ht="15" x14ac:dyDescent="0.25">
      <c r="A866" s="2" t="s">
        <v>3174</v>
      </c>
      <c r="B866" s="3">
        <v>45049</v>
      </c>
      <c r="C866" s="2" t="s">
        <v>3175</v>
      </c>
      <c r="D866" s="2" t="s">
        <v>73</v>
      </c>
      <c r="E866" s="2">
        <v>1</v>
      </c>
      <c r="F866" s="2">
        <v>491.11</v>
      </c>
      <c r="G866" s="2" t="s">
        <v>3176</v>
      </c>
      <c r="H866" s="2" t="s">
        <v>34</v>
      </c>
      <c r="I866" s="2" t="s">
        <v>50</v>
      </c>
      <c r="J866" s="2" t="s">
        <v>3177</v>
      </c>
      <c r="K866" s="2">
        <v>4</v>
      </c>
      <c r="L866" s="2" t="s">
        <v>21</v>
      </c>
      <c r="M866" s="2" t="s">
        <v>45</v>
      </c>
      <c r="N866" s="2">
        <v>491.11</v>
      </c>
    </row>
    <row r="867" spans="1:14" ht="15" x14ac:dyDescent="0.25">
      <c r="A867" s="2" t="s">
        <v>3178</v>
      </c>
      <c r="B867" s="3">
        <v>45046</v>
      </c>
      <c r="C867" s="2" t="s">
        <v>3179</v>
      </c>
      <c r="D867" s="2" t="s">
        <v>16</v>
      </c>
      <c r="E867" s="2">
        <v>4</v>
      </c>
      <c r="F867" s="2">
        <v>677.37</v>
      </c>
      <c r="G867" s="2" t="s">
        <v>3180</v>
      </c>
      <c r="H867" s="2" t="s">
        <v>65</v>
      </c>
      <c r="I867" s="2" t="s">
        <v>89</v>
      </c>
      <c r="J867" s="2" t="s">
        <v>3181</v>
      </c>
      <c r="K867" s="2">
        <v>8</v>
      </c>
      <c r="L867" s="2" t="s">
        <v>21</v>
      </c>
      <c r="M867" s="2" t="s">
        <v>76</v>
      </c>
      <c r="N867" s="2">
        <v>2709.48</v>
      </c>
    </row>
    <row r="868" spans="1:14" ht="15" x14ac:dyDescent="0.25">
      <c r="A868" s="2" t="s">
        <v>3182</v>
      </c>
      <c r="B868" s="3">
        <v>45499</v>
      </c>
      <c r="C868" s="2" t="s">
        <v>3183</v>
      </c>
      <c r="D868" s="2" t="s">
        <v>73</v>
      </c>
      <c r="E868" s="2">
        <v>5</v>
      </c>
      <c r="F868" s="2">
        <v>189.25</v>
      </c>
      <c r="G868" s="2" t="s">
        <v>3184</v>
      </c>
      <c r="H868" s="2" t="s">
        <v>18</v>
      </c>
      <c r="I868" s="2" t="s">
        <v>35</v>
      </c>
      <c r="J868" s="2" t="s">
        <v>3185</v>
      </c>
      <c r="K868" s="2">
        <v>10</v>
      </c>
      <c r="L868" s="2" t="s">
        <v>81</v>
      </c>
      <c r="M868" s="2" t="s">
        <v>38</v>
      </c>
      <c r="N868" s="2">
        <v>946.25</v>
      </c>
    </row>
    <row r="869" spans="1:14" ht="15" x14ac:dyDescent="0.25">
      <c r="A869" s="2" t="s">
        <v>3186</v>
      </c>
      <c r="B869" s="3">
        <v>45438</v>
      </c>
      <c r="C869" s="2" t="s">
        <v>3187</v>
      </c>
      <c r="D869" s="2" t="s">
        <v>48</v>
      </c>
      <c r="E869" s="2">
        <v>4</v>
      </c>
      <c r="F869" s="2">
        <v>142.58000000000001</v>
      </c>
      <c r="G869" s="2" t="s">
        <v>3188</v>
      </c>
      <c r="H869" s="2" t="s">
        <v>65</v>
      </c>
      <c r="I869" s="2" t="s">
        <v>50</v>
      </c>
      <c r="J869" s="2" t="s">
        <v>3189</v>
      </c>
      <c r="K869" s="2">
        <v>4</v>
      </c>
      <c r="L869" s="2" t="s">
        <v>37</v>
      </c>
      <c r="M869" s="2" t="s">
        <v>45</v>
      </c>
      <c r="N869" s="2">
        <v>570.32000000000005</v>
      </c>
    </row>
    <row r="870" spans="1:14" ht="15" x14ac:dyDescent="0.25">
      <c r="A870" s="2" t="s">
        <v>3190</v>
      </c>
      <c r="B870" s="3">
        <v>45472</v>
      </c>
      <c r="C870" s="2" t="s">
        <v>3191</v>
      </c>
      <c r="D870" s="2" t="s">
        <v>16</v>
      </c>
      <c r="E870" s="2">
        <v>4</v>
      </c>
      <c r="F870" s="2">
        <v>316.32</v>
      </c>
      <c r="G870" s="2" t="s">
        <v>3192</v>
      </c>
      <c r="H870" s="2" t="s">
        <v>18</v>
      </c>
      <c r="I870" s="2" t="s">
        <v>50</v>
      </c>
      <c r="J870" s="2" t="s">
        <v>3193</v>
      </c>
      <c r="K870" s="2">
        <v>7</v>
      </c>
      <c r="M870" s="2" t="s">
        <v>45</v>
      </c>
      <c r="N870" s="2">
        <v>1265.28</v>
      </c>
    </row>
    <row r="871" spans="1:14" ht="15" x14ac:dyDescent="0.25">
      <c r="A871" s="2" t="s">
        <v>3194</v>
      </c>
      <c r="B871" s="3">
        <v>45368</v>
      </c>
      <c r="C871" s="2" t="s">
        <v>3195</v>
      </c>
      <c r="D871" s="2" t="s">
        <v>73</v>
      </c>
      <c r="E871" s="2">
        <v>2</v>
      </c>
      <c r="F871" s="2">
        <v>533.95000000000005</v>
      </c>
      <c r="G871" s="2" t="s">
        <v>719</v>
      </c>
      <c r="H871" s="2" t="s">
        <v>27</v>
      </c>
      <c r="I871" s="2" t="s">
        <v>50</v>
      </c>
      <c r="J871" s="2" t="s">
        <v>3196</v>
      </c>
      <c r="K871" s="2">
        <v>5</v>
      </c>
      <c r="L871" s="2" t="s">
        <v>81</v>
      </c>
      <c r="M871" s="2" t="s">
        <v>76</v>
      </c>
      <c r="N871" s="2">
        <v>1067.9000000000001</v>
      </c>
    </row>
    <row r="872" spans="1:14" ht="15" x14ac:dyDescent="0.25">
      <c r="A872" s="2" t="s">
        <v>3197</v>
      </c>
      <c r="B872" s="3">
        <v>45809</v>
      </c>
      <c r="C872" s="2" t="s">
        <v>3198</v>
      </c>
      <c r="D872" s="2" t="s">
        <v>25</v>
      </c>
      <c r="E872" s="2">
        <v>4</v>
      </c>
      <c r="F872" s="2">
        <v>470.09</v>
      </c>
      <c r="G872" s="2" t="s">
        <v>3199</v>
      </c>
      <c r="H872" s="2" t="s">
        <v>18</v>
      </c>
      <c r="I872" s="2" t="s">
        <v>50</v>
      </c>
      <c r="J872" s="2" t="s">
        <v>3200</v>
      </c>
      <c r="K872" s="2">
        <v>4</v>
      </c>
      <c r="L872" s="2" t="s">
        <v>37</v>
      </c>
      <c r="M872" s="2" t="s">
        <v>76</v>
      </c>
      <c r="N872" s="2">
        <v>1880.36</v>
      </c>
    </row>
    <row r="873" spans="1:14" ht="15" x14ac:dyDescent="0.25">
      <c r="A873" s="2" t="s">
        <v>3201</v>
      </c>
      <c r="B873" s="3">
        <v>45428</v>
      </c>
      <c r="C873" s="2" t="s">
        <v>3202</v>
      </c>
      <c r="D873" s="2" t="s">
        <v>32</v>
      </c>
      <c r="E873" s="2">
        <v>3</v>
      </c>
      <c r="F873" s="2">
        <v>324.3</v>
      </c>
      <c r="G873" s="2" t="s">
        <v>3203</v>
      </c>
      <c r="H873" s="2" t="s">
        <v>18</v>
      </c>
      <c r="I873" s="2" t="s">
        <v>89</v>
      </c>
      <c r="J873" s="2" t="s">
        <v>3204</v>
      </c>
      <c r="K873" s="2">
        <v>8</v>
      </c>
      <c r="L873" s="2" t="s">
        <v>37</v>
      </c>
      <c r="M873" s="2" t="s">
        <v>38</v>
      </c>
      <c r="N873" s="2">
        <v>972.90000000000009</v>
      </c>
    </row>
    <row r="874" spans="1:14" ht="15" x14ac:dyDescent="0.25">
      <c r="A874" s="2" t="s">
        <v>3205</v>
      </c>
      <c r="B874" s="3">
        <v>45117</v>
      </c>
      <c r="C874" s="2" t="s">
        <v>3206</v>
      </c>
      <c r="D874" s="2" t="s">
        <v>41</v>
      </c>
      <c r="E874" s="2">
        <v>4</v>
      </c>
      <c r="F874" s="2">
        <v>629.34</v>
      </c>
      <c r="G874" s="2" t="s">
        <v>830</v>
      </c>
      <c r="H874" s="2" t="s">
        <v>65</v>
      </c>
      <c r="I874" s="2" t="s">
        <v>19</v>
      </c>
      <c r="J874" s="2" t="s">
        <v>3207</v>
      </c>
      <c r="K874" s="2">
        <v>7</v>
      </c>
      <c r="M874" s="2" t="s">
        <v>38</v>
      </c>
      <c r="N874" s="2">
        <v>2517.36</v>
      </c>
    </row>
    <row r="875" spans="1:14" ht="15" x14ac:dyDescent="0.25">
      <c r="A875" s="2" t="s">
        <v>3208</v>
      </c>
      <c r="B875" s="3">
        <v>45424</v>
      </c>
      <c r="C875" s="2" t="s">
        <v>3209</v>
      </c>
      <c r="D875" s="2" t="s">
        <v>73</v>
      </c>
      <c r="E875" s="2">
        <v>3</v>
      </c>
      <c r="F875" s="2">
        <v>136.84</v>
      </c>
      <c r="G875" s="2" t="s">
        <v>3210</v>
      </c>
      <c r="H875" s="2" t="s">
        <v>65</v>
      </c>
      <c r="I875" s="2" t="s">
        <v>50</v>
      </c>
      <c r="J875" s="2" t="s">
        <v>3211</v>
      </c>
      <c r="K875" s="2">
        <v>3</v>
      </c>
      <c r="L875" s="2" t="s">
        <v>21</v>
      </c>
      <c r="M875" s="2" t="s">
        <v>45</v>
      </c>
      <c r="N875" s="2">
        <v>410.52</v>
      </c>
    </row>
    <row r="876" spans="1:14" ht="15" x14ac:dyDescent="0.25">
      <c r="A876" s="2" t="s">
        <v>3212</v>
      </c>
      <c r="B876" s="3">
        <v>45230</v>
      </c>
      <c r="C876" s="2" t="s">
        <v>3213</v>
      </c>
      <c r="D876" s="2" t="s">
        <v>41</v>
      </c>
      <c r="E876" s="2">
        <v>2</v>
      </c>
      <c r="F876" s="2">
        <v>488.9</v>
      </c>
      <c r="G876" s="2" t="s">
        <v>2648</v>
      </c>
      <c r="H876" s="2" t="s">
        <v>65</v>
      </c>
      <c r="I876" s="2" t="s">
        <v>50</v>
      </c>
      <c r="J876" s="2" t="s">
        <v>3214</v>
      </c>
      <c r="K876" s="2">
        <v>7</v>
      </c>
      <c r="L876" s="2" t="s">
        <v>37</v>
      </c>
      <c r="M876" s="2" t="s">
        <v>45</v>
      </c>
      <c r="N876" s="2">
        <v>977.8</v>
      </c>
    </row>
    <row r="877" spans="1:14" ht="15" x14ac:dyDescent="0.25">
      <c r="A877" s="2" t="s">
        <v>3215</v>
      </c>
      <c r="B877" s="3">
        <v>45141</v>
      </c>
      <c r="C877" s="2" t="s">
        <v>3216</v>
      </c>
      <c r="D877" s="2" t="s">
        <v>58</v>
      </c>
      <c r="E877" s="2">
        <v>5</v>
      </c>
      <c r="F877" s="2">
        <v>133.38999999999999</v>
      </c>
      <c r="G877" s="2" t="s">
        <v>403</v>
      </c>
      <c r="H877" s="2" t="s">
        <v>34</v>
      </c>
      <c r="I877" s="2" t="s">
        <v>50</v>
      </c>
      <c r="J877" s="2" t="s">
        <v>3217</v>
      </c>
      <c r="K877" s="2">
        <v>6</v>
      </c>
      <c r="L877" s="2" t="s">
        <v>37</v>
      </c>
      <c r="M877" s="2" t="s">
        <v>29</v>
      </c>
      <c r="N877" s="2">
        <v>666.94999999999993</v>
      </c>
    </row>
    <row r="878" spans="1:14" ht="15" x14ac:dyDescent="0.25">
      <c r="A878" s="2" t="s">
        <v>3218</v>
      </c>
      <c r="B878" s="3">
        <v>45452</v>
      </c>
      <c r="C878" s="2" t="s">
        <v>3219</v>
      </c>
      <c r="D878" s="2" t="s">
        <v>41</v>
      </c>
      <c r="E878" s="2">
        <v>5</v>
      </c>
      <c r="F878" s="2">
        <v>608.91</v>
      </c>
      <c r="G878" s="2" t="s">
        <v>2760</v>
      </c>
      <c r="H878" s="2" t="s">
        <v>60</v>
      </c>
      <c r="I878" s="2" t="s">
        <v>89</v>
      </c>
      <c r="J878" s="2" t="s">
        <v>3220</v>
      </c>
      <c r="K878" s="2">
        <v>6</v>
      </c>
      <c r="L878" s="2" t="s">
        <v>21</v>
      </c>
      <c r="M878" s="2" t="s">
        <v>76</v>
      </c>
      <c r="N878" s="2">
        <v>3044.55</v>
      </c>
    </row>
    <row r="879" spans="1:14" ht="15" x14ac:dyDescent="0.25">
      <c r="A879" s="2" t="s">
        <v>3221</v>
      </c>
      <c r="B879" s="3">
        <v>45498</v>
      </c>
      <c r="C879" s="2" t="s">
        <v>3222</v>
      </c>
      <c r="D879" s="2" t="s">
        <v>32</v>
      </c>
      <c r="E879" s="2">
        <v>1</v>
      </c>
      <c r="F879" s="2">
        <v>524.05999999999995</v>
      </c>
      <c r="G879" s="2" t="s">
        <v>2346</v>
      </c>
      <c r="H879" s="2" t="s">
        <v>18</v>
      </c>
      <c r="I879" s="2" t="s">
        <v>89</v>
      </c>
      <c r="J879" s="2" t="s">
        <v>3223</v>
      </c>
      <c r="K879" s="2">
        <v>3</v>
      </c>
      <c r="L879" s="2" t="s">
        <v>37</v>
      </c>
      <c r="M879" s="2" t="s">
        <v>38</v>
      </c>
      <c r="N879" s="2">
        <v>524.05999999999995</v>
      </c>
    </row>
    <row r="880" spans="1:14" ht="15" x14ac:dyDescent="0.25">
      <c r="A880" s="2" t="s">
        <v>3224</v>
      </c>
      <c r="B880" s="3">
        <v>45078</v>
      </c>
      <c r="C880" s="2" t="s">
        <v>3225</v>
      </c>
      <c r="D880" s="2" t="s">
        <v>73</v>
      </c>
      <c r="E880" s="2">
        <v>2</v>
      </c>
      <c r="F880" s="2">
        <v>330.69</v>
      </c>
      <c r="G880" s="2" t="s">
        <v>3226</v>
      </c>
      <c r="H880" s="2" t="s">
        <v>27</v>
      </c>
      <c r="I880" s="2" t="s">
        <v>35</v>
      </c>
      <c r="J880" s="2" t="s">
        <v>3227</v>
      </c>
      <c r="K880" s="2">
        <v>5</v>
      </c>
      <c r="L880" s="2" t="s">
        <v>21</v>
      </c>
      <c r="M880" s="2" t="s">
        <v>76</v>
      </c>
      <c r="N880" s="2">
        <v>661.38</v>
      </c>
    </row>
    <row r="881" spans="1:14" ht="15" x14ac:dyDescent="0.25">
      <c r="A881" s="2" t="s">
        <v>3228</v>
      </c>
      <c r="B881" s="3">
        <v>45755</v>
      </c>
      <c r="C881" s="2" t="s">
        <v>3229</v>
      </c>
      <c r="D881" s="2" t="s">
        <v>25</v>
      </c>
      <c r="E881" s="2">
        <v>2</v>
      </c>
      <c r="F881" s="2">
        <v>547.66999999999996</v>
      </c>
      <c r="G881" s="2" t="s">
        <v>2116</v>
      </c>
      <c r="H881" s="2" t="s">
        <v>60</v>
      </c>
      <c r="I881" s="2" t="s">
        <v>19</v>
      </c>
      <c r="J881" s="2" t="s">
        <v>3230</v>
      </c>
      <c r="K881" s="2">
        <v>3</v>
      </c>
      <c r="M881" s="2" t="s">
        <v>22</v>
      </c>
      <c r="N881" s="2">
        <v>1095.3399999999999</v>
      </c>
    </row>
    <row r="882" spans="1:14" ht="15" x14ac:dyDescent="0.25">
      <c r="A882" s="2" t="s">
        <v>3231</v>
      </c>
      <c r="B882" s="3">
        <v>45728</v>
      </c>
      <c r="C882" s="2" t="s">
        <v>3232</v>
      </c>
      <c r="D882" s="2" t="s">
        <v>58</v>
      </c>
      <c r="E882" s="2">
        <v>4</v>
      </c>
      <c r="F882" s="2">
        <v>233.7</v>
      </c>
      <c r="G882" s="2" t="s">
        <v>980</v>
      </c>
      <c r="H882" s="2" t="s">
        <v>27</v>
      </c>
      <c r="I882" s="2" t="s">
        <v>19</v>
      </c>
      <c r="J882" s="2" t="s">
        <v>3233</v>
      </c>
      <c r="K882" s="2">
        <v>8</v>
      </c>
      <c r="L882" s="2" t="s">
        <v>21</v>
      </c>
      <c r="M882" s="2" t="s">
        <v>45</v>
      </c>
      <c r="N882" s="2">
        <v>934.8</v>
      </c>
    </row>
    <row r="883" spans="1:14" ht="15" x14ac:dyDescent="0.25">
      <c r="A883" s="2" t="s">
        <v>3234</v>
      </c>
      <c r="B883" s="3">
        <v>44929</v>
      </c>
      <c r="C883" s="2" t="s">
        <v>3235</v>
      </c>
      <c r="D883" s="2" t="s">
        <v>32</v>
      </c>
      <c r="E883" s="2">
        <v>2</v>
      </c>
      <c r="F883" s="2">
        <v>448.85</v>
      </c>
      <c r="G883" s="2" t="s">
        <v>3236</v>
      </c>
      <c r="H883" s="2" t="s">
        <v>34</v>
      </c>
      <c r="I883" s="2" t="s">
        <v>89</v>
      </c>
      <c r="J883" s="2" t="s">
        <v>3237</v>
      </c>
      <c r="K883" s="2">
        <v>6</v>
      </c>
      <c r="M883" s="2" t="s">
        <v>22</v>
      </c>
      <c r="N883" s="2">
        <v>897.7</v>
      </c>
    </row>
    <row r="884" spans="1:14" ht="15" x14ac:dyDescent="0.25">
      <c r="A884" s="2" t="s">
        <v>3238</v>
      </c>
      <c r="B884" s="3">
        <v>45836</v>
      </c>
      <c r="C884" s="2" t="s">
        <v>3239</v>
      </c>
      <c r="D884" s="2" t="s">
        <v>25</v>
      </c>
      <c r="E884" s="2">
        <v>2</v>
      </c>
      <c r="F884" s="2">
        <v>274.12</v>
      </c>
      <c r="G884" s="2" t="s">
        <v>426</v>
      </c>
      <c r="H884" s="2" t="s">
        <v>65</v>
      </c>
      <c r="I884" s="2" t="s">
        <v>50</v>
      </c>
      <c r="J884" s="2" t="s">
        <v>3240</v>
      </c>
      <c r="K884" s="2">
        <v>6</v>
      </c>
      <c r="L884" s="2" t="s">
        <v>37</v>
      </c>
      <c r="M884" s="2" t="s">
        <v>29</v>
      </c>
      <c r="N884" s="2">
        <v>548.24</v>
      </c>
    </row>
    <row r="885" spans="1:14" ht="15" x14ac:dyDescent="0.25">
      <c r="A885" s="2" t="s">
        <v>3241</v>
      </c>
      <c r="B885" s="3">
        <v>45790</v>
      </c>
      <c r="C885" s="2" t="s">
        <v>3242</v>
      </c>
      <c r="D885" s="2" t="s">
        <v>48</v>
      </c>
      <c r="E885" s="2">
        <v>5</v>
      </c>
      <c r="F885" s="2">
        <v>561.48</v>
      </c>
      <c r="G885" s="2" t="s">
        <v>3243</v>
      </c>
      <c r="H885" s="2" t="s">
        <v>27</v>
      </c>
      <c r="I885" s="2" t="s">
        <v>50</v>
      </c>
      <c r="J885" s="2" t="s">
        <v>3244</v>
      </c>
      <c r="K885" s="2">
        <v>9</v>
      </c>
      <c r="L885" s="2" t="s">
        <v>37</v>
      </c>
      <c r="M885" s="2" t="s">
        <v>45</v>
      </c>
      <c r="N885" s="2">
        <v>2807.4</v>
      </c>
    </row>
    <row r="886" spans="1:14" ht="15" x14ac:dyDescent="0.25">
      <c r="A886" s="2" t="s">
        <v>3245</v>
      </c>
      <c r="B886" s="3">
        <v>45427</v>
      </c>
      <c r="C886" s="2" t="s">
        <v>3246</v>
      </c>
      <c r="D886" s="2" t="s">
        <v>41</v>
      </c>
      <c r="E886" s="2">
        <v>1</v>
      </c>
      <c r="F886" s="2">
        <v>595.54</v>
      </c>
      <c r="G886" s="2" t="s">
        <v>3247</v>
      </c>
      <c r="H886" s="2" t="s">
        <v>60</v>
      </c>
      <c r="I886" s="2" t="s">
        <v>19</v>
      </c>
      <c r="J886" s="2" t="s">
        <v>3248</v>
      </c>
      <c r="K886" s="2">
        <v>4</v>
      </c>
      <c r="M886" s="2" t="s">
        <v>22</v>
      </c>
      <c r="N886" s="2">
        <v>595.54</v>
      </c>
    </row>
    <row r="887" spans="1:14" ht="15" x14ac:dyDescent="0.25">
      <c r="A887" s="2" t="s">
        <v>3249</v>
      </c>
      <c r="B887" s="3">
        <v>45389</v>
      </c>
      <c r="C887" s="2" t="s">
        <v>3250</v>
      </c>
      <c r="D887" s="2" t="s">
        <v>58</v>
      </c>
      <c r="E887" s="2">
        <v>4</v>
      </c>
      <c r="F887" s="2">
        <v>515.59</v>
      </c>
      <c r="G887" s="2" t="s">
        <v>3251</v>
      </c>
      <c r="H887" s="2" t="s">
        <v>34</v>
      </c>
      <c r="I887" s="2" t="s">
        <v>19</v>
      </c>
      <c r="J887" s="2" t="s">
        <v>3252</v>
      </c>
      <c r="K887" s="2">
        <v>7</v>
      </c>
      <c r="L887" s="2" t="s">
        <v>37</v>
      </c>
      <c r="M887" s="2" t="s">
        <v>76</v>
      </c>
      <c r="N887" s="2">
        <v>2062.36</v>
      </c>
    </row>
    <row r="888" spans="1:14" ht="15" x14ac:dyDescent="0.25">
      <c r="A888" s="2" t="s">
        <v>3253</v>
      </c>
      <c r="B888" s="3">
        <v>45224</v>
      </c>
      <c r="C888" s="2" t="s">
        <v>3254</v>
      </c>
      <c r="D888" s="2" t="s">
        <v>25</v>
      </c>
      <c r="E888" s="2">
        <v>1</v>
      </c>
      <c r="F888" s="2">
        <v>460.13</v>
      </c>
      <c r="G888" s="2" t="s">
        <v>3255</v>
      </c>
      <c r="H888" s="2" t="s">
        <v>34</v>
      </c>
      <c r="I888" s="2" t="s">
        <v>43</v>
      </c>
      <c r="J888" s="2" t="s">
        <v>3256</v>
      </c>
      <c r="K888" s="2">
        <v>1</v>
      </c>
      <c r="M888" s="2" t="s">
        <v>76</v>
      </c>
      <c r="N888" s="2">
        <v>460.13</v>
      </c>
    </row>
    <row r="889" spans="1:14" ht="15" x14ac:dyDescent="0.25">
      <c r="A889" s="2" t="s">
        <v>3257</v>
      </c>
      <c r="B889" s="3">
        <v>45645</v>
      </c>
      <c r="C889" s="2" t="s">
        <v>3258</v>
      </c>
      <c r="D889" s="2" t="s">
        <v>41</v>
      </c>
      <c r="E889" s="2">
        <v>3</v>
      </c>
      <c r="F889" s="2">
        <v>171.66</v>
      </c>
      <c r="G889" s="2" t="s">
        <v>3259</v>
      </c>
      <c r="H889" s="2" t="s">
        <v>18</v>
      </c>
      <c r="I889" s="2" t="s">
        <v>50</v>
      </c>
      <c r="J889" s="2" t="s">
        <v>3260</v>
      </c>
      <c r="K889" s="2">
        <v>7</v>
      </c>
      <c r="M889" s="2" t="s">
        <v>76</v>
      </c>
      <c r="N889" s="2">
        <v>514.98</v>
      </c>
    </row>
    <row r="890" spans="1:14" ht="15" x14ac:dyDescent="0.25">
      <c r="A890" s="2" t="s">
        <v>3261</v>
      </c>
      <c r="B890" s="3">
        <v>45496</v>
      </c>
      <c r="C890" s="2" t="s">
        <v>3262</v>
      </c>
      <c r="D890" s="2" t="s">
        <v>58</v>
      </c>
      <c r="E890" s="2">
        <v>2</v>
      </c>
      <c r="F890" s="2">
        <v>266.95</v>
      </c>
      <c r="G890" s="2" t="s">
        <v>3263</v>
      </c>
      <c r="H890" s="2" t="s">
        <v>34</v>
      </c>
      <c r="I890" s="2" t="s">
        <v>89</v>
      </c>
      <c r="J890" s="2" t="s">
        <v>3264</v>
      </c>
      <c r="K890" s="2">
        <v>3</v>
      </c>
      <c r="M890" s="2" t="s">
        <v>22</v>
      </c>
      <c r="N890" s="2">
        <v>533.9</v>
      </c>
    </row>
    <row r="891" spans="1:14" ht="15" x14ac:dyDescent="0.25">
      <c r="A891" s="2" t="s">
        <v>3265</v>
      </c>
      <c r="B891" s="3">
        <v>45592</v>
      </c>
      <c r="C891" s="2" t="s">
        <v>3266</v>
      </c>
      <c r="D891" s="2" t="s">
        <v>16</v>
      </c>
      <c r="E891" s="2">
        <v>5</v>
      </c>
      <c r="F891" s="2">
        <v>650.72</v>
      </c>
      <c r="G891" s="2" t="s">
        <v>3267</v>
      </c>
      <c r="H891" s="2" t="s">
        <v>34</v>
      </c>
      <c r="I891" s="2" t="s">
        <v>35</v>
      </c>
      <c r="J891" s="2" t="s">
        <v>3268</v>
      </c>
      <c r="K891" s="2">
        <v>8</v>
      </c>
      <c r="L891" s="2" t="s">
        <v>81</v>
      </c>
      <c r="M891" s="2" t="s">
        <v>38</v>
      </c>
      <c r="N891" s="2">
        <v>3253.6</v>
      </c>
    </row>
    <row r="892" spans="1:14" ht="15" x14ac:dyDescent="0.25">
      <c r="A892" s="2" t="s">
        <v>3269</v>
      </c>
      <c r="B892" s="3">
        <v>45149</v>
      </c>
      <c r="C892" s="2" t="s">
        <v>3270</v>
      </c>
      <c r="D892" s="2" t="s">
        <v>58</v>
      </c>
      <c r="E892" s="2">
        <v>3</v>
      </c>
      <c r="F892" s="2">
        <v>439.53</v>
      </c>
      <c r="G892" s="2" t="s">
        <v>1849</v>
      </c>
      <c r="H892" s="2" t="s">
        <v>18</v>
      </c>
      <c r="I892" s="2" t="s">
        <v>89</v>
      </c>
      <c r="J892" s="2" t="s">
        <v>3271</v>
      </c>
      <c r="K892" s="2">
        <v>5</v>
      </c>
      <c r="M892" s="2" t="s">
        <v>76</v>
      </c>
      <c r="N892" s="2">
        <v>1318.59</v>
      </c>
    </row>
    <row r="893" spans="1:14" ht="15" x14ac:dyDescent="0.25">
      <c r="A893" s="2" t="s">
        <v>3272</v>
      </c>
      <c r="B893" s="3">
        <v>45241</v>
      </c>
      <c r="C893" s="2" t="s">
        <v>3273</v>
      </c>
      <c r="D893" s="2" t="s">
        <v>16</v>
      </c>
      <c r="E893" s="2">
        <v>3</v>
      </c>
      <c r="F893" s="2">
        <v>654.54</v>
      </c>
      <c r="G893" s="2" t="s">
        <v>3274</v>
      </c>
      <c r="H893" s="2" t="s">
        <v>65</v>
      </c>
      <c r="I893" s="2" t="s">
        <v>43</v>
      </c>
      <c r="J893" s="2" t="s">
        <v>3275</v>
      </c>
      <c r="K893" s="2">
        <v>7</v>
      </c>
      <c r="L893" s="2" t="s">
        <v>21</v>
      </c>
      <c r="M893" s="2" t="s">
        <v>29</v>
      </c>
      <c r="N893" s="2">
        <v>1963.62</v>
      </c>
    </row>
    <row r="894" spans="1:14" ht="15" x14ac:dyDescent="0.25">
      <c r="A894" s="2" t="s">
        <v>3276</v>
      </c>
      <c r="B894" s="3">
        <v>45447</v>
      </c>
      <c r="C894" s="2" t="s">
        <v>3277</v>
      </c>
      <c r="D894" s="2" t="s">
        <v>73</v>
      </c>
      <c r="E894" s="2">
        <v>1</v>
      </c>
      <c r="F894" s="2">
        <v>394.53</v>
      </c>
      <c r="G894" s="2" t="s">
        <v>3278</v>
      </c>
      <c r="H894" s="2" t="s">
        <v>65</v>
      </c>
      <c r="I894" s="2" t="s">
        <v>19</v>
      </c>
      <c r="J894" s="2" t="s">
        <v>3279</v>
      </c>
      <c r="K894" s="2">
        <v>2</v>
      </c>
      <c r="L894" s="2" t="s">
        <v>37</v>
      </c>
      <c r="M894" s="2" t="s">
        <v>29</v>
      </c>
      <c r="N894" s="2">
        <v>394.53</v>
      </c>
    </row>
    <row r="895" spans="1:14" ht="15" x14ac:dyDescent="0.25">
      <c r="A895" s="2" t="s">
        <v>3280</v>
      </c>
      <c r="B895" s="3">
        <v>45006</v>
      </c>
      <c r="C895" s="2" t="s">
        <v>3281</v>
      </c>
      <c r="D895" s="2" t="s">
        <v>16</v>
      </c>
      <c r="E895" s="2">
        <v>1</v>
      </c>
      <c r="F895" s="2">
        <v>678.01</v>
      </c>
      <c r="G895" s="2" t="s">
        <v>1945</v>
      </c>
      <c r="H895" s="2" t="s">
        <v>65</v>
      </c>
      <c r="I895" s="2" t="s">
        <v>89</v>
      </c>
      <c r="J895" s="2" t="s">
        <v>3282</v>
      </c>
      <c r="K895" s="2">
        <v>4</v>
      </c>
      <c r="L895" s="2" t="s">
        <v>37</v>
      </c>
      <c r="M895" s="2" t="s">
        <v>29</v>
      </c>
      <c r="N895" s="2">
        <v>678.01</v>
      </c>
    </row>
    <row r="896" spans="1:14" ht="15" x14ac:dyDescent="0.25">
      <c r="A896" s="2" t="s">
        <v>3283</v>
      </c>
      <c r="B896" s="3">
        <v>45069</v>
      </c>
      <c r="C896" s="2" t="s">
        <v>3284</v>
      </c>
      <c r="D896" s="2" t="s">
        <v>32</v>
      </c>
      <c r="E896" s="2">
        <v>3</v>
      </c>
      <c r="F896" s="2">
        <v>575.01</v>
      </c>
      <c r="G896" s="2" t="s">
        <v>2062</v>
      </c>
      <c r="H896" s="2" t="s">
        <v>27</v>
      </c>
      <c r="I896" s="2" t="s">
        <v>35</v>
      </c>
      <c r="J896" s="2" t="s">
        <v>3285</v>
      </c>
      <c r="K896" s="2">
        <v>8</v>
      </c>
      <c r="L896" s="2" t="s">
        <v>81</v>
      </c>
      <c r="M896" s="2" t="s">
        <v>22</v>
      </c>
      <c r="N896" s="2">
        <v>1725.03</v>
      </c>
    </row>
    <row r="897" spans="1:14" ht="15" x14ac:dyDescent="0.25">
      <c r="A897" s="2" t="s">
        <v>3286</v>
      </c>
      <c r="B897" s="3">
        <v>45239</v>
      </c>
      <c r="C897" s="2" t="s">
        <v>3287</v>
      </c>
      <c r="D897" s="2" t="s">
        <v>41</v>
      </c>
      <c r="E897" s="2">
        <v>3</v>
      </c>
      <c r="F897" s="2">
        <v>154.63999999999999</v>
      </c>
      <c r="G897" s="2" t="s">
        <v>3288</v>
      </c>
      <c r="H897" s="2" t="s">
        <v>18</v>
      </c>
      <c r="I897" s="2" t="s">
        <v>89</v>
      </c>
      <c r="J897" s="2" t="s">
        <v>3289</v>
      </c>
      <c r="K897" s="2">
        <v>6</v>
      </c>
      <c r="L897" s="2" t="s">
        <v>81</v>
      </c>
      <c r="M897" s="2" t="s">
        <v>45</v>
      </c>
      <c r="N897" s="2">
        <v>463.92</v>
      </c>
    </row>
    <row r="898" spans="1:14" ht="15" x14ac:dyDescent="0.25">
      <c r="A898" s="2" t="s">
        <v>3290</v>
      </c>
      <c r="B898" s="3">
        <v>45583</v>
      </c>
      <c r="C898" s="2" t="s">
        <v>3291</v>
      </c>
      <c r="D898" s="2" t="s">
        <v>73</v>
      </c>
      <c r="E898" s="2">
        <v>3</v>
      </c>
      <c r="F898" s="2">
        <v>147.29</v>
      </c>
      <c r="G898" s="2" t="s">
        <v>74</v>
      </c>
      <c r="H898" s="2" t="s">
        <v>60</v>
      </c>
      <c r="I898" s="2" t="s">
        <v>19</v>
      </c>
      <c r="J898" s="2" t="s">
        <v>3292</v>
      </c>
      <c r="K898" s="2">
        <v>3</v>
      </c>
      <c r="L898" s="2" t="s">
        <v>37</v>
      </c>
      <c r="M898" s="2" t="s">
        <v>76</v>
      </c>
      <c r="N898" s="2">
        <v>441.87</v>
      </c>
    </row>
    <row r="899" spans="1:14" ht="15" x14ac:dyDescent="0.25">
      <c r="A899" s="2" t="s">
        <v>3293</v>
      </c>
      <c r="B899" s="3">
        <v>45538</v>
      </c>
      <c r="C899" s="2" t="s">
        <v>3294</v>
      </c>
      <c r="D899" s="2" t="s">
        <v>58</v>
      </c>
      <c r="E899" s="2">
        <v>4</v>
      </c>
      <c r="F899" s="2">
        <v>481.48</v>
      </c>
      <c r="G899" s="2" t="s">
        <v>817</v>
      </c>
      <c r="H899" s="2" t="s">
        <v>60</v>
      </c>
      <c r="I899" s="2" t="s">
        <v>50</v>
      </c>
      <c r="J899" s="2" t="s">
        <v>3295</v>
      </c>
      <c r="K899" s="2">
        <v>5</v>
      </c>
      <c r="L899" s="2" t="s">
        <v>21</v>
      </c>
      <c r="M899" s="2" t="s">
        <v>22</v>
      </c>
      <c r="N899" s="2">
        <v>1925.92</v>
      </c>
    </row>
    <row r="900" spans="1:14" ht="15" x14ac:dyDescent="0.25">
      <c r="A900" s="2" t="s">
        <v>3296</v>
      </c>
      <c r="B900" s="3">
        <v>45721</v>
      </c>
      <c r="C900" s="2" t="s">
        <v>3297</v>
      </c>
      <c r="D900" s="2" t="s">
        <v>16</v>
      </c>
      <c r="E900" s="2">
        <v>3</v>
      </c>
      <c r="F900" s="2">
        <v>158.37</v>
      </c>
      <c r="G900" s="2" t="s">
        <v>3100</v>
      </c>
      <c r="H900" s="2" t="s">
        <v>65</v>
      </c>
      <c r="I900" s="2" t="s">
        <v>19</v>
      </c>
      <c r="J900" s="2" t="s">
        <v>3298</v>
      </c>
      <c r="K900" s="2">
        <v>6</v>
      </c>
      <c r="M900" s="2" t="s">
        <v>29</v>
      </c>
      <c r="N900" s="2">
        <v>475.11</v>
      </c>
    </row>
    <row r="901" spans="1:14" ht="15" x14ac:dyDescent="0.25">
      <c r="A901" s="2" t="s">
        <v>3299</v>
      </c>
      <c r="B901" s="3">
        <v>45770</v>
      </c>
      <c r="C901" s="2" t="s">
        <v>3300</v>
      </c>
      <c r="D901" s="2" t="s">
        <v>48</v>
      </c>
      <c r="E901" s="2">
        <v>2</v>
      </c>
      <c r="F901" s="2">
        <v>323.37</v>
      </c>
      <c r="G901" s="2" t="s">
        <v>312</v>
      </c>
      <c r="H901" s="2" t="s">
        <v>27</v>
      </c>
      <c r="I901" s="2" t="s">
        <v>89</v>
      </c>
      <c r="J901" s="2" t="s">
        <v>3301</v>
      </c>
      <c r="K901" s="2">
        <v>3</v>
      </c>
      <c r="L901" s="2" t="s">
        <v>21</v>
      </c>
      <c r="M901" s="2" t="s">
        <v>22</v>
      </c>
      <c r="N901" s="2">
        <v>646.74</v>
      </c>
    </row>
    <row r="902" spans="1:14" ht="15" x14ac:dyDescent="0.25">
      <c r="A902" s="2" t="s">
        <v>3302</v>
      </c>
      <c r="B902" s="3">
        <v>45695</v>
      </c>
      <c r="C902" s="2" t="s">
        <v>3303</v>
      </c>
      <c r="D902" s="2" t="s">
        <v>58</v>
      </c>
      <c r="E902" s="2">
        <v>5</v>
      </c>
      <c r="F902" s="2">
        <v>73.83</v>
      </c>
      <c r="G902" s="2" t="s">
        <v>1996</v>
      </c>
      <c r="H902" s="2" t="s">
        <v>18</v>
      </c>
      <c r="I902" s="2" t="s">
        <v>89</v>
      </c>
      <c r="J902" s="2" t="s">
        <v>3304</v>
      </c>
      <c r="K902" s="2">
        <v>9</v>
      </c>
      <c r="M902" s="2" t="s">
        <v>22</v>
      </c>
      <c r="N902" s="2">
        <v>369.15</v>
      </c>
    </row>
    <row r="903" spans="1:14" ht="15" x14ac:dyDescent="0.25">
      <c r="A903" s="2" t="s">
        <v>3305</v>
      </c>
      <c r="B903" s="3">
        <v>45410</v>
      </c>
      <c r="C903" s="2" t="s">
        <v>3306</v>
      </c>
      <c r="D903" s="2" t="s">
        <v>32</v>
      </c>
      <c r="E903" s="2">
        <v>1</v>
      </c>
      <c r="F903" s="2">
        <v>458.63</v>
      </c>
      <c r="G903" s="2" t="s">
        <v>415</v>
      </c>
      <c r="H903" s="2" t="s">
        <v>18</v>
      </c>
      <c r="I903" s="2" t="s">
        <v>43</v>
      </c>
      <c r="J903" s="2" t="s">
        <v>3307</v>
      </c>
      <c r="K903" s="2">
        <v>4</v>
      </c>
      <c r="L903" s="2" t="s">
        <v>81</v>
      </c>
      <c r="M903" s="2" t="s">
        <v>29</v>
      </c>
      <c r="N903" s="2">
        <v>458.63</v>
      </c>
    </row>
    <row r="904" spans="1:14" ht="15" x14ac:dyDescent="0.25">
      <c r="A904" s="2" t="s">
        <v>3308</v>
      </c>
      <c r="B904" s="3">
        <v>45486</v>
      </c>
      <c r="C904" s="2" t="s">
        <v>3309</v>
      </c>
      <c r="D904" s="2" t="s">
        <v>16</v>
      </c>
      <c r="E904" s="2">
        <v>4</v>
      </c>
      <c r="F904" s="2">
        <v>180.25</v>
      </c>
      <c r="G904" s="2" t="s">
        <v>289</v>
      </c>
      <c r="H904" s="2" t="s">
        <v>18</v>
      </c>
      <c r="I904" s="2" t="s">
        <v>35</v>
      </c>
      <c r="J904" s="2" t="s">
        <v>3310</v>
      </c>
      <c r="K904" s="2">
        <v>7</v>
      </c>
      <c r="M904" s="2" t="s">
        <v>45</v>
      </c>
      <c r="N904" s="2">
        <v>721</v>
      </c>
    </row>
    <row r="905" spans="1:14" ht="15" x14ac:dyDescent="0.25">
      <c r="A905" s="2" t="s">
        <v>3311</v>
      </c>
      <c r="B905" s="3">
        <v>45063</v>
      </c>
      <c r="C905" s="2" t="s">
        <v>3312</v>
      </c>
      <c r="D905" s="2" t="s">
        <v>16</v>
      </c>
      <c r="E905" s="2">
        <v>3</v>
      </c>
      <c r="F905" s="2">
        <v>473.49</v>
      </c>
      <c r="G905" s="2" t="s">
        <v>2965</v>
      </c>
      <c r="H905" s="2" t="s">
        <v>34</v>
      </c>
      <c r="I905" s="2" t="s">
        <v>89</v>
      </c>
      <c r="J905" s="2" t="s">
        <v>3313</v>
      </c>
      <c r="K905" s="2">
        <v>7</v>
      </c>
      <c r="M905" s="2" t="s">
        <v>38</v>
      </c>
      <c r="N905" s="2">
        <v>1420.47</v>
      </c>
    </row>
    <row r="906" spans="1:14" ht="15" x14ac:dyDescent="0.25">
      <c r="A906" s="2" t="s">
        <v>3314</v>
      </c>
      <c r="B906" s="3">
        <v>45693</v>
      </c>
      <c r="C906" s="2" t="s">
        <v>3315</v>
      </c>
      <c r="D906" s="2" t="s">
        <v>16</v>
      </c>
      <c r="E906" s="2">
        <v>4</v>
      </c>
      <c r="F906" s="2">
        <v>237.43</v>
      </c>
      <c r="G906" s="2" t="s">
        <v>1727</v>
      </c>
      <c r="H906" s="2" t="s">
        <v>65</v>
      </c>
      <c r="I906" s="2" t="s">
        <v>35</v>
      </c>
      <c r="J906" s="2" t="s">
        <v>3316</v>
      </c>
      <c r="K906" s="2">
        <v>8</v>
      </c>
      <c r="L906" s="2" t="s">
        <v>81</v>
      </c>
      <c r="M906" s="2" t="s">
        <v>29</v>
      </c>
      <c r="N906" s="2">
        <v>949.72</v>
      </c>
    </row>
    <row r="907" spans="1:14" ht="15" x14ac:dyDescent="0.25">
      <c r="A907" s="2" t="s">
        <v>3317</v>
      </c>
      <c r="B907" s="3">
        <v>45253</v>
      </c>
      <c r="C907" s="2" t="s">
        <v>3318</v>
      </c>
      <c r="D907" s="2" t="s">
        <v>58</v>
      </c>
      <c r="E907" s="2">
        <v>1</v>
      </c>
      <c r="F907" s="2">
        <v>442.39</v>
      </c>
      <c r="G907" s="2" t="s">
        <v>1256</v>
      </c>
      <c r="H907" s="2" t="s">
        <v>60</v>
      </c>
      <c r="I907" s="2" t="s">
        <v>89</v>
      </c>
      <c r="J907" s="2" t="s">
        <v>3319</v>
      </c>
      <c r="K907" s="2">
        <v>6</v>
      </c>
      <c r="L907" s="2" t="s">
        <v>37</v>
      </c>
      <c r="M907" s="2" t="s">
        <v>45</v>
      </c>
      <c r="N907" s="2">
        <v>442.39</v>
      </c>
    </row>
    <row r="908" spans="1:14" ht="15" x14ac:dyDescent="0.25">
      <c r="A908" s="2" t="s">
        <v>3320</v>
      </c>
      <c r="B908" s="3">
        <v>45538</v>
      </c>
      <c r="C908" s="2" t="s">
        <v>3321</v>
      </c>
      <c r="D908" s="2" t="s">
        <v>16</v>
      </c>
      <c r="E908" s="2">
        <v>1</v>
      </c>
      <c r="F908" s="2">
        <v>62.12</v>
      </c>
      <c r="G908" s="2" t="s">
        <v>3322</v>
      </c>
      <c r="H908" s="2" t="s">
        <v>65</v>
      </c>
      <c r="I908" s="2" t="s">
        <v>43</v>
      </c>
      <c r="J908" s="2" t="s">
        <v>3323</v>
      </c>
      <c r="K908" s="2">
        <v>2</v>
      </c>
      <c r="M908" s="2" t="s">
        <v>38</v>
      </c>
      <c r="N908" s="2">
        <v>62.12</v>
      </c>
    </row>
    <row r="909" spans="1:14" ht="15" x14ac:dyDescent="0.25">
      <c r="A909" s="2" t="s">
        <v>3324</v>
      </c>
      <c r="B909" s="3">
        <v>45508</v>
      </c>
      <c r="C909" s="2" t="s">
        <v>3325</v>
      </c>
      <c r="D909" s="2" t="s">
        <v>73</v>
      </c>
      <c r="E909" s="2">
        <v>5</v>
      </c>
      <c r="F909" s="2">
        <v>298.39</v>
      </c>
      <c r="G909" s="2" t="s">
        <v>561</v>
      </c>
      <c r="H909" s="2" t="s">
        <v>60</v>
      </c>
      <c r="I909" s="2" t="s">
        <v>35</v>
      </c>
      <c r="J909" s="2" t="s">
        <v>3326</v>
      </c>
      <c r="K909" s="2">
        <v>7</v>
      </c>
      <c r="L909" s="2" t="s">
        <v>81</v>
      </c>
      <c r="M909" s="2" t="s">
        <v>29</v>
      </c>
      <c r="N909" s="2">
        <v>1491.95</v>
      </c>
    </row>
    <row r="910" spans="1:14" ht="15" x14ac:dyDescent="0.25">
      <c r="A910" s="2" t="s">
        <v>3327</v>
      </c>
      <c r="B910" s="3">
        <v>45783</v>
      </c>
      <c r="C910" s="2" t="s">
        <v>3328</v>
      </c>
      <c r="D910" s="2" t="s">
        <v>73</v>
      </c>
      <c r="E910" s="2">
        <v>2</v>
      </c>
      <c r="F910" s="2">
        <v>697.93</v>
      </c>
      <c r="G910" s="2" t="s">
        <v>723</v>
      </c>
      <c r="H910" s="2" t="s">
        <v>34</v>
      </c>
      <c r="I910" s="2" t="s">
        <v>35</v>
      </c>
      <c r="J910" s="2" t="s">
        <v>3329</v>
      </c>
      <c r="K910" s="2">
        <v>2</v>
      </c>
      <c r="L910" s="2" t="s">
        <v>21</v>
      </c>
      <c r="M910" s="2" t="s">
        <v>76</v>
      </c>
      <c r="N910" s="2">
        <v>1395.86</v>
      </c>
    </row>
    <row r="911" spans="1:14" ht="15" x14ac:dyDescent="0.25">
      <c r="A911" s="2" t="s">
        <v>3330</v>
      </c>
      <c r="B911" s="3">
        <v>45439</v>
      </c>
      <c r="C911" s="2" t="s">
        <v>3331</v>
      </c>
      <c r="D911" s="2" t="s">
        <v>32</v>
      </c>
      <c r="E911" s="2">
        <v>2</v>
      </c>
      <c r="F911" s="2">
        <v>291.85000000000002</v>
      </c>
      <c r="G911" s="2" t="s">
        <v>125</v>
      </c>
      <c r="H911" s="2" t="s">
        <v>65</v>
      </c>
      <c r="I911" s="2" t="s">
        <v>19</v>
      </c>
      <c r="J911" s="2" t="s">
        <v>3332</v>
      </c>
      <c r="K911" s="2">
        <v>5</v>
      </c>
      <c r="L911" s="2" t="s">
        <v>37</v>
      </c>
      <c r="M911" s="2" t="s">
        <v>22</v>
      </c>
      <c r="N911" s="2">
        <v>583.70000000000005</v>
      </c>
    </row>
    <row r="912" spans="1:14" ht="15" x14ac:dyDescent="0.25">
      <c r="A912" s="2" t="s">
        <v>3333</v>
      </c>
      <c r="B912" s="3">
        <v>45443</v>
      </c>
      <c r="C912" s="2" t="s">
        <v>3334</v>
      </c>
      <c r="D912" s="2" t="s">
        <v>48</v>
      </c>
      <c r="E912" s="2">
        <v>3</v>
      </c>
      <c r="F912" s="2">
        <v>308.98</v>
      </c>
      <c r="G912" s="2" t="s">
        <v>343</v>
      </c>
      <c r="H912" s="2" t="s">
        <v>65</v>
      </c>
      <c r="I912" s="2" t="s">
        <v>50</v>
      </c>
      <c r="J912" s="2" t="s">
        <v>3335</v>
      </c>
      <c r="K912" s="2">
        <v>3</v>
      </c>
      <c r="L912" s="2" t="s">
        <v>21</v>
      </c>
      <c r="M912" s="2" t="s">
        <v>22</v>
      </c>
      <c r="N912" s="2">
        <v>926.94</v>
      </c>
    </row>
    <row r="913" spans="1:14" ht="15" x14ac:dyDescent="0.25">
      <c r="A913" s="2" t="s">
        <v>3336</v>
      </c>
      <c r="B913" s="3">
        <v>45517</v>
      </c>
      <c r="C913" s="2" t="s">
        <v>3337</v>
      </c>
      <c r="D913" s="2" t="s">
        <v>73</v>
      </c>
      <c r="E913" s="2">
        <v>5</v>
      </c>
      <c r="F913" s="2">
        <v>396.86</v>
      </c>
      <c r="G913" s="2" t="s">
        <v>502</v>
      </c>
      <c r="H913" s="2" t="s">
        <v>65</v>
      </c>
      <c r="I913" s="2" t="s">
        <v>35</v>
      </c>
      <c r="J913" s="2" t="s">
        <v>3338</v>
      </c>
      <c r="K913" s="2">
        <v>9</v>
      </c>
      <c r="L913" s="2" t="s">
        <v>21</v>
      </c>
      <c r="M913" s="2" t="s">
        <v>22</v>
      </c>
      <c r="N913" s="2">
        <v>1984.3</v>
      </c>
    </row>
    <row r="914" spans="1:14" ht="15" x14ac:dyDescent="0.25">
      <c r="A914" s="2" t="s">
        <v>3339</v>
      </c>
      <c r="B914" s="3">
        <v>45313</v>
      </c>
      <c r="C914" s="2" t="s">
        <v>3340</v>
      </c>
      <c r="D914" s="2" t="s">
        <v>73</v>
      </c>
      <c r="E914" s="2">
        <v>2</v>
      </c>
      <c r="F914" s="2">
        <v>139.69</v>
      </c>
      <c r="G914" s="2" t="s">
        <v>387</v>
      </c>
      <c r="H914" s="2" t="s">
        <v>27</v>
      </c>
      <c r="I914" s="2" t="s">
        <v>43</v>
      </c>
      <c r="J914" s="2" t="s">
        <v>3341</v>
      </c>
      <c r="K914" s="2">
        <v>7</v>
      </c>
      <c r="L914" s="2" t="s">
        <v>37</v>
      </c>
      <c r="M914" s="2" t="s">
        <v>38</v>
      </c>
      <c r="N914" s="2">
        <v>279.38</v>
      </c>
    </row>
    <row r="915" spans="1:14" ht="15" x14ac:dyDescent="0.25">
      <c r="A915" s="2" t="s">
        <v>3342</v>
      </c>
      <c r="B915" s="3">
        <v>44973</v>
      </c>
      <c r="C915" s="2" t="s">
        <v>3343</v>
      </c>
      <c r="D915" s="2" t="s">
        <v>48</v>
      </c>
      <c r="E915" s="2">
        <v>5</v>
      </c>
      <c r="F915" s="2">
        <v>475.95</v>
      </c>
      <c r="G915" s="2" t="s">
        <v>787</v>
      </c>
      <c r="H915" s="2" t="s">
        <v>34</v>
      </c>
      <c r="I915" s="2" t="s">
        <v>43</v>
      </c>
      <c r="J915" s="2" t="s">
        <v>3344</v>
      </c>
      <c r="K915" s="2">
        <v>8</v>
      </c>
      <c r="L915" s="2" t="s">
        <v>81</v>
      </c>
      <c r="M915" s="2" t="s">
        <v>45</v>
      </c>
      <c r="N915" s="2">
        <v>2379.75</v>
      </c>
    </row>
    <row r="916" spans="1:14" ht="15" x14ac:dyDescent="0.25">
      <c r="A916" s="2" t="s">
        <v>3345</v>
      </c>
      <c r="B916" s="3">
        <v>45698</v>
      </c>
      <c r="C916" s="2" t="s">
        <v>3346</v>
      </c>
      <c r="D916" s="2" t="s">
        <v>73</v>
      </c>
      <c r="E916" s="2">
        <v>1</v>
      </c>
      <c r="F916" s="2">
        <v>626.6</v>
      </c>
      <c r="G916" s="2" t="s">
        <v>1693</v>
      </c>
      <c r="H916" s="2" t="s">
        <v>60</v>
      </c>
      <c r="I916" s="2" t="s">
        <v>43</v>
      </c>
      <c r="J916" s="2" t="s">
        <v>3347</v>
      </c>
      <c r="K916" s="2">
        <v>4</v>
      </c>
      <c r="L916" s="2" t="s">
        <v>81</v>
      </c>
      <c r="M916" s="2" t="s">
        <v>45</v>
      </c>
      <c r="N916" s="2">
        <v>626.6</v>
      </c>
    </row>
    <row r="917" spans="1:14" ht="15" x14ac:dyDescent="0.25">
      <c r="A917" s="2" t="s">
        <v>3348</v>
      </c>
      <c r="B917" s="3">
        <v>45338</v>
      </c>
      <c r="C917" s="2" t="s">
        <v>3349</v>
      </c>
      <c r="D917" s="2" t="s">
        <v>58</v>
      </c>
      <c r="E917" s="2">
        <v>4</v>
      </c>
      <c r="F917" s="2">
        <v>502.99</v>
      </c>
      <c r="G917" s="2" t="s">
        <v>3350</v>
      </c>
      <c r="H917" s="2" t="s">
        <v>18</v>
      </c>
      <c r="I917" s="2" t="s">
        <v>19</v>
      </c>
      <c r="J917" s="2" t="s">
        <v>3351</v>
      </c>
      <c r="K917" s="2">
        <v>4</v>
      </c>
      <c r="L917" s="2" t="s">
        <v>81</v>
      </c>
      <c r="M917" s="2" t="s">
        <v>29</v>
      </c>
      <c r="N917" s="2">
        <v>2011.96</v>
      </c>
    </row>
    <row r="918" spans="1:14" ht="15" x14ac:dyDescent="0.25">
      <c r="A918" s="2" t="s">
        <v>3352</v>
      </c>
      <c r="B918" s="3">
        <v>45464</v>
      </c>
      <c r="C918" s="2" t="s">
        <v>3353</v>
      </c>
      <c r="D918" s="2" t="s">
        <v>48</v>
      </c>
      <c r="E918" s="2">
        <v>5</v>
      </c>
      <c r="F918" s="2">
        <v>578.83000000000004</v>
      </c>
      <c r="G918" s="2" t="s">
        <v>2845</v>
      </c>
      <c r="H918" s="2" t="s">
        <v>65</v>
      </c>
      <c r="I918" s="2" t="s">
        <v>43</v>
      </c>
      <c r="J918" s="2" t="s">
        <v>3354</v>
      </c>
      <c r="K918" s="2">
        <v>6</v>
      </c>
      <c r="M918" s="2" t="s">
        <v>29</v>
      </c>
      <c r="N918" s="2">
        <v>2894.15</v>
      </c>
    </row>
    <row r="919" spans="1:14" ht="15" x14ac:dyDescent="0.25">
      <c r="A919" s="2" t="s">
        <v>3355</v>
      </c>
      <c r="B919" s="3">
        <v>45677</v>
      </c>
      <c r="C919" s="2" t="s">
        <v>3356</v>
      </c>
      <c r="D919" s="2" t="s">
        <v>58</v>
      </c>
      <c r="E919" s="2">
        <v>5</v>
      </c>
      <c r="F919" s="2">
        <v>383.82</v>
      </c>
      <c r="G919" s="2" t="s">
        <v>3357</v>
      </c>
      <c r="H919" s="2" t="s">
        <v>34</v>
      </c>
      <c r="I919" s="2" t="s">
        <v>43</v>
      </c>
      <c r="J919" s="2" t="s">
        <v>3358</v>
      </c>
      <c r="K919" s="2">
        <v>7</v>
      </c>
      <c r="L919" s="2" t="s">
        <v>37</v>
      </c>
      <c r="M919" s="2" t="s">
        <v>76</v>
      </c>
      <c r="N919" s="2">
        <v>1919.1</v>
      </c>
    </row>
    <row r="920" spans="1:14" ht="15" x14ac:dyDescent="0.25">
      <c r="A920" s="2" t="s">
        <v>3359</v>
      </c>
      <c r="B920" s="3">
        <v>45832</v>
      </c>
      <c r="C920" s="2" t="s">
        <v>3360</v>
      </c>
      <c r="D920" s="2" t="s">
        <v>58</v>
      </c>
      <c r="E920" s="2">
        <v>5</v>
      </c>
      <c r="F920" s="2">
        <v>368.25</v>
      </c>
      <c r="G920" s="2" t="s">
        <v>64</v>
      </c>
      <c r="H920" s="2" t="s">
        <v>27</v>
      </c>
      <c r="I920" s="2" t="s">
        <v>50</v>
      </c>
      <c r="J920" s="2" t="s">
        <v>3361</v>
      </c>
      <c r="K920" s="2">
        <v>5</v>
      </c>
      <c r="M920" s="2" t="s">
        <v>22</v>
      </c>
      <c r="N920" s="2">
        <v>1841.25</v>
      </c>
    </row>
    <row r="921" spans="1:14" ht="15" x14ac:dyDescent="0.25">
      <c r="A921" s="2" t="s">
        <v>3362</v>
      </c>
      <c r="B921" s="3">
        <v>45695</v>
      </c>
      <c r="C921" s="2" t="s">
        <v>3363</v>
      </c>
      <c r="D921" s="2" t="s">
        <v>48</v>
      </c>
      <c r="E921" s="2">
        <v>2</v>
      </c>
      <c r="F921" s="2">
        <v>374.6</v>
      </c>
      <c r="G921" s="2" t="s">
        <v>510</v>
      </c>
      <c r="H921" s="2" t="s">
        <v>27</v>
      </c>
      <c r="I921" s="2" t="s">
        <v>19</v>
      </c>
      <c r="J921" s="2" t="s">
        <v>3364</v>
      </c>
      <c r="K921" s="2">
        <v>3</v>
      </c>
      <c r="L921" s="2" t="s">
        <v>37</v>
      </c>
      <c r="M921" s="2" t="s">
        <v>29</v>
      </c>
      <c r="N921" s="2">
        <v>749.2</v>
      </c>
    </row>
    <row r="922" spans="1:14" ht="15" x14ac:dyDescent="0.25">
      <c r="A922" s="2" t="s">
        <v>3365</v>
      </c>
      <c r="B922" s="3">
        <v>45728</v>
      </c>
      <c r="C922" s="2" t="s">
        <v>3366</v>
      </c>
      <c r="D922" s="2" t="s">
        <v>32</v>
      </c>
      <c r="E922" s="2">
        <v>2</v>
      </c>
      <c r="F922" s="2">
        <v>428.09</v>
      </c>
      <c r="G922" s="2" t="s">
        <v>1244</v>
      </c>
      <c r="H922" s="2" t="s">
        <v>34</v>
      </c>
      <c r="I922" s="2" t="s">
        <v>43</v>
      </c>
      <c r="J922" s="2" t="s">
        <v>3367</v>
      </c>
      <c r="K922" s="2">
        <v>6</v>
      </c>
      <c r="M922" s="2" t="s">
        <v>22</v>
      </c>
      <c r="N922" s="2">
        <v>856.18</v>
      </c>
    </row>
    <row r="923" spans="1:14" ht="15" x14ac:dyDescent="0.25">
      <c r="A923" s="2" t="s">
        <v>3368</v>
      </c>
      <c r="B923" s="3">
        <v>45131</v>
      </c>
      <c r="C923" s="2" t="s">
        <v>3369</v>
      </c>
      <c r="D923" s="2" t="s">
        <v>32</v>
      </c>
      <c r="E923" s="2">
        <v>1</v>
      </c>
      <c r="F923" s="2">
        <v>438.93</v>
      </c>
      <c r="G923" s="2" t="s">
        <v>3370</v>
      </c>
      <c r="H923" s="2" t="s">
        <v>60</v>
      </c>
      <c r="I923" s="2" t="s">
        <v>35</v>
      </c>
      <c r="J923" s="2" t="s">
        <v>3371</v>
      </c>
      <c r="K923" s="2">
        <v>3</v>
      </c>
      <c r="L923" s="2" t="s">
        <v>21</v>
      </c>
      <c r="M923" s="2" t="s">
        <v>29</v>
      </c>
      <c r="N923" s="2">
        <v>438.93</v>
      </c>
    </row>
    <row r="924" spans="1:14" ht="15" x14ac:dyDescent="0.25">
      <c r="A924" s="2" t="s">
        <v>3372</v>
      </c>
      <c r="B924" s="3">
        <v>45460</v>
      </c>
      <c r="C924" s="2" t="s">
        <v>3373</v>
      </c>
      <c r="D924" s="2" t="s">
        <v>73</v>
      </c>
      <c r="E924" s="2">
        <v>2</v>
      </c>
      <c r="F924" s="2">
        <v>563.82000000000005</v>
      </c>
      <c r="G924" s="2" t="s">
        <v>3374</v>
      </c>
      <c r="H924" s="2" t="s">
        <v>34</v>
      </c>
      <c r="I924" s="2" t="s">
        <v>89</v>
      </c>
      <c r="J924" s="2" t="s">
        <v>3375</v>
      </c>
      <c r="K924" s="2">
        <v>3</v>
      </c>
      <c r="M924" s="2" t="s">
        <v>22</v>
      </c>
      <c r="N924" s="2">
        <v>1127.6400000000001</v>
      </c>
    </row>
    <row r="925" spans="1:14" ht="15" x14ac:dyDescent="0.25">
      <c r="A925" s="2" t="s">
        <v>3376</v>
      </c>
      <c r="B925" s="3">
        <v>44968</v>
      </c>
      <c r="C925" s="2" t="s">
        <v>3377</v>
      </c>
      <c r="D925" s="2" t="s">
        <v>48</v>
      </c>
      <c r="E925" s="2">
        <v>3</v>
      </c>
      <c r="F925" s="2">
        <v>649.92999999999995</v>
      </c>
      <c r="G925" s="2" t="s">
        <v>3357</v>
      </c>
      <c r="H925" s="2" t="s">
        <v>34</v>
      </c>
      <c r="I925" s="2" t="s">
        <v>89</v>
      </c>
      <c r="J925" s="2" t="s">
        <v>3378</v>
      </c>
      <c r="K925" s="2">
        <v>7</v>
      </c>
      <c r="L925" s="2" t="s">
        <v>81</v>
      </c>
      <c r="M925" s="2" t="s">
        <v>45</v>
      </c>
      <c r="N925" s="2">
        <v>1949.79</v>
      </c>
    </row>
    <row r="926" spans="1:14" ht="15" x14ac:dyDescent="0.25">
      <c r="A926" s="2" t="s">
        <v>3379</v>
      </c>
      <c r="B926" s="3">
        <v>45738</v>
      </c>
      <c r="C926" s="2" t="s">
        <v>3380</v>
      </c>
      <c r="D926" s="2" t="s">
        <v>48</v>
      </c>
      <c r="E926" s="2">
        <v>5</v>
      </c>
      <c r="F926" s="2">
        <v>268.43</v>
      </c>
      <c r="G926" s="2" t="s">
        <v>1996</v>
      </c>
      <c r="H926" s="2" t="s">
        <v>65</v>
      </c>
      <c r="I926" s="2" t="s">
        <v>43</v>
      </c>
      <c r="J926" s="2" t="s">
        <v>3381</v>
      </c>
      <c r="K926" s="2">
        <v>5</v>
      </c>
      <c r="L926" s="2" t="s">
        <v>21</v>
      </c>
      <c r="M926" s="2" t="s">
        <v>38</v>
      </c>
      <c r="N926" s="2">
        <v>1342.15</v>
      </c>
    </row>
    <row r="927" spans="1:14" ht="15" x14ac:dyDescent="0.25">
      <c r="A927" s="2" t="s">
        <v>3382</v>
      </c>
      <c r="B927" s="3">
        <v>45646</v>
      </c>
      <c r="C927" s="2" t="s">
        <v>3383</v>
      </c>
      <c r="D927" s="2" t="s">
        <v>16</v>
      </c>
      <c r="E927" s="2">
        <v>5</v>
      </c>
      <c r="F927" s="2">
        <v>502.47</v>
      </c>
      <c r="G927" s="2" t="s">
        <v>1564</v>
      </c>
      <c r="H927" s="2" t="s">
        <v>27</v>
      </c>
      <c r="I927" s="2" t="s">
        <v>19</v>
      </c>
      <c r="J927" s="2" t="s">
        <v>3384</v>
      </c>
      <c r="K927" s="2">
        <v>10</v>
      </c>
      <c r="L927" s="2" t="s">
        <v>81</v>
      </c>
      <c r="M927" s="2" t="s">
        <v>38</v>
      </c>
      <c r="N927" s="2">
        <v>2512.35</v>
      </c>
    </row>
    <row r="928" spans="1:14" ht="15" x14ac:dyDescent="0.25">
      <c r="A928" s="2" t="s">
        <v>3385</v>
      </c>
      <c r="B928" s="3">
        <v>45371</v>
      </c>
      <c r="C928" s="2" t="s">
        <v>3386</v>
      </c>
      <c r="D928" s="2" t="s">
        <v>73</v>
      </c>
      <c r="E928" s="2">
        <v>1</v>
      </c>
      <c r="F928" s="2">
        <v>26.95</v>
      </c>
      <c r="G928" s="2" t="s">
        <v>1815</v>
      </c>
      <c r="H928" s="2" t="s">
        <v>65</v>
      </c>
      <c r="I928" s="2" t="s">
        <v>50</v>
      </c>
      <c r="J928" s="2" t="s">
        <v>3387</v>
      </c>
      <c r="K928" s="2">
        <v>1</v>
      </c>
      <c r="L928" s="2" t="s">
        <v>81</v>
      </c>
      <c r="M928" s="2" t="s">
        <v>38</v>
      </c>
      <c r="N928" s="2">
        <v>26.95</v>
      </c>
    </row>
    <row r="929" spans="1:14" ht="15" x14ac:dyDescent="0.25">
      <c r="A929" s="2" t="s">
        <v>3388</v>
      </c>
      <c r="B929" s="3">
        <v>44971</v>
      </c>
      <c r="C929" s="2" t="s">
        <v>3389</v>
      </c>
      <c r="D929" s="2" t="s">
        <v>58</v>
      </c>
      <c r="E929" s="2">
        <v>4</v>
      </c>
      <c r="F929" s="2">
        <v>64.69</v>
      </c>
      <c r="G929" s="2" t="s">
        <v>2557</v>
      </c>
      <c r="H929" s="2" t="s">
        <v>18</v>
      </c>
      <c r="I929" s="2" t="s">
        <v>19</v>
      </c>
      <c r="J929" s="2" t="s">
        <v>3390</v>
      </c>
      <c r="K929" s="2">
        <v>7</v>
      </c>
      <c r="L929" s="2" t="s">
        <v>81</v>
      </c>
      <c r="M929" s="2" t="s">
        <v>76</v>
      </c>
      <c r="N929" s="2">
        <v>258.76</v>
      </c>
    </row>
    <row r="930" spans="1:14" ht="15" x14ac:dyDescent="0.25">
      <c r="A930" s="2" t="s">
        <v>3391</v>
      </c>
      <c r="B930" s="3">
        <v>45421</v>
      </c>
      <c r="C930" s="2" t="s">
        <v>3392</v>
      </c>
      <c r="D930" s="2" t="s">
        <v>58</v>
      </c>
      <c r="E930" s="2">
        <v>3</v>
      </c>
      <c r="F930" s="2">
        <v>247.11</v>
      </c>
      <c r="G930" s="2" t="s">
        <v>1015</v>
      </c>
      <c r="H930" s="2" t="s">
        <v>18</v>
      </c>
      <c r="I930" s="2" t="s">
        <v>43</v>
      </c>
      <c r="J930" s="2" t="s">
        <v>3393</v>
      </c>
      <c r="K930" s="2">
        <v>3</v>
      </c>
      <c r="L930" s="2" t="s">
        <v>81</v>
      </c>
      <c r="M930" s="2" t="s">
        <v>29</v>
      </c>
      <c r="N930" s="2">
        <v>741.33</v>
      </c>
    </row>
    <row r="931" spans="1:14" ht="15" x14ac:dyDescent="0.25">
      <c r="A931" s="2" t="s">
        <v>3394</v>
      </c>
      <c r="B931" s="3">
        <v>45581</v>
      </c>
      <c r="C931" s="2" t="s">
        <v>3395</v>
      </c>
      <c r="D931" s="2" t="s">
        <v>32</v>
      </c>
      <c r="E931" s="2">
        <v>2</v>
      </c>
      <c r="F931" s="2">
        <v>536.25</v>
      </c>
      <c r="G931" s="2" t="s">
        <v>727</v>
      </c>
      <c r="H931" s="2" t="s">
        <v>18</v>
      </c>
      <c r="I931" s="2" t="s">
        <v>89</v>
      </c>
      <c r="J931" s="2" t="s">
        <v>3396</v>
      </c>
      <c r="K931" s="2">
        <v>3</v>
      </c>
      <c r="M931" s="2" t="s">
        <v>38</v>
      </c>
      <c r="N931" s="2">
        <v>1072.5</v>
      </c>
    </row>
    <row r="932" spans="1:14" ht="15" x14ac:dyDescent="0.25">
      <c r="A932" s="2" t="s">
        <v>3397</v>
      </c>
      <c r="B932" s="3">
        <v>45642</v>
      </c>
      <c r="C932" s="2" t="s">
        <v>3398</v>
      </c>
      <c r="D932" s="2" t="s">
        <v>25</v>
      </c>
      <c r="E932" s="2">
        <v>2</v>
      </c>
      <c r="F932" s="2">
        <v>456.04</v>
      </c>
      <c r="G932" s="2" t="s">
        <v>109</v>
      </c>
      <c r="H932" s="2" t="s">
        <v>18</v>
      </c>
      <c r="I932" s="2" t="s">
        <v>43</v>
      </c>
      <c r="J932" s="2" t="s">
        <v>3399</v>
      </c>
      <c r="K932" s="2">
        <v>4</v>
      </c>
      <c r="L932" s="2" t="s">
        <v>37</v>
      </c>
      <c r="M932" s="2" t="s">
        <v>38</v>
      </c>
      <c r="N932" s="2">
        <v>912.08</v>
      </c>
    </row>
    <row r="933" spans="1:14" ht="15" x14ac:dyDescent="0.25">
      <c r="A933" s="2" t="s">
        <v>3400</v>
      </c>
      <c r="B933" s="3">
        <v>45292</v>
      </c>
      <c r="C933" s="2" t="s">
        <v>3401</v>
      </c>
      <c r="D933" s="2" t="s">
        <v>48</v>
      </c>
      <c r="E933" s="2">
        <v>2</v>
      </c>
      <c r="F933" s="2">
        <v>40.229999999999997</v>
      </c>
      <c r="G933" s="2" t="s">
        <v>253</v>
      </c>
      <c r="H933" s="2" t="s">
        <v>34</v>
      </c>
      <c r="I933" s="2" t="s">
        <v>35</v>
      </c>
      <c r="J933" s="2" t="s">
        <v>3402</v>
      </c>
      <c r="K933" s="2">
        <v>4</v>
      </c>
      <c r="L933" s="2" t="s">
        <v>21</v>
      </c>
      <c r="M933" s="2" t="s">
        <v>76</v>
      </c>
      <c r="N933" s="2">
        <v>80.459999999999994</v>
      </c>
    </row>
    <row r="934" spans="1:14" ht="15" x14ac:dyDescent="0.25">
      <c r="A934" s="2" t="s">
        <v>3403</v>
      </c>
      <c r="B934" s="3">
        <v>45011</v>
      </c>
      <c r="C934" s="2" t="s">
        <v>3404</v>
      </c>
      <c r="D934" s="2" t="s">
        <v>58</v>
      </c>
      <c r="E934" s="2">
        <v>2</v>
      </c>
      <c r="F934" s="2">
        <v>72.39</v>
      </c>
      <c r="G934" s="2" t="s">
        <v>3405</v>
      </c>
      <c r="H934" s="2" t="s">
        <v>27</v>
      </c>
      <c r="I934" s="2" t="s">
        <v>50</v>
      </c>
      <c r="J934" s="2" t="s">
        <v>3406</v>
      </c>
      <c r="K934" s="2">
        <v>7</v>
      </c>
      <c r="L934" s="2" t="s">
        <v>81</v>
      </c>
      <c r="M934" s="2" t="s">
        <v>22</v>
      </c>
      <c r="N934" s="2">
        <v>144.78</v>
      </c>
    </row>
    <row r="935" spans="1:14" ht="15" x14ac:dyDescent="0.25">
      <c r="A935" s="2" t="s">
        <v>3407</v>
      </c>
      <c r="B935" s="3">
        <v>44952</v>
      </c>
      <c r="C935" s="2" t="s">
        <v>3408</v>
      </c>
      <c r="D935" s="2" t="s">
        <v>16</v>
      </c>
      <c r="E935" s="2">
        <v>2</v>
      </c>
      <c r="F935" s="2">
        <v>394.16</v>
      </c>
      <c r="G935" s="2" t="s">
        <v>968</v>
      </c>
      <c r="H935" s="2" t="s">
        <v>27</v>
      </c>
      <c r="I935" s="2" t="s">
        <v>19</v>
      </c>
      <c r="J935" s="2" t="s">
        <v>3409</v>
      </c>
      <c r="K935" s="2">
        <v>2</v>
      </c>
      <c r="M935" s="2" t="s">
        <v>29</v>
      </c>
      <c r="N935" s="2">
        <v>788.32</v>
      </c>
    </row>
    <row r="936" spans="1:14" ht="15" x14ac:dyDescent="0.25">
      <c r="A936" s="2" t="s">
        <v>3410</v>
      </c>
      <c r="B936" s="3">
        <v>45809</v>
      </c>
      <c r="C936" s="2" t="s">
        <v>3411</v>
      </c>
      <c r="D936" s="2" t="s">
        <v>58</v>
      </c>
      <c r="E936" s="2">
        <v>4</v>
      </c>
      <c r="F936" s="2">
        <v>119.84</v>
      </c>
      <c r="G936" s="2" t="s">
        <v>910</v>
      </c>
      <c r="H936" s="2" t="s">
        <v>60</v>
      </c>
      <c r="I936" s="2" t="s">
        <v>19</v>
      </c>
      <c r="J936" s="2" t="s">
        <v>3412</v>
      </c>
      <c r="K936" s="2">
        <v>8</v>
      </c>
      <c r="L936" s="2" t="s">
        <v>37</v>
      </c>
      <c r="M936" s="2" t="s">
        <v>29</v>
      </c>
      <c r="N936" s="2">
        <v>479.36</v>
      </c>
    </row>
    <row r="937" spans="1:14" ht="15" x14ac:dyDescent="0.25">
      <c r="A937" s="2" t="s">
        <v>3413</v>
      </c>
      <c r="B937" s="3">
        <v>45254</v>
      </c>
      <c r="C937" s="2" t="s">
        <v>3414</v>
      </c>
      <c r="D937" s="2" t="s">
        <v>25</v>
      </c>
      <c r="E937" s="2">
        <v>3</v>
      </c>
      <c r="F937" s="2">
        <v>692.71</v>
      </c>
      <c r="G937" s="2" t="s">
        <v>1340</v>
      </c>
      <c r="H937" s="2" t="s">
        <v>34</v>
      </c>
      <c r="I937" s="2" t="s">
        <v>50</v>
      </c>
      <c r="J937" s="2" t="s">
        <v>3415</v>
      </c>
      <c r="K937" s="2">
        <v>3</v>
      </c>
      <c r="L937" s="2" t="s">
        <v>37</v>
      </c>
      <c r="M937" s="2" t="s">
        <v>22</v>
      </c>
      <c r="N937" s="2">
        <v>2078.13</v>
      </c>
    </row>
    <row r="938" spans="1:14" ht="15" x14ac:dyDescent="0.25">
      <c r="A938" s="2" t="s">
        <v>3416</v>
      </c>
      <c r="B938" s="3">
        <v>45303</v>
      </c>
      <c r="C938" s="2" t="s">
        <v>3417</v>
      </c>
      <c r="D938" s="2" t="s">
        <v>41</v>
      </c>
      <c r="E938" s="2">
        <v>4</v>
      </c>
      <c r="F938" s="2">
        <v>56.66</v>
      </c>
      <c r="G938" s="2" t="s">
        <v>659</v>
      </c>
      <c r="H938" s="2" t="s">
        <v>27</v>
      </c>
      <c r="I938" s="2" t="s">
        <v>50</v>
      </c>
      <c r="J938" s="2" t="s">
        <v>3418</v>
      </c>
      <c r="K938" s="2">
        <v>4</v>
      </c>
      <c r="L938" s="2" t="s">
        <v>21</v>
      </c>
      <c r="M938" s="2" t="s">
        <v>22</v>
      </c>
      <c r="N938" s="2">
        <v>226.64</v>
      </c>
    </row>
    <row r="939" spans="1:14" ht="15" x14ac:dyDescent="0.25">
      <c r="A939" s="2" t="s">
        <v>3419</v>
      </c>
      <c r="B939" s="3">
        <v>45307</v>
      </c>
      <c r="C939" s="2" t="s">
        <v>3420</v>
      </c>
      <c r="D939" s="2" t="s">
        <v>41</v>
      </c>
      <c r="E939" s="2">
        <v>2</v>
      </c>
      <c r="F939" s="2">
        <v>298.52999999999997</v>
      </c>
      <c r="G939" s="2" t="s">
        <v>1590</v>
      </c>
      <c r="H939" s="2" t="s">
        <v>18</v>
      </c>
      <c r="I939" s="2" t="s">
        <v>35</v>
      </c>
      <c r="J939" s="2" t="s">
        <v>3421</v>
      </c>
      <c r="K939" s="2">
        <v>5</v>
      </c>
      <c r="L939" s="2" t="s">
        <v>81</v>
      </c>
      <c r="M939" s="2" t="s">
        <v>38</v>
      </c>
      <c r="N939" s="2">
        <v>597.05999999999995</v>
      </c>
    </row>
    <row r="940" spans="1:14" ht="15" x14ac:dyDescent="0.25">
      <c r="A940" s="2" t="s">
        <v>3422</v>
      </c>
      <c r="B940" s="3">
        <v>45119</v>
      </c>
      <c r="C940" s="2" t="s">
        <v>3423</v>
      </c>
      <c r="D940" s="2" t="s">
        <v>41</v>
      </c>
      <c r="E940" s="2">
        <v>3</v>
      </c>
      <c r="F940" s="2">
        <v>331.46</v>
      </c>
      <c r="G940" s="2" t="s">
        <v>1945</v>
      </c>
      <c r="H940" s="2" t="s">
        <v>34</v>
      </c>
      <c r="I940" s="2" t="s">
        <v>35</v>
      </c>
      <c r="J940" s="2" t="s">
        <v>3424</v>
      </c>
      <c r="K940" s="2">
        <v>6</v>
      </c>
      <c r="L940" s="2" t="s">
        <v>81</v>
      </c>
      <c r="M940" s="2" t="s">
        <v>29</v>
      </c>
      <c r="N940" s="2">
        <v>994.37999999999988</v>
      </c>
    </row>
    <row r="941" spans="1:14" ht="15" x14ac:dyDescent="0.25">
      <c r="A941" s="2" t="s">
        <v>3425</v>
      </c>
      <c r="B941" s="3">
        <v>45763</v>
      </c>
      <c r="C941" s="2" t="s">
        <v>3426</v>
      </c>
      <c r="D941" s="2" t="s">
        <v>58</v>
      </c>
      <c r="E941" s="2">
        <v>2</v>
      </c>
      <c r="F941" s="2">
        <v>521.4</v>
      </c>
      <c r="G941" s="2" t="s">
        <v>3427</v>
      </c>
      <c r="H941" s="2" t="s">
        <v>65</v>
      </c>
      <c r="I941" s="2" t="s">
        <v>50</v>
      </c>
      <c r="J941" s="2" t="s">
        <v>3428</v>
      </c>
      <c r="K941" s="2">
        <v>7</v>
      </c>
      <c r="L941" s="2" t="s">
        <v>21</v>
      </c>
      <c r="M941" s="2" t="s">
        <v>22</v>
      </c>
      <c r="N941" s="2">
        <v>1042.8</v>
      </c>
    </row>
    <row r="942" spans="1:14" ht="15" x14ac:dyDescent="0.25">
      <c r="A942" s="2" t="s">
        <v>3429</v>
      </c>
      <c r="B942" s="3">
        <v>45012</v>
      </c>
      <c r="C942" s="2" t="s">
        <v>3430</v>
      </c>
      <c r="D942" s="2" t="s">
        <v>48</v>
      </c>
      <c r="E942" s="2">
        <v>4</v>
      </c>
      <c r="F942" s="2">
        <v>305.32</v>
      </c>
      <c r="G942" s="2" t="s">
        <v>3431</v>
      </c>
      <c r="H942" s="2" t="s">
        <v>27</v>
      </c>
      <c r="I942" s="2" t="s">
        <v>35</v>
      </c>
      <c r="J942" s="2" t="s">
        <v>3432</v>
      </c>
      <c r="K942" s="2">
        <v>4</v>
      </c>
      <c r="L942" s="2" t="s">
        <v>21</v>
      </c>
      <c r="M942" s="2" t="s">
        <v>76</v>
      </c>
      <c r="N942" s="2">
        <v>1221.28</v>
      </c>
    </row>
    <row r="943" spans="1:14" ht="15" x14ac:dyDescent="0.25">
      <c r="A943" s="2" t="s">
        <v>3433</v>
      </c>
      <c r="B943" s="3">
        <v>45124</v>
      </c>
      <c r="C943" s="2" t="s">
        <v>1700</v>
      </c>
      <c r="D943" s="2" t="s">
        <v>48</v>
      </c>
      <c r="E943" s="2">
        <v>5</v>
      </c>
      <c r="F943" s="2">
        <v>111.7</v>
      </c>
      <c r="G943" s="2" t="s">
        <v>1332</v>
      </c>
      <c r="H943" s="2" t="s">
        <v>34</v>
      </c>
      <c r="I943" s="2" t="s">
        <v>35</v>
      </c>
      <c r="J943" s="2" t="s">
        <v>3434</v>
      </c>
      <c r="K943" s="2">
        <v>9</v>
      </c>
      <c r="L943" s="2" t="s">
        <v>37</v>
      </c>
      <c r="M943" s="2" t="s">
        <v>38</v>
      </c>
      <c r="N943" s="2">
        <v>558.5</v>
      </c>
    </row>
    <row r="944" spans="1:14" ht="15" x14ac:dyDescent="0.25">
      <c r="A944" s="2" t="s">
        <v>3435</v>
      </c>
      <c r="B944" s="3">
        <v>45198</v>
      </c>
      <c r="C944" s="2" t="s">
        <v>3436</v>
      </c>
      <c r="D944" s="2" t="s">
        <v>32</v>
      </c>
      <c r="E944" s="2">
        <v>1</v>
      </c>
      <c r="F944" s="2">
        <v>479.76</v>
      </c>
      <c r="G944" s="2" t="s">
        <v>884</v>
      </c>
      <c r="H944" s="2" t="s">
        <v>34</v>
      </c>
      <c r="I944" s="2" t="s">
        <v>89</v>
      </c>
      <c r="J944" s="2" t="s">
        <v>3437</v>
      </c>
      <c r="K944" s="2">
        <v>1</v>
      </c>
      <c r="M944" s="2" t="s">
        <v>38</v>
      </c>
      <c r="N944" s="2">
        <v>479.76</v>
      </c>
    </row>
    <row r="945" spans="1:14" ht="15" x14ac:dyDescent="0.25">
      <c r="A945" s="2" t="s">
        <v>3438</v>
      </c>
      <c r="B945" s="3">
        <v>45287</v>
      </c>
      <c r="C945" s="2" t="s">
        <v>3439</v>
      </c>
      <c r="D945" s="2" t="s">
        <v>16</v>
      </c>
      <c r="E945" s="2">
        <v>3</v>
      </c>
      <c r="F945" s="2">
        <v>193.49</v>
      </c>
      <c r="G945" s="2" t="s">
        <v>3440</v>
      </c>
      <c r="H945" s="2" t="s">
        <v>60</v>
      </c>
      <c r="I945" s="2" t="s">
        <v>43</v>
      </c>
      <c r="J945" s="2" t="s">
        <v>3441</v>
      </c>
      <c r="K945" s="2">
        <v>6</v>
      </c>
      <c r="L945" s="2" t="s">
        <v>37</v>
      </c>
      <c r="M945" s="2" t="s">
        <v>45</v>
      </c>
      <c r="N945" s="2">
        <v>580.47</v>
      </c>
    </row>
    <row r="946" spans="1:14" ht="15" x14ac:dyDescent="0.25">
      <c r="A946" s="2" t="s">
        <v>3442</v>
      </c>
      <c r="B946" s="3">
        <v>45642</v>
      </c>
      <c r="C946" s="2" t="s">
        <v>3443</v>
      </c>
      <c r="D946" s="2" t="s">
        <v>58</v>
      </c>
      <c r="E946" s="2">
        <v>2</v>
      </c>
      <c r="F946" s="2">
        <v>426.22</v>
      </c>
      <c r="G946" s="2" t="s">
        <v>3210</v>
      </c>
      <c r="H946" s="2" t="s">
        <v>27</v>
      </c>
      <c r="I946" s="2" t="s">
        <v>50</v>
      </c>
      <c r="J946" s="2" t="s">
        <v>3444</v>
      </c>
      <c r="K946" s="2">
        <v>7</v>
      </c>
      <c r="L946" s="2" t="s">
        <v>81</v>
      </c>
      <c r="M946" s="2" t="s">
        <v>76</v>
      </c>
      <c r="N946" s="2">
        <v>852.44</v>
      </c>
    </row>
    <row r="947" spans="1:14" ht="15" x14ac:dyDescent="0.25">
      <c r="A947" s="2" t="s">
        <v>3445</v>
      </c>
      <c r="B947" s="3">
        <v>45158</v>
      </c>
      <c r="C947" s="2" t="s">
        <v>3446</v>
      </c>
      <c r="D947" s="2" t="s">
        <v>32</v>
      </c>
      <c r="E947" s="2">
        <v>5</v>
      </c>
      <c r="F947" s="2">
        <v>276.44</v>
      </c>
      <c r="G947" s="2" t="s">
        <v>1352</v>
      </c>
      <c r="H947" s="2" t="s">
        <v>60</v>
      </c>
      <c r="I947" s="2" t="s">
        <v>19</v>
      </c>
      <c r="J947" s="2" t="s">
        <v>3447</v>
      </c>
      <c r="K947" s="2">
        <v>10</v>
      </c>
      <c r="L947" s="2" t="s">
        <v>37</v>
      </c>
      <c r="M947" s="2" t="s">
        <v>29</v>
      </c>
      <c r="N947" s="2">
        <v>1382.2</v>
      </c>
    </row>
    <row r="948" spans="1:14" ht="15" x14ac:dyDescent="0.25">
      <c r="A948" s="2" t="s">
        <v>3448</v>
      </c>
      <c r="B948" s="3">
        <v>45416</v>
      </c>
      <c r="C948" s="2" t="s">
        <v>3449</v>
      </c>
      <c r="D948" s="2" t="s">
        <v>25</v>
      </c>
      <c r="E948" s="2">
        <v>2</v>
      </c>
      <c r="F948" s="2">
        <v>404.96</v>
      </c>
      <c r="G948" s="2" t="s">
        <v>1299</v>
      </c>
      <c r="H948" s="2" t="s">
        <v>65</v>
      </c>
      <c r="I948" s="2" t="s">
        <v>19</v>
      </c>
      <c r="J948" s="2" t="s">
        <v>3450</v>
      </c>
      <c r="K948" s="2">
        <v>4</v>
      </c>
      <c r="L948" s="2" t="s">
        <v>21</v>
      </c>
      <c r="M948" s="2" t="s">
        <v>38</v>
      </c>
      <c r="N948" s="2">
        <v>809.92</v>
      </c>
    </row>
    <row r="949" spans="1:14" ht="15" x14ac:dyDescent="0.25">
      <c r="A949" s="2" t="s">
        <v>3451</v>
      </c>
      <c r="B949" s="3">
        <v>45176</v>
      </c>
      <c r="C949" s="2" t="s">
        <v>3452</v>
      </c>
      <c r="D949" s="2" t="s">
        <v>25</v>
      </c>
      <c r="E949" s="2">
        <v>4</v>
      </c>
      <c r="F949" s="2">
        <v>465.66</v>
      </c>
      <c r="G949" s="2" t="s">
        <v>1089</v>
      </c>
      <c r="H949" s="2" t="s">
        <v>27</v>
      </c>
      <c r="I949" s="2" t="s">
        <v>43</v>
      </c>
      <c r="J949" s="2" t="s">
        <v>3453</v>
      </c>
      <c r="K949" s="2">
        <v>9</v>
      </c>
      <c r="L949" s="2" t="s">
        <v>37</v>
      </c>
      <c r="M949" s="2" t="s">
        <v>38</v>
      </c>
      <c r="N949" s="2">
        <v>1862.64</v>
      </c>
    </row>
    <row r="950" spans="1:14" ht="15" x14ac:dyDescent="0.25">
      <c r="A950" s="2" t="s">
        <v>3454</v>
      </c>
      <c r="B950" s="3">
        <v>45464</v>
      </c>
      <c r="C950" s="2" t="s">
        <v>1722</v>
      </c>
      <c r="D950" s="2" t="s">
        <v>25</v>
      </c>
      <c r="E950" s="2">
        <v>2</v>
      </c>
      <c r="F950" s="2">
        <v>594.07000000000005</v>
      </c>
      <c r="G950" s="2" t="s">
        <v>1794</v>
      </c>
      <c r="H950" s="2" t="s">
        <v>60</v>
      </c>
      <c r="I950" s="2" t="s">
        <v>35</v>
      </c>
      <c r="J950" s="2" t="s">
        <v>3455</v>
      </c>
      <c r="K950" s="2">
        <v>2</v>
      </c>
      <c r="M950" s="2" t="s">
        <v>76</v>
      </c>
      <c r="N950" s="2">
        <v>1188.1400000000001</v>
      </c>
    </row>
    <row r="951" spans="1:14" ht="15" x14ac:dyDescent="0.25">
      <c r="A951" s="2" t="s">
        <v>3456</v>
      </c>
      <c r="B951" s="3">
        <v>45239</v>
      </c>
      <c r="C951" s="2" t="s">
        <v>3457</v>
      </c>
      <c r="D951" s="2" t="s">
        <v>73</v>
      </c>
      <c r="E951" s="2">
        <v>5</v>
      </c>
      <c r="F951" s="2">
        <v>110.38</v>
      </c>
      <c r="G951" s="2" t="s">
        <v>1560</v>
      </c>
      <c r="H951" s="2" t="s">
        <v>65</v>
      </c>
      <c r="I951" s="2" t="s">
        <v>89</v>
      </c>
      <c r="J951" s="2" t="s">
        <v>3458</v>
      </c>
      <c r="K951" s="2">
        <v>10</v>
      </c>
      <c r="M951" s="2" t="s">
        <v>29</v>
      </c>
      <c r="N951" s="2">
        <v>551.9</v>
      </c>
    </row>
    <row r="952" spans="1:14" ht="15" x14ac:dyDescent="0.25">
      <c r="A952" s="2" t="s">
        <v>3459</v>
      </c>
      <c r="B952" s="3">
        <v>45443</v>
      </c>
      <c r="C952" s="2" t="s">
        <v>3460</v>
      </c>
      <c r="D952" s="2" t="s">
        <v>58</v>
      </c>
      <c r="E952" s="2">
        <v>1</v>
      </c>
      <c r="F952" s="2">
        <v>596.24</v>
      </c>
      <c r="G952" s="2" t="s">
        <v>113</v>
      </c>
      <c r="H952" s="2" t="s">
        <v>34</v>
      </c>
      <c r="I952" s="2" t="s">
        <v>43</v>
      </c>
      <c r="J952" s="2" t="s">
        <v>3461</v>
      </c>
      <c r="K952" s="2">
        <v>4</v>
      </c>
      <c r="L952" s="2" t="s">
        <v>37</v>
      </c>
      <c r="M952" s="2" t="s">
        <v>22</v>
      </c>
      <c r="N952" s="2">
        <v>596.24</v>
      </c>
    </row>
    <row r="953" spans="1:14" ht="15" x14ac:dyDescent="0.25">
      <c r="A953" s="2" t="s">
        <v>3462</v>
      </c>
      <c r="B953" s="3">
        <v>45495</v>
      </c>
      <c r="C953" s="2" t="s">
        <v>3463</v>
      </c>
      <c r="D953" s="2" t="s">
        <v>48</v>
      </c>
      <c r="E953" s="2">
        <v>2</v>
      </c>
      <c r="F953" s="2">
        <v>306.24</v>
      </c>
      <c r="G953" s="2" t="s">
        <v>1066</v>
      </c>
      <c r="H953" s="2" t="s">
        <v>27</v>
      </c>
      <c r="I953" s="2" t="s">
        <v>43</v>
      </c>
      <c r="J953" s="2" t="s">
        <v>3464</v>
      </c>
      <c r="K953" s="2">
        <v>4</v>
      </c>
      <c r="L953" s="2" t="s">
        <v>37</v>
      </c>
      <c r="M953" s="2" t="s">
        <v>38</v>
      </c>
      <c r="N953" s="2">
        <v>612.48</v>
      </c>
    </row>
    <row r="954" spans="1:14" ht="15" x14ac:dyDescent="0.25">
      <c r="A954" s="2" t="s">
        <v>3465</v>
      </c>
      <c r="B954" s="3">
        <v>45715</v>
      </c>
      <c r="C954" s="2" t="s">
        <v>3466</v>
      </c>
      <c r="D954" s="2" t="s">
        <v>16</v>
      </c>
      <c r="E954" s="2">
        <v>3</v>
      </c>
      <c r="F954" s="2">
        <v>503.39</v>
      </c>
      <c r="G954" s="2" t="s">
        <v>3467</v>
      </c>
      <c r="H954" s="2" t="s">
        <v>27</v>
      </c>
      <c r="I954" s="2" t="s">
        <v>89</v>
      </c>
      <c r="J954" s="2" t="s">
        <v>3468</v>
      </c>
      <c r="K954" s="2">
        <v>5</v>
      </c>
      <c r="M954" s="2" t="s">
        <v>45</v>
      </c>
      <c r="N954" s="2">
        <v>1510.17</v>
      </c>
    </row>
    <row r="955" spans="1:14" ht="15" x14ac:dyDescent="0.25">
      <c r="A955" s="2" t="s">
        <v>3469</v>
      </c>
      <c r="B955" s="3">
        <v>44963</v>
      </c>
      <c r="C955" s="2" t="s">
        <v>3470</v>
      </c>
      <c r="D955" s="2" t="s">
        <v>25</v>
      </c>
      <c r="E955" s="2">
        <v>1</v>
      </c>
      <c r="F955" s="2">
        <v>131.61000000000001</v>
      </c>
      <c r="G955" s="2" t="s">
        <v>363</v>
      </c>
      <c r="H955" s="2" t="s">
        <v>65</v>
      </c>
      <c r="I955" s="2" t="s">
        <v>19</v>
      </c>
      <c r="J955" s="2" t="s">
        <v>3471</v>
      </c>
      <c r="K955" s="2">
        <v>2</v>
      </c>
      <c r="L955" s="2" t="s">
        <v>37</v>
      </c>
      <c r="M955" s="2" t="s">
        <v>45</v>
      </c>
      <c r="N955" s="2">
        <v>131.61000000000001</v>
      </c>
    </row>
    <row r="956" spans="1:14" ht="15" x14ac:dyDescent="0.25">
      <c r="A956" s="2" t="s">
        <v>3472</v>
      </c>
      <c r="B956" s="3">
        <v>45587</v>
      </c>
      <c r="C956" s="2" t="s">
        <v>3473</v>
      </c>
      <c r="D956" s="2" t="s">
        <v>41</v>
      </c>
      <c r="E956" s="2">
        <v>3</v>
      </c>
      <c r="F956" s="2">
        <v>443.44</v>
      </c>
      <c r="G956" s="2" t="s">
        <v>667</v>
      </c>
      <c r="H956" s="2" t="s">
        <v>60</v>
      </c>
      <c r="I956" s="2" t="s">
        <v>19</v>
      </c>
      <c r="J956" s="2" t="s">
        <v>3474</v>
      </c>
      <c r="K956" s="2">
        <v>3</v>
      </c>
      <c r="L956" s="2" t="s">
        <v>37</v>
      </c>
      <c r="M956" s="2" t="s">
        <v>76</v>
      </c>
      <c r="N956" s="2">
        <v>1330.32</v>
      </c>
    </row>
    <row r="957" spans="1:14" ht="15" x14ac:dyDescent="0.25">
      <c r="A957" s="2" t="s">
        <v>3475</v>
      </c>
      <c r="B957" s="3">
        <v>44949</v>
      </c>
      <c r="C957" s="2" t="s">
        <v>3476</v>
      </c>
      <c r="D957" s="2" t="s">
        <v>41</v>
      </c>
      <c r="E957" s="2">
        <v>1</v>
      </c>
      <c r="F957" s="2">
        <v>408.13</v>
      </c>
      <c r="G957" s="2" t="s">
        <v>992</v>
      </c>
      <c r="H957" s="2" t="s">
        <v>60</v>
      </c>
      <c r="I957" s="2" t="s">
        <v>19</v>
      </c>
      <c r="J957" s="2" t="s">
        <v>3477</v>
      </c>
      <c r="K957" s="2">
        <v>3</v>
      </c>
      <c r="L957" s="2" t="s">
        <v>81</v>
      </c>
      <c r="M957" s="2" t="s">
        <v>22</v>
      </c>
      <c r="N957" s="2">
        <v>408.13</v>
      </c>
    </row>
    <row r="958" spans="1:14" ht="15" x14ac:dyDescent="0.25">
      <c r="A958" s="2" t="s">
        <v>3478</v>
      </c>
      <c r="B958" s="3">
        <v>45393</v>
      </c>
      <c r="C958" s="2" t="s">
        <v>2899</v>
      </c>
      <c r="D958" s="2" t="s">
        <v>25</v>
      </c>
      <c r="E958" s="2">
        <v>2</v>
      </c>
      <c r="F958" s="2">
        <v>160.97999999999999</v>
      </c>
      <c r="G958" s="2" t="s">
        <v>3479</v>
      </c>
      <c r="H958" s="2" t="s">
        <v>18</v>
      </c>
      <c r="I958" s="2" t="s">
        <v>50</v>
      </c>
      <c r="J958" s="2" t="s">
        <v>3480</v>
      </c>
      <c r="K958" s="2">
        <v>3</v>
      </c>
      <c r="L958" s="2" t="s">
        <v>21</v>
      </c>
      <c r="M958" s="2" t="s">
        <v>29</v>
      </c>
      <c r="N958" s="2">
        <v>321.95999999999998</v>
      </c>
    </row>
    <row r="959" spans="1:14" ht="15" x14ac:dyDescent="0.25">
      <c r="A959" s="2" t="s">
        <v>3481</v>
      </c>
      <c r="B959" s="3">
        <v>44938</v>
      </c>
      <c r="C959" s="2" t="s">
        <v>3482</v>
      </c>
      <c r="D959" s="2" t="s">
        <v>16</v>
      </c>
      <c r="E959" s="2">
        <v>5</v>
      </c>
      <c r="F959" s="2">
        <v>643.89</v>
      </c>
      <c r="G959" s="2" t="s">
        <v>3483</v>
      </c>
      <c r="H959" s="2" t="s">
        <v>65</v>
      </c>
      <c r="I959" s="2" t="s">
        <v>43</v>
      </c>
      <c r="J959" s="2" t="s">
        <v>3484</v>
      </c>
      <c r="K959" s="2">
        <v>8</v>
      </c>
      <c r="L959" s="2" t="s">
        <v>81</v>
      </c>
      <c r="M959" s="2" t="s">
        <v>45</v>
      </c>
      <c r="N959" s="2">
        <v>3219.45</v>
      </c>
    </row>
    <row r="960" spans="1:14" ht="15" x14ac:dyDescent="0.25">
      <c r="A960" s="2" t="s">
        <v>3485</v>
      </c>
      <c r="B960" s="3">
        <v>45059</v>
      </c>
      <c r="C960" s="2" t="s">
        <v>3486</v>
      </c>
      <c r="D960" s="2" t="s">
        <v>73</v>
      </c>
      <c r="E960" s="2">
        <v>3</v>
      </c>
      <c r="F960" s="2">
        <v>158.66</v>
      </c>
      <c r="G960" s="2" t="s">
        <v>1151</v>
      </c>
      <c r="H960" s="2" t="s">
        <v>60</v>
      </c>
      <c r="I960" s="2" t="s">
        <v>50</v>
      </c>
      <c r="J960" s="2" t="s">
        <v>3487</v>
      </c>
      <c r="K960" s="2">
        <v>7</v>
      </c>
      <c r="L960" s="2" t="s">
        <v>81</v>
      </c>
      <c r="M960" s="2" t="s">
        <v>38</v>
      </c>
      <c r="N960" s="2">
        <v>475.98</v>
      </c>
    </row>
    <row r="961" spans="1:14" ht="15" x14ac:dyDescent="0.25">
      <c r="A961" s="2" t="s">
        <v>3488</v>
      </c>
      <c r="B961" s="3">
        <v>45395</v>
      </c>
      <c r="C961" s="2" t="s">
        <v>3489</v>
      </c>
      <c r="D961" s="2" t="s">
        <v>32</v>
      </c>
      <c r="E961" s="2">
        <v>2</v>
      </c>
      <c r="F961" s="2">
        <v>143.82</v>
      </c>
      <c r="G961" s="2" t="s">
        <v>1190</v>
      </c>
      <c r="H961" s="2" t="s">
        <v>34</v>
      </c>
      <c r="I961" s="2" t="s">
        <v>43</v>
      </c>
      <c r="J961" s="2" t="s">
        <v>3490</v>
      </c>
      <c r="K961" s="2">
        <v>6</v>
      </c>
      <c r="L961" s="2" t="s">
        <v>21</v>
      </c>
      <c r="M961" s="2" t="s">
        <v>22</v>
      </c>
      <c r="N961" s="2">
        <v>287.64</v>
      </c>
    </row>
    <row r="962" spans="1:14" ht="15" x14ac:dyDescent="0.25">
      <c r="A962" s="2" t="s">
        <v>3491</v>
      </c>
      <c r="B962" s="3">
        <v>45271</v>
      </c>
      <c r="C962" s="2" t="s">
        <v>3492</v>
      </c>
      <c r="D962" s="2" t="s">
        <v>58</v>
      </c>
      <c r="E962" s="2">
        <v>3</v>
      </c>
      <c r="F962" s="2">
        <v>379.07</v>
      </c>
      <c r="G962" s="2" t="s">
        <v>1431</v>
      </c>
      <c r="H962" s="2" t="s">
        <v>60</v>
      </c>
      <c r="I962" s="2" t="s">
        <v>89</v>
      </c>
      <c r="J962" s="2" t="s">
        <v>3493</v>
      </c>
      <c r="K962" s="2">
        <v>3</v>
      </c>
      <c r="L962" s="2" t="s">
        <v>81</v>
      </c>
      <c r="M962" s="2" t="s">
        <v>76</v>
      </c>
      <c r="N962" s="2">
        <v>1137.21</v>
      </c>
    </row>
    <row r="963" spans="1:14" ht="15" x14ac:dyDescent="0.25">
      <c r="A963" s="2" t="s">
        <v>3494</v>
      </c>
      <c r="B963" s="3">
        <v>45607</v>
      </c>
      <c r="C963" s="2" t="s">
        <v>3495</v>
      </c>
      <c r="D963" s="2" t="s">
        <v>25</v>
      </c>
      <c r="E963" s="2">
        <v>1</v>
      </c>
      <c r="F963" s="2">
        <v>601.36</v>
      </c>
      <c r="G963" s="2" t="s">
        <v>1306</v>
      </c>
      <c r="H963" s="2" t="s">
        <v>27</v>
      </c>
      <c r="I963" s="2" t="s">
        <v>19</v>
      </c>
      <c r="J963" s="2" t="s">
        <v>3496</v>
      </c>
      <c r="K963" s="2">
        <v>1</v>
      </c>
      <c r="M963" s="2" t="s">
        <v>45</v>
      </c>
      <c r="N963" s="2">
        <v>601.36</v>
      </c>
    </row>
    <row r="964" spans="1:14" ht="15" x14ac:dyDescent="0.25">
      <c r="A964" s="2" t="s">
        <v>3497</v>
      </c>
      <c r="B964" s="3">
        <v>45541</v>
      </c>
      <c r="C964" s="2" t="s">
        <v>3498</v>
      </c>
      <c r="D964" s="2" t="s">
        <v>25</v>
      </c>
      <c r="E964" s="2">
        <v>2</v>
      </c>
      <c r="F964" s="2">
        <v>142.08000000000001</v>
      </c>
      <c r="G964" s="2" t="s">
        <v>984</v>
      </c>
      <c r="H964" s="2" t="s">
        <v>60</v>
      </c>
      <c r="I964" s="2" t="s">
        <v>50</v>
      </c>
      <c r="J964" s="2" t="s">
        <v>3499</v>
      </c>
      <c r="K964" s="2">
        <v>4</v>
      </c>
      <c r="L964" s="2" t="s">
        <v>21</v>
      </c>
      <c r="M964" s="2" t="s">
        <v>29</v>
      </c>
      <c r="N964" s="2">
        <v>284.16000000000003</v>
      </c>
    </row>
    <row r="965" spans="1:14" ht="15" x14ac:dyDescent="0.25">
      <c r="A965" s="2" t="s">
        <v>3500</v>
      </c>
      <c r="B965" s="3">
        <v>45362</v>
      </c>
      <c r="C965" s="2" t="s">
        <v>3501</v>
      </c>
      <c r="D965" s="2" t="s">
        <v>41</v>
      </c>
      <c r="E965" s="2">
        <v>5</v>
      </c>
      <c r="F965" s="2">
        <v>530.34</v>
      </c>
      <c r="G965" s="2" t="s">
        <v>743</v>
      </c>
      <c r="H965" s="2" t="s">
        <v>27</v>
      </c>
      <c r="I965" s="2" t="s">
        <v>19</v>
      </c>
      <c r="J965" s="2" t="s">
        <v>3502</v>
      </c>
      <c r="K965" s="2">
        <v>9</v>
      </c>
      <c r="L965" s="2" t="s">
        <v>37</v>
      </c>
      <c r="M965" s="2" t="s">
        <v>76</v>
      </c>
      <c r="N965" s="2">
        <v>2651.7</v>
      </c>
    </row>
    <row r="966" spans="1:14" ht="15" x14ac:dyDescent="0.25">
      <c r="A966" s="2" t="s">
        <v>3503</v>
      </c>
      <c r="B966" s="3">
        <v>45158</v>
      </c>
      <c r="C966" s="2" t="s">
        <v>3504</v>
      </c>
      <c r="D966" s="2" t="s">
        <v>25</v>
      </c>
      <c r="E966" s="2">
        <v>5</v>
      </c>
      <c r="F966" s="2">
        <v>364.42</v>
      </c>
      <c r="G966" s="2" t="s">
        <v>1549</v>
      </c>
      <c r="H966" s="2" t="s">
        <v>34</v>
      </c>
      <c r="I966" s="2" t="s">
        <v>35</v>
      </c>
      <c r="J966" s="2" t="s">
        <v>3505</v>
      </c>
      <c r="K966" s="2">
        <v>10</v>
      </c>
      <c r="L966" s="2" t="s">
        <v>21</v>
      </c>
      <c r="M966" s="2" t="s">
        <v>29</v>
      </c>
      <c r="N966" s="2">
        <v>1822.1</v>
      </c>
    </row>
    <row r="967" spans="1:14" ht="15" x14ac:dyDescent="0.25">
      <c r="A967" s="2" t="s">
        <v>3506</v>
      </c>
      <c r="B967" s="3">
        <v>45826</v>
      </c>
      <c r="C967" s="2" t="s">
        <v>3507</v>
      </c>
      <c r="D967" s="2" t="s">
        <v>58</v>
      </c>
      <c r="E967" s="2">
        <v>4</v>
      </c>
      <c r="F967" s="2">
        <v>578.28</v>
      </c>
      <c r="G967" s="2" t="s">
        <v>1085</v>
      </c>
      <c r="H967" s="2" t="s">
        <v>60</v>
      </c>
      <c r="I967" s="2" t="s">
        <v>35</v>
      </c>
      <c r="J967" s="2" t="s">
        <v>3508</v>
      </c>
      <c r="K967" s="2">
        <v>5</v>
      </c>
      <c r="L967" s="2" t="s">
        <v>37</v>
      </c>
      <c r="M967" s="2" t="s">
        <v>38</v>
      </c>
      <c r="N967" s="2">
        <v>2313.12</v>
      </c>
    </row>
    <row r="968" spans="1:14" ht="15" x14ac:dyDescent="0.25">
      <c r="A968" s="2" t="s">
        <v>3509</v>
      </c>
      <c r="B968" s="3">
        <v>45797</v>
      </c>
      <c r="C968" s="2" t="s">
        <v>3510</v>
      </c>
      <c r="D968" s="2" t="s">
        <v>16</v>
      </c>
      <c r="E968" s="2">
        <v>5</v>
      </c>
      <c r="F968" s="2">
        <v>280.52</v>
      </c>
      <c r="G968" s="2" t="s">
        <v>3511</v>
      </c>
      <c r="H968" s="2" t="s">
        <v>34</v>
      </c>
      <c r="I968" s="2" t="s">
        <v>35</v>
      </c>
      <c r="J968" s="2" t="s">
        <v>3512</v>
      </c>
      <c r="K968" s="2">
        <v>7</v>
      </c>
      <c r="L968" s="2" t="s">
        <v>81</v>
      </c>
      <c r="M968" s="2" t="s">
        <v>45</v>
      </c>
      <c r="N968" s="2">
        <v>1402.6</v>
      </c>
    </row>
    <row r="969" spans="1:14" ht="15" x14ac:dyDescent="0.25">
      <c r="A969" s="2" t="s">
        <v>3513</v>
      </c>
      <c r="B969" s="3">
        <v>45783</v>
      </c>
      <c r="C969" s="2" t="s">
        <v>3514</v>
      </c>
      <c r="D969" s="2" t="s">
        <v>32</v>
      </c>
      <c r="E969" s="2">
        <v>5</v>
      </c>
      <c r="F969" s="2">
        <v>638.91999999999996</v>
      </c>
      <c r="G969" s="2" t="s">
        <v>3515</v>
      </c>
      <c r="H969" s="2" t="s">
        <v>34</v>
      </c>
      <c r="I969" s="2" t="s">
        <v>43</v>
      </c>
      <c r="J969" s="2" t="s">
        <v>3516</v>
      </c>
      <c r="K969" s="2">
        <v>5</v>
      </c>
      <c r="L969" s="2" t="s">
        <v>37</v>
      </c>
      <c r="M969" s="2" t="s">
        <v>76</v>
      </c>
      <c r="N969" s="2">
        <v>3194.6</v>
      </c>
    </row>
    <row r="970" spans="1:14" ht="15" x14ac:dyDescent="0.25">
      <c r="A970" s="2" t="s">
        <v>3517</v>
      </c>
      <c r="B970" s="3">
        <v>45330</v>
      </c>
      <c r="C970" s="2" t="s">
        <v>3518</v>
      </c>
      <c r="D970" s="2" t="s">
        <v>16</v>
      </c>
      <c r="E970" s="2">
        <v>4</v>
      </c>
      <c r="F970" s="2">
        <v>412.2</v>
      </c>
      <c r="G970" s="2" t="s">
        <v>3042</v>
      </c>
      <c r="H970" s="2" t="s">
        <v>34</v>
      </c>
      <c r="I970" s="2" t="s">
        <v>19</v>
      </c>
      <c r="J970" s="2" t="s">
        <v>3519</v>
      </c>
      <c r="K970" s="2">
        <v>6</v>
      </c>
      <c r="L970" s="2" t="s">
        <v>81</v>
      </c>
      <c r="M970" s="2" t="s">
        <v>29</v>
      </c>
      <c r="N970" s="2">
        <v>1648.8</v>
      </c>
    </row>
    <row r="971" spans="1:14" ht="15" x14ac:dyDescent="0.25">
      <c r="A971" s="2" t="s">
        <v>3520</v>
      </c>
      <c r="B971" s="3">
        <v>45813</v>
      </c>
      <c r="C971" s="2" t="s">
        <v>3521</v>
      </c>
      <c r="D971" s="2" t="s">
        <v>73</v>
      </c>
      <c r="E971" s="2">
        <v>1</v>
      </c>
      <c r="F971" s="2">
        <v>440.34</v>
      </c>
      <c r="G971" s="2" t="s">
        <v>3522</v>
      </c>
      <c r="H971" s="2" t="s">
        <v>60</v>
      </c>
      <c r="I971" s="2" t="s">
        <v>19</v>
      </c>
      <c r="J971" s="2" t="s">
        <v>3523</v>
      </c>
      <c r="K971" s="2">
        <v>2</v>
      </c>
      <c r="L971" s="2" t="s">
        <v>81</v>
      </c>
      <c r="M971" s="2" t="s">
        <v>45</v>
      </c>
      <c r="N971" s="2">
        <v>440.34</v>
      </c>
    </row>
    <row r="972" spans="1:14" ht="15" x14ac:dyDescent="0.25">
      <c r="A972" s="2" t="s">
        <v>3524</v>
      </c>
      <c r="B972" s="3">
        <v>45542</v>
      </c>
      <c r="C972" s="2" t="s">
        <v>3525</v>
      </c>
      <c r="D972" s="2" t="s">
        <v>73</v>
      </c>
      <c r="E972" s="2">
        <v>1</v>
      </c>
      <c r="F972" s="2">
        <v>627.15</v>
      </c>
      <c r="G972" s="2" t="s">
        <v>3526</v>
      </c>
      <c r="H972" s="2" t="s">
        <v>65</v>
      </c>
      <c r="I972" s="2" t="s">
        <v>50</v>
      </c>
      <c r="J972" s="2" t="s">
        <v>3527</v>
      </c>
      <c r="K972" s="2">
        <v>5</v>
      </c>
      <c r="L972" s="2" t="s">
        <v>21</v>
      </c>
      <c r="M972" s="2" t="s">
        <v>22</v>
      </c>
      <c r="N972" s="2">
        <v>627.15</v>
      </c>
    </row>
    <row r="973" spans="1:14" ht="15" x14ac:dyDescent="0.25">
      <c r="A973" s="2" t="s">
        <v>3528</v>
      </c>
      <c r="B973" s="3">
        <v>45439</v>
      </c>
      <c r="C973" s="2" t="s">
        <v>3529</v>
      </c>
      <c r="D973" s="2" t="s">
        <v>16</v>
      </c>
      <c r="E973" s="2">
        <v>2</v>
      </c>
      <c r="F973" s="2">
        <v>605.26</v>
      </c>
      <c r="G973" s="2" t="s">
        <v>54</v>
      </c>
      <c r="H973" s="2" t="s">
        <v>65</v>
      </c>
      <c r="I973" s="2" t="s">
        <v>35</v>
      </c>
      <c r="J973" s="2" t="s">
        <v>3530</v>
      </c>
      <c r="K973" s="2">
        <v>4</v>
      </c>
      <c r="L973" s="2" t="s">
        <v>81</v>
      </c>
      <c r="M973" s="2" t="s">
        <v>29</v>
      </c>
      <c r="N973" s="2">
        <v>1210.52</v>
      </c>
    </row>
    <row r="974" spans="1:14" ht="15" x14ac:dyDescent="0.25">
      <c r="A974" s="2" t="s">
        <v>3531</v>
      </c>
      <c r="B974" s="3">
        <v>45452</v>
      </c>
      <c r="C974" s="2" t="s">
        <v>3532</v>
      </c>
      <c r="D974" s="2" t="s">
        <v>58</v>
      </c>
      <c r="E974" s="2">
        <v>1</v>
      </c>
      <c r="F974" s="2">
        <v>90.27</v>
      </c>
      <c r="G974" s="2" t="s">
        <v>3533</v>
      </c>
      <c r="H974" s="2" t="s">
        <v>65</v>
      </c>
      <c r="I974" s="2" t="s">
        <v>50</v>
      </c>
      <c r="J974" s="2" t="s">
        <v>3534</v>
      </c>
      <c r="K974" s="2">
        <v>5</v>
      </c>
      <c r="L974" s="2" t="s">
        <v>21</v>
      </c>
      <c r="M974" s="2" t="s">
        <v>45</v>
      </c>
      <c r="N974" s="2">
        <v>90.27</v>
      </c>
    </row>
    <row r="975" spans="1:14" ht="15" x14ac:dyDescent="0.25">
      <c r="A975" s="2" t="s">
        <v>3535</v>
      </c>
      <c r="B975" s="3">
        <v>45817</v>
      </c>
      <c r="C975" s="2" t="s">
        <v>3536</v>
      </c>
      <c r="D975" s="2" t="s">
        <v>73</v>
      </c>
      <c r="E975" s="2">
        <v>5</v>
      </c>
      <c r="F975" s="2">
        <v>230.77</v>
      </c>
      <c r="G975" s="2" t="s">
        <v>3322</v>
      </c>
      <c r="H975" s="2" t="s">
        <v>27</v>
      </c>
      <c r="I975" s="2" t="s">
        <v>89</v>
      </c>
      <c r="J975" s="2" t="s">
        <v>3537</v>
      </c>
      <c r="K975" s="2">
        <v>10</v>
      </c>
      <c r="L975" s="2" t="s">
        <v>81</v>
      </c>
      <c r="M975" s="2" t="s">
        <v>29</v>
      </c>
      <c r="N975" s="2">
        <v>1153.8499999999999</v>
      </c>
    </row>
    <row r="976" spans="1:14" ht="15" x14ac:dyDescent="0.25">
      <c r="A976" s="2" t="s">
        <v>3538</v>
      </c>
      <c r="B976" s="3">
        <v>45196</v>
      </c>
      <c r="C976" s="2" t="s">
        <v>3539</v>
      </c>
      <c r="D976" s="2" t="s">
        <v>73</v>
      </c>
      <c r="E976" s="2">
        <v>5</v>
      </c>
      <c r="F976" s="2">
        <v>266.77999999999997</v>
      </c>
      <c r="G976" s="2" t="s">
        <v>1237</v>
      </c>
      <c r="H976" s="2" t="s">
        <v>60</v>
      </c>
      <c r="I976" s="2" t="s">
        <v>35</v>
      </c>
      <c r="J976" s="2" t="s">
        <v>3540</v>
      </c>
      <c r="K976" s="2">
        <v>5</v>
      </c>
      <c r="M976" s="2" t="s">
        <v>38</v>
      </c>
      <c r="N976" s="2">
        <v>1333.9</v>
      </c>
    </row>
    <row r="977" spans="1:14" ht="15" x14ac:dyDescent="0.25">
      <c r="A977" s="2" t="s">
        <v>3541</v>
      </c>
      <c r="B977" s="3">
        <v>45064</v>
      </c>
      <c r="C977" s="2" t="s">
        <v>3542</v>
      </c>
      <c r="D977" s="2" t="s">
        <v>73</v>
      </c>
      <c r="E977" s="2">
        <v>1</v>
      </c>
      <c r="F977" s="2">
        <v>105.92</v>
      </c>
      <c r="G977" s="2" t="s">
        <v>1093</v>
      </c>
      <c r="H977" s="2" t="s">
        <v>60</v>
      </c>
      <c r="I977" s="2" t="s">
        <v>43</v>
      </c>
      <c r="J977" s="2" t="s">
        <v>3543</v>
      </c>
      <c r="K977" s="2">
        <v>6</v>
      </c>
      <c r="L977" s="2" t="s">
        <v>21</v>
      </c>
      <c r="M977" s="2" t="s">
        <v>38</v>
      </c>
      <c r="N977" s="2">
        <v>105.92</v>
      </c>
    </row>
    <row r="978" spans="1:14" ht="15" x14ac:dyDescent="0.25">
      <c r="A978" s="2" t="s">
        <v>3544</v>
      </c>
      <c r="B978" s="3">
        <v>45386</v>
      </c>
      <c r="C978" s="2" t="s">
        <v>3545</v>
      </c>
      <c r="D978" s="2" t="s">
        <v>32</v>
      </c>
      <c r="E978" s="2">
        <v>3</v>
      </c>
      <c r="F978" s="2">
        <v>589.29999999999995</v>
      </c>
      <c r="G978" s="2" t="s">
        <v>3025</v>
      </c>
      <c r="H978" s="2" t="s">
        <v>34</v>
      </c>
      <c r="I978" s="2" t="s">
        <v>43</v>
      </c>
      <c r="J978" s="2" t="s">
        <v>3546</v>
      </c>
      <c r="K978" s="2">
        <v>6</v>
      </c>
      <c r="L978" s="2" t="s">
        <v>81</v>
      </c>
      <c r="M978" s="2" t="s">
        <v>29</v>
      </c>
      <c r="N978" s="2">
        <v>1767.9</v>
      </c>
    </row>
    <row r="979" spans="1:14" ht="15" x14ac:dyDescent="0.25">
      <c r="A979" s="2" t="s">
        <v>3547</v>
      </c>
      <c r="B979" s="3">
        <v>44954</v>
      </c>
      <c r="C979" s="2" t="s">
        <v>3548</v>
      </c>
      <c r="D979" s="2" t="s">
        <v>41</v>
      </c>
      <c r="E979" s="2">
        <v>4</v>
      </c>
      <c r="F979" s="2">
        <v>649.47</v>
      </c>
      <c r="G979" s="2" t="s">
        <v>3549</v>
      </c>
      <c r="H979" s="2" t="s">
        <v>65</v>
      </c>
      <c r="I979" s="2" t="s">
        <v>89</v>
      </c>
      <c r="J979" s="2" t="s">
        <v>3550</v>
      </c>
      <c r="K979" s="2">
        <v>8</v>
      </c>
      <c r="L979" s="2" t="s">
        <v>21</v>
      </c>
      <c r="M979" s="2" t="s">
        <v>76</v>
      </c>
      <c r="N979" s="2">
        <v>2597.88</v>
      </c>
    </row>
    <row r="980" spans="1:14" ht="15" x14ac:dyDescent="0.25">
      <c r="A980" s="2" t="s">
        <v>3551</v>
      </c>
      <c r="B980" s="3">
        <v>45468</v>
      </c>
      <c r="C980" s="2" t="s">
        <v>3552</v>
      </c>
      <c r="D980" s="2" t="s">
        <v>48</v>
      </c>
      <c r="E980" s="2">
        <v>4</v>
      </c>
      <c r="F980" s="2">
        <v>107.49</v>
      </c>
      <c r="G980" s="2" t="s">
        <v>2651</v>
      </c>
      <c r="H980" s="2" t="s">
        <v>65</v>
      </c>
      <c r="I980" s="2" t="s">
        <v>50</v>
      </c>
      <c r="J980" s="2" t="s">
        <v>3553</v>
      </c>
      <c r="K980" s="2">
        <v>5</v>
      </c>
      <c r="M980" s="2" t="s">
        <v>76</v>
      </c>
      <c r="N980" s="2">
        <v>429.96</v>
      </c>
    </row>
    <row r="981" spans="1:14" ht="15" x14ac:dyDescent="0.25">
      <c r="A981" s="2" t="s">
        <v>3554</v>
      </c>
      <c r="B981" s="3">
        <v>45077</v>
      </c>
      <c r="C981" s="2" t="s">
        <v>3555</v>
      </c>
      <c r="D981" s="2" t="s">
        <v>16</v>
      </c>
      <c r="E981" s="2">
        <v>3</v>
      </c>
      <c r="F981" s="2">
        <v>669.06</v>
      </c>
      <c r="G981" s="2" t="s">
        <v>1113</v>
      </c>
      <c r="H981" s="2" t="s">
        <v>65</v>
      </c>
      <c r="I981" s="2" t="s">
        <v>50</v>
      </c>
      <c r="J981" s="2" t="s">
        <v>3556</v>
      </c>
      <c r="K981" s="2">
        <v>7</v>
      </c>
      <c r="L981" s="2" t="s">
        <v>21</v>
      </c>
      <c r="M981" s="2" t="s">
        <v>45</v>
      </c>
      <c r="N981" s="2">
        <v>2007.18</v>
      </c>
    </row>
    <row r="982" spans="1:14" ht="15" x14ac:dyDescent="0.25">
      <c r="A982" s="2" t="s">
        <v>3557</v>
      </c>
      <c r="B982" s="3">
        <v>45213</v>
      </c>
      <c r="C982" s="2" t="s">
        <v>3558</v>
      </c>
      <c r="D982" s="2" t="s">
        <v>41</v>
      </c>
      <c r="E982" s="2">
        <v>3</v>
      </c>
      <c r="F982" s="2">
        <v>69.650000000000006</v>
      </c>
      <c r="G982" s="2" t="s">
        <v>3559</v>
      </c>
      <c r="H982" s="2" t="s">
        <v>65</v>
      </c>
      <c r="I982" s="2" t="s">
        <v>50</v>
      </c>
      <c r="J982" s="2" t="s">
        <v>3560</v>
      </c>
      <c r="K982" s="2">
        <v>7</v>
      </c>
      <c r="L982" s="2" t="s">
        <v>81</v>
      </c>
      <c r="M982" s="2" t="s">
        <v>22</v>
      </c>
      <c r="N982" s="2">
        <v>208.95</v>
      </c>
    </row>
    <row r="983" spans="1:14" ht="15" x14ac:dyDescent="0.25">
      <c r="A983" s="2" t="s">
        <v>3561</v>
      </c>
      <c r="B983" s="3">
        <v>45256</v>
      </c>
      <c r="C983" s="2" t="s">
        <v>3562</v>
      </c>
      <c r="D983" s="2" t="s">
        <v>25</v>
      </c>
      <c r="E983" s="2">
        <v>4</v>
      </c>
      <c r="F983" s="2">
        <v>136.83000000000001</v>
      </c>
      <c r="G983" s="2" t="s">
        <v>3563</v>
      </c>
      <c r="H983" s="2" t="s">
        <v>18</v>
      </c>
      <c r="I983" s="2" t="s">
        <v>89</v>
      </c>
      <c r="J983" s="2" t="s">
        <v>3564</v>
      </c>
      <c r="K983" s="2">
        <v>8</v>
      </c>
      <c r="L983" s="2" t="s">
        <v>21</v>
      </c>
      <c r="M983" s="2" t="s">
        <v>38</v>
      </c>
      <c r="N983" s="2">
        <v>547.32000000000005</v>
      </c>
    </row>
    <row r="984" spans="1:14" ht="15" x14ac:dyDescent="0.25">
      <c r="A984" s="2" t="s">
        <v>3565</v>
      </c>
      <c r="B984" s="3">
        <v>45541</v>
      </c>
      <c r="C984" s="2" t="s">
        <v>3566</v>
      </c>
      <c r="D984" s="2" t="s">
        <v>16</v>
      </c>
      <c r="E984" s="2">
        <v>1</v>
      </c>
      <c r="F984" s="2">
        <v>304.11</v>
      </c>
      <c r="G984" s="2" t="s">
        <v>2668</v>
      </c>
      <c r="H984" s="2" t="s">
        <v>60</v>
      </c>
      <c r="I984" s="2" t="s">
        <v>19</v>
      </c>
      <c r="J984" s="2" t="s">
        <v>3567</v>
      </c>
      <c r="K984" s="2">
        <v>2</v>
      </c>
      <c r="L984" s="2" t="s">
        <v>21</v>
      </c>
      <c r="M984" s="2" t="s">
        <v>29</v>
      </c>
      <c r="N984" s="2">
        <v>304.11</v>
      </c>
    </row>
    <row r="985" spans="1:14" ht="15" x14ac:dyDescent="0.25">
      <c r="A985" s="2" t="s">
        <v>3568</v>
      </c>
      <c r="B985" s="3">
        <v>45620</v>
      </c>
      <c r="C985" s="2" t="s">
        <v>3569</v>
      </c>
      <c r="D985" s="2" t="s">
        <v>16</v>
      </c>
      <c r="E985" s="2">
        <v>4</v>
      </c>
      <c r="F985" s="2">
        <v>296.27999999999997</v>
      </c>
      <c r="G985" s="2" t="s">
        <v>3570</v>
      </c>
      <c r="H985" s="2" t="s">
        <v>60</v>
      </c>
      <c r="I985" s="2" t="s">
        <v>19</v>
      </c>
      <c r="J985" s="2" t="s">
        <v>3571</v>
      </c>
      <c r="K985" s="2">
        <v>5</v>
      </c>
      <c r="L985" s="2" t="s">
        <v>21</v>
      </c>
      <c r="M985" s="2" t="s">
        <v>38</v>
      </c>
      <c r="N985" s="2">
        <v>1185.1199999999999</v>
      </c>
    </row>
    <row r="986" spans="1:14" ht="15" x14ac:dyDescent="0.25">
      <c r="A986" s="2" t="s">
        <v>3572</v>
      </c>
      <c r="B986" s="3">
        <v>45716</v>
      </c>
      <c r="C986" s="2" t="s">
        <v>3573</v>
      </c>
      <c r="D986" s="2" t="s">
        <v>73</v>
      </c>
      <c r="E986" s="2">
        <v>1</v>
      </c>
      <c r="F986" s="2">
        <v>77.64</v>
      </c>
      <c r="G986" s="2" t="s">
        <v>64</v>
      </c>
      <c r="H986" s="2" t="s">
        <v>34</v>
      </c>
      <c r="I986" s="2" t="s">
        <v>19</v>
      </c>
      <c r="J986" s="2" t="s">
        <v>3574</v>
      </c>
      <c r="K986" s="2">
        <v>1</v>
      </c>
      <c r="L986" s="2" t="s">
        <v>37</v>
      </c>
      <c r="M986" s="2" t="s">
        <v>45</v>
      </c>
      <c r="N986" s="2">
        <v>77.64</v>
      </c>
    </row>
    <row r="987" spans="1:14" ht="15" x14ac:dyDescent="0.25">
      <c r="A987" s="2" t="s">
        <v>3575</v>
      </c>
      <c r="B987" s="3">
        <v>45493</v>
      </c>
      <c r="C987" s="2" t="s">
        <v>3576</v>
      </c>
      <c r="D987" s="2" t="s">
        <v>73</v>
      </c>
      <c r="E987" s="2">
        <v>1</v>
      </c>
      <c r="F987" s="2">
        <v>243.71</v>
      </c>
      <c r="G987" s="2" t="s">
        <v>929</v>
      </c>
      <c r="H987" s="2" t="s">
        <v>60</v>
      </c>
      <c r="I987" s="2" t="s">
        <v>50</v>
      </c>
      <c r="J987" s="2" t="s">
        <v>3577</v>
      </c>
      <c r="K987" s="2">
        <v>6</v>
      </c>
      <c r="L987" s="2" t="s">
        <v>21</v>
      </c>
      <c r="M987" s="2" t="s">
        <v>76</v>
      </c>
      <c r="N987" s="2">
        <v>243.71</v>
      </c>
    </row>
    <row r="988" spans="1:14" ht="15" x14ac:dyDescent="0.25">
      <c r="A988" s="2" t="s">
        <v>3578</v>
      </c>
      <c r="B988" s="3">
        <v>45542</v>
      </c>
      <c r="C988" s="2" t="s">
        <v>3579</v>
      </c>
      <c r="D988" s="2" t="s">
        <v>58</v>
      </c>
      <c r="E988" s="2">
        <v>4</v>
      </c>
      <c r="F988" s="2">
        <v>644.96</v>
      </c>
      <c r="G988" s="2" t="s">
        <v>426</v>
      </c>
      <c r="H988" s="2" t="s">
        <v>34</v>
      </c>
      <c r="I988" s="2" t="s">
        <v>89</v>
      </c>
      <c r="J988" s="2" t="s">
        <v>3580</v>
      </c>
      <c r="K988" s="2">
        <v>7</v>
      </c>
      <c r="L988" s="2" t="s">
        <v>37</v>
      </c>
      <c r="M988" s="2" t="s">
        <v>38</v>
      </c>
      <c r="N988" s="2">
        <v>2579.84</v>
      </c>
    </row>
    <row r="989" spans="1:14" ht="15" x14ac:dyDescent="0.25">
      <c r="A989" s="2" t="s">
        <v>3581</v>
      </c>
      <c r="B989" s="3">
        <v>45813</v>
      </c>
      <c r="C989" s="2" t="s">
        <v>3582</v>
      </c>
      <c r="D989" s="2" t="s">
        <v>25</v>
      </c>
      <c r="E989" s="2">
        <v>5</v>
      </c>
      <c r="F989" s="2">
        <v>283.73</v>
      </c>
      <c r="G989" s="2" t="s">
        <v>1697</v>
      </c>
      <c r="H989" s="2" t="s">
        <v>60</v>
      </c>
      <c r="I989" s="2" t="s">
        <v>89</v>
      </c>
      <c r="J989" s="2" t="s">
        <v>3583</v>
      </c>
      <c r="K989" s="2">
        <v>8</v>
      </c>
      <c r="L989" s="2" t="s">
        <v>37</v>
      </c>
      <c r="M989" s="2" t="s">
        <v>22</v>
      </c>
      <c r="N989" s="2">
        <v>1418.65</v>
      </c>
    </row>
    <row r="990" spans="1:14" ht="15" x14ac:dyDescent="0.25">
      <c r="A990" s="2" t="s">
        <v>3584</v>
      </c>
      <c r="B990" s="3">
        <v>45692</v>
      </c>
      <c r="C990" s="2" t="s">
        <v>3585</v>
      </c>
      <c r="D990" s="2" t="s">
        <v>73</v>
      </c>
      <c r="E990" s="2">
        <v>2</v>
      </c>
      <c r="F990" s="2">
        <v>629.55999999999995</v>
      </c>
      <c r="G990" s="2" t="s">
        <v>1317</v>
      </c>
      <c r="H990" s="2" t="s">
        <v>60</v>
      </c>
      <c r="I990" s="2" t="s">
        <v>35</v>
      </c>
      <c r="J990" s="2" t="s">
        <v>3586</v>
      </c>
      <c r="K990" s="2">
        <v>5</v>
      </c>
      <c r="L990" s="2" t="s">
        <v>81</v>
      </c>
      <c r="M990" s="2" t="s">
        <v>22</v>
      </c>
      <c r="N990" s="2">
        <v>1259.1199999999999</v>
      </c>
    </row>
    <row r="991" spans="1:14" ht="15" x14ac:dyDescent="0.25">
      <c r="A991" s="2" t="s">
        <v>3587</v>
      </c>
      <c r="B991" s="3">
        <v>45008</v>
      </c>
      <c r="C991" s="2" t="s">
        <v>3588</v>
      </c>
      <c r="D991" s="2" t="s">
        <v>58</v>
      </c>
      <c r="E991" s="2">
        <v>4</v>
      </c>
      <c r="F991" s="2">
        <v>246.11</v>
      </c>
      <c r="G991" s="2" t="s">
        <v>3589</v>
      </c>
      <c r="H991" s="2" t="s">
        <v>34</v>
      </c>
      <c r="I991" s="2" t="s">
        <v>89</v>
      </c>
      <c r="J991" s="2" t="s">
        <v>3590</v>
      </c>
      <c r="K991" s="2">
        <v>4</v>
      </c>
      <c r="L991" s="2" t="s">
        <v>21</v>
      </c>
      <c r="M991" s="2" t="s">
        <v>22</v>
      </c>
      <c r="N991" s="2">
        <v>984.44</v>
      </c>
    </row>
    <row r="992" spans="1:14" ht="15" x14ac:dyDescent="0.25">
      <c r="A992" s="2" t="s">
        <v>3591</v>
      </c>
      <c r="B992" s="3">
        <v>45249</v>
      </c>
      <c r="C992" s="2" t="s">
        <v>3592</v>
      </c>
      <c r="D992" s="2" t="s">
        <v>25</v>
      </c>
      <c r="E992" s="2">
        <v>2</v>
      </c>
      <c r="F992" s="2">
        <v>418.26</v>
      </c>
      <c r="G992" s="2" t="s">
        <v>3593</v>
      </c>
      <c r="H992" s="2" t="s">
        <v>18</v>
      </c>
      <c r="I992" s="2" t="s">
        <v>89</v>
      </c>
      <c r="J992" s="2" t="s">
        <v>3594</v>
      </c>
      <c r="K992" s="2">
        <v>2</v>
      </c>
      <c r="L992" s="2" t="s">
        <v>21</v>
      </c>
      <c r="M992" s="2" t="s">
        <v>76</v>
      </c>
      <c r="N992" s="2">
        <v>836.52</v>
      </c>
    </row>
    <row r="993" spans="1:14" ht="15" x14ac:dyDescent="0.25">
      <c r="A993" s="2" t="s">
        <v>3595</v>
      </c>
      <c r="B993" s="3">
        <v>45421</v>
      </c>
      <c r="C993" s="2" t="s">
        <v>3596</v>
      </c>
      <c r="D993" s="2" t="s">
        <v>73</v>
      </c>
      <c r="E993" s="2">
        <v>5</v>
      </c>
      <c r="F993" s="2">
        <v>127.18</v>
      </c>
      <c r="G993" s="2" t="s">
        <v>580</v>
      </c>
      <c r="H993" s="2" t="s">
        <v>18</v>
      </c>
      <c r="I993" s="2" t="s">
        <v>35</v>
      </c>
      <c r="J993" s="2" t="s">
        <v>3597</v>
      </c>
      <c r="K993" s="2">
        <v>10</v>
      </c>
      <c r="L993" s="2" t="s">
        <v>37</v>
      </c>
      <c r="M993" s="2" t="s">
        <v>76</v>
      </c>
      <c r="N993" s="2">
        <v>635.90000000000009</v>
      </c>
    </row>
    <row r="994" spans="1:14" ht="15" x14ac:dyDescent="0.25">
      <c r="A994" s="2" t="s">
        <v>3598</v>
      </c>
      <c r="B994" s="3">
        <v>45531</v>
      </c>
      <c r="C994" s="2" t="s">
        <v>3599</v>
      </c>
      <c r="D994" s="2" t="s">
        <v>48</v>
      </c>
      <c r="E994" s="2">
        <v>3</v>
      </c>
      <c r="F994" s="2">
        <v>586.21</v>
      </c>
      <c r="G994" s="2" t="s">
        <v>603</v>
      </c>
      <c r="H994" s="2" t="s">
        <v>60</v>
      </c>
      <c r="I994" s="2" t="s">
        <v>89</v>
      </c>
      <c r="J994" s="2" t="s">
        <v>3600</v>
      </c>
      <c r="K994" s="2">
        <v>4</v>
      </c>
      <c r="L994" s="2" t="s">
        <v>81</v>
      </c>
      <c r="M994" s="2" t="s">
        <v>29</v>
      </c>
      <c r="N994" s="2">
        <v>1758.63</v>
      </c>
    </row>
    <row r="995" spans="1:14" ht="15" x14ac:dyDescent="0.25">
      <c r="A995" s="2" t="s">
        <v>3601</v>
      </c>
      <c r="B995" s="3">
        <v>45388</v>
      </c>
      <c r="C995" s="2" t="s">
        <v>3602</v>
      </c>
      <c r="D995" s="2" t="s">
        <v>16</v>
      </c>
      <c r="E995" s="2">
        <v>3</v>
      </c>
      <c r="F995" s="2">
        <v>267.45</v>
      </c>
      <c r="G995" s="2" t="s">
        <v>3603</v>
      </c>
      <c r="H995" s="2" t="s">
        <v>60</v>
      </c>
      <c r="I995" s="2" t="s">
        <v>50</v>
      </c>
      <c r="J995" s="2" t="s">
        <v>3604</v>
      </c>
      <c r="K995" s="2">
        <v>5</v>
      </c>
      <c r="L995" s="2" t="s">
        <v>81</v>
      </c>
      <c r="M995" s="2" t="s">
        <v>22</v>
      </c>
      <c r="N995" s="2">
        <v>802.34999999999991</v>
      </c>
    </row>
    <row r="996" spans="1:14" ht="15" x14ac:dyDescent="0.25">
      <c r="A996" s="2" t="s">
        <v>3605</v>
      </c>
      <c r="B996" s="3">
        <v>45470</v>
      </c>
      <c r="C996" s="2" t="s">
        <v>3606</v>
      </c>
      <c r="D996" s="2" t="s">
        <v>32</v>
      </c>
      <c r="E996" s="2">
        <v>4</v>
      </c>
      <c r="F996" s="2">
        <v>615.65</v>
      </c>
      <c r="G996" s="2" t="s">
        <v>363</v>
      </c>
      <c r="H996" s="2" t="s">
        <v>18</v>
      </c>
      <c r="I996" s="2" t="s">
        <v>50</v>
      </c>
      <c r="J996" s="2" t="s">
        <v>3607</v>
      </c>
      <c r="K996" s="2">
        <v>9</v>
      </c>
      <c r="L996" s="2" t="s">
        <v>81</v>
      </c>
      <c r="M996" s="2" t="s">
        <v>76</v>
      </c>
      <c r="N996" s="2">
        <v>2462.6</v>
      </c>
    </row>
    <row r="997" spans="1:14" ht="15" x14ac:dyDescent="0.25">
      <c r="A997" s="2" t="s">
        <v>3608</v>
      </c>
      <c r="B997" s="3">
        <v>45248</v>
      </c>
      <c r="C997" s="2" t="s">
        <v>3609</v>
      </c>
      <c r="D997" s="2" t="s">
        <v>16</v>
      </c>
      <c r="E997" s="2">
        <v>2</v>
      </c>
      <c r="F997" s="2">
        <v>113.29</v>
      </c>
      <c r="G997" s="2" t="s">
        <v>1992</v>
      </c>
      <c r="H997" s="2" t="s">
        <v>65</v>
      </c>
      <c r="I997" s="2" t="s">
        <v>89</v>
      </c>
      <c r="J997" s="2" t="s">
        <v>3610</v>
      </c>
      <c r="K997" s="2">
        <v>5</v>
      </c>
      <c r="L997" s="2" t="s">
        <v>21</v>
      </c>
      <c r="M997" s="2" t="s">
        <v>45</v>
      </c>
      <c r="N997" s="2">
        <v>226.58</v>
      </c>
    </row>
    <row r="998" spans="1:14" ht="15" x14ac:dyDescent="0.25">
      <c r="A998" s="2" t="s">
        <v>3611</v>
      </c>
      <c r="B998" s="3">
        <v>45410</v>
      </c>
      <c r="C998" s="2" t="s">
        <v>3612</v>
      </c>
      <c r="D998" s="2" t="s">
        <v>16</v>
      </c>
      <c r="E998" s="2">
        <v>4</v>
      </c>
      <c r="F998" s="2">
        <v>473.86</v>
      </c>
      <c r="G998" s="2" t="s">
        <v>1256</v>
      </c>
      <c r="H998" s="2" t="s">
        <v>18</v>
      </c>
      <c r="I998" s="2" t="s">
        <v>50</v>
      </c>
      <c r="J998" s="2" t="s">
        <v>3613</v>
      </c>
      <c r="K998" s="2">
        <v>7</v>
      </c>
      <c r="L998" s="2" t="s">
        <v>21</v>
      </c>
      <c r="M998" s="2" t="s">
        <v>45</v>
      </c>
      <c r="N998" s="2">
        <v>1895.44</v>
      </c>
    </row>
    <row r="999" spans="1:14" ht="15" x14ac:dyDescent="0.25">
      <c r="A999" s="2" t="s">
        <v>3614</v>
      </c>
      <c r="B999" s="3">
        <v>45257</v>
      </c>
      <c r="C999" s="2" t="s">
        <v>3615</v>
      </c>
      <c r="D999" s="2" t="s">
        <v>58</v>
      </c>
      <c r="E999" s="2">
        <v>3</v>
      </c>
      <c r="F999" s="2">
        <v>444.75</v>
      </c>
      <c r="G999" s="2" t="s">
        <v>1938</v>
      </c>
      <c r="H999" s="2" t="s">
        <v>65</v>
      </c>
      <c r="I999" s="2" t="s">
        <v>50</v>
      </c>
      <c r="J999" s="2" t="s">
        <v>3616</v>
      </c>
      <c r="K999" s="2">
        <v>6</v>
      </c>
      <c r="L999" s="2" t="s">
        <v>21</v>
      </c>
      <c r="M999" s="2" t="s">
        <v>45</v>
      </c>
      <c r="N999" s="2">
        <v>1334.25</v>
      </c>
    </row>
    <row r="1000" spans="1:14" ht="15" x14ac:dyDescent="0.25">
      <c r="A1000" s="2" t="s">
        <v>3617</v>
      </c>
      <c r="B1000" s="3">
        <v>45065</v>
      </c>
      <c r="C1000" s="2" t="s">
        <v>3618</v>
      </c>
      <c r="D1000" s="2" t="s">
        <v>25</v>
      </c>
      <c r="E1000" s="2">
        <v>2</v>
      </c>
      <c r="F1000" s="2">
        <v>183.67</v>
      </c>
      <c r="G1000" s="2" t="s">
        <v>956</v>
      </c>
      <c r="H1000" s="2" t="s">
        <v>18</v>
      </c>
      <c r="I1000" s="2" t="s">
        <v>35</v>
      </c>
      <c r="J1000" s="2" t="s">
        <v>3619</v>
      </c>
      <c r="K1000" s="2">
        <v>6</v>
      </c>
      <c r="L1000" s="2" t="s">
        <v>21</v>
      </c>
      <c r="M1000" s="2" t="s">
        <v>76</v>
      </c>
      <c r="N1000" s="2">
        <v>367.34</v>
      </c>
    </row>
    <row r="1001" spans="1:14" ht="15" x14ac:dyDescent="0.25">
      <c r="A1001" s="2" t="s">
        <v>3620</v>
      </c>
      <c r="B1001" s="3">
        <v>45284</v>
      </c>
      <c r="C1001" s="2" t="s">
        <v>3621</v>
      </c>
      <c r="D1001" s="2" t="s">
        <v>48</v>
      </c>
      <c r="E1001" s="2">
        <v>1</v>
      </c>
      <c r="F1001" s="2">
        <v>483.38</v>
      </c>
      <c r="G1001" s="2" t="s">
        <v>1620</v>
      </c>
      <c r="H1001" s="2" t="s">
        <v>65</v>
      </c>
      <c r="I1001" s="2" t="s">
        <v>89</v>
      </c>
      <c r="J1001" s="2" t="s">
        <v>3622</v>
      </c>
      <c r="K1001" s="2">
        <v>6</v>
      </c>
      <c r="L1001" s="2" t="s">
        <v>37</v>
      </c>
      <c r="M1001" s="2" t="s">
        <v>76</v>
      </c>
      <c r="N1001" s="2">
        <v>483.38</v>
      </c>
    </row>
    <row r="1002" spans="1:14" ht="15" x14ac:dyDescent="0.25">
      <c r="A1002" s="2" t="s">
        <v>3623</v>
      </c>
      <c r="B1002" s="3">
        <v>45098</v>
      </c>
      <c r="C1002" s="2" t="s">
        <v>3624</v>
      </c>
      <c r="D1002" s="2" t="s">
        <v>48</v>
      </c>
      <c r="E1002" s="2">
        <v>5</v>
      </c>
      <c r="F1002" s="2">
        <v>260.93</v>
      </c>
      <c r="G1002" s="2" t="s">
        <v>3625</v>
      </c>
      <c r="H1002" s="2" t="s">
        <v>27</v>
      </c>
      <c r="I1002" s="2" t="s">
        <v>50</v>
      </c>
      <c r="J1002" s="2" t="s">
        <v>3626</v>
      </c>
      <c r="K1002" s="2">
        <v>9</v>
      </c>
      <c r="L1002" s="2" t="s">
        <v>21</v>
      </c>
      <c r="M1002" s="2" t="s">
        <v>38</v>
      </c>
      <c r="N1002" s="2">
        <v>1304.6500000000001</v>
      </c>
    </row>
    <row r="1003" spans="1:14" ht="15" x14ac:dyDescent="0.25">
      <c r="A1003" s="2" t="s">
        <v>3627</v>
      </c>
      <c r="B1003" s="3">
        <v>45268</v>
      </c>
      <c r="C1003" s="2" t="s">
        <v>3628</v>
      </c>
      <c r="D1003" s="2" t="s">
        <v>48</v>
      </c>
      <c r="E1003" s="2">
        <v>2</v>
      </c>
      <c r="F1003" s="2">
        <v>253.68</v>
      </c>
      <c r="G1003" s="2" t="s">
        <v>494</v>
      </c>
      <c r="H1003" s="2" t="s">
        <v>60</v>
      </c>
      <c r="I1003" s="2" t="s">
        <v>19</v>
      </c>
      <c r="J1003" s="2" t="s">
        <v>3629</v>
      </c>
      <c r="K1003" s="2">
        <v>6</v>
      </c>
      <c r="M1003" s="2" t="s">
        <v>29</v>
      </c>
      <c r="N1003" s="2">
        <v>507.36</v>
      </c>
    </row>
    <row r="1004" spans="1:14" ht="15" x14ac:dyDescent="0.25">
      <c r="A1004" s="2" t="s">
        <v>3630</v>
      </c>
      <c r="B1004" s="3">
        <v>45827</v>
      </c>
      <c r="C1004" s="2" t="s">
        <v>3631</v>
      </c>
      <c r="D1004" s="2" t="s">
        <v>32</v>
      </c>
      <c r="E1004" s="2">
        <v>4</v>
      </c>
      <c r="F1004" s="2">
        <v>699.88</v>
      </c>
      <c r="G1004" s="2" t="s">
        <v>442</v>
      </c>
      <c r="H1004" s="2" t="s">
        <v>65</v>
      </c>
      <c r="I1004" s="2" t="s">
        <v>89</v>
      </c>
      <c r="J1004" s="2" t="s">
        <v>3632</v>
      </c>
      <c r="K1004" s="2">
        <v>5</v>
      </c>
      <c r="L1004" s="2" t="s">
        <v>81</v>
      </c>
      <c r="M1004" s="2" t="s">
        <v>29</v>
      </c>
      <c r="N1004" s="2">
        <v>2799.52</v>
      </c>
    </row>
    <row r="1005" spans="1:14" ht="15" x14ac:dyDescent="0.25">
      <c r="A1005" s="2" t="s">
        <v>3633</v>
      </c>
      <c r="B1005" s="3">
        <v>44937</v>
      </c>
      <c r="C1005" s="2" t="s">
        <v>3634</v>
      </c>
      <c r="D1005" s="2" t="s">
        <v>48</v>
      </c>
      <c r="E1005" s="2">
        <v>5</v>
      </c>
      <c r="F1005" s="2">
        <v>319.97000000000003</v>
      </c>
      <c r="G1005" s="2" t="s">
        <v>3625</v>
      </c>
      <c r="H1005" s="2" t="s">
        <v>65</v>
      </c>
      <c r="I1005" s="2" t="s">
        <v>19</v>
      </c>
      <c r="J1005" s="2" t="s">
        <v>3635</v>
      </c>
      <c r="K1005" s="2">
        <v>7</v>
      </c>
      <c r="L1005" s="2" t="s">
        <v>21</v>
      </c>
      <c r="M1005" s="2" t="s">
        <v>76</v>
      </c>
      <c r="N1005" s="2">
        <v>1599.85</v>
      </c>
    </row>
    <row r="1006" spans="1:14" ht="15" x14ac:dyDescent="0.25">
      <c r="A1006" s="2" t="s">
        <v>3636</v>
      </c>
      <c r="B1006" s="3">
        <v>45817</v>
      </c>
      <c r="C1006" s="2" t="s">
        <v>3637</v>
      </c>
      <c r="D1006" s="2" t="s">
        <v>41</v>
      </c>
      <c r="E1006" s="2">
        <v>4</v>
      </c>
      <c r="F1006" s="2">
        <v>246.91</v>
      </c>
      <c r="G1006" s="2" t="s">
        <v>145</v>
      </c>
      <c r="H1006" s="2" t="s">
        <v>27</v>
      </c>
      <c r="I1006" s="2" t="s">
        <v>89</v>
      </c>
      <c r="J1006" s="2" t="s">
        <v>3638</v>
      </c>
      <c r="K1006" s="2">
        <v>8</v>
      </c>
      <c r="L1006" s="2" t="s">
        <v>21</v>
      </c>
      <c r="M1006" s="2" t="s">
        <v>29</v>
      </c>
      <c r="N1006" s="2">
        <v>987.64</v>
      </c>
    </row>
    <row r="1007" spans="1:14" ht="15" x14ac:dyDescent="0.25">
      <c r="A1007" s="2" t="s">
        <v>3639</v>
      </c>
      <c r="B1007" s="3">
        <v>44987</v>
      </c>
      <c r="C1007" s="2" t="s">
        <v>3640</v>
      </c>
      <c r="D1007" s="2" t="s">
        <v>48</v>
      </c>
      <c r="E1007" s="2">
        <v>3</v>
      </c>
      <c r="F1007" s="2">
        <v>392.85</v>
      </c>
      <c r="G1007" s="2" t="s">
        <v>2948</v>
      </c>
      <c r="H1007" s="2" t="s">
        <v>34</v>
      </c>
      <c r="I1007" s="2" t="s">
        <v>43</v>
      </c>
      <c r="J1007" s="2" t="s">
        <v>3641</v>
      </c>
      <c r="K1007" s="2">
        <v>6</v>
      </c>
      <c r="M1007" s="2" t="s">
        <v>76</v>
      </c>
      <c r="N1007" s="2">
        <v>1178.55</v>
      </c>
    </row>
    <row r="1008" spans="1:14" ht="15" x14ac:dyDescent="0.25">
      <c r="A1008" s="2" t="s">
        <v>3642</v>
      </c>
      <c r="B1008" s="3">
        <v>45439</v>
      </c>
      <c r="C1008" s="2" t="s">
        <v>3643</v>
      </c>
      <c r="D1008" s="2" t="s">
        <v>32</v>
      </c>
      <c r="E1008" s="2">
        <v>5</v>
      </c>
      <c r="F1008" s="2">
        <v>420.98</v>
      </c>
      <c r="G1008" s="2" t="s">
        <v>2519</v>
      </c>
      <c r="H1008" s="2" t="s">
        <v>65</v>
      </c>
      <c r="I1008" s="2" t="s">
        <v>50</v>
      </c>
      <c r="J1008" s="2" t="s">
        <v>3644</v>
      </c>
      <c r="K1008" s="2">
        <v>7</v>
      </c>
      <c r="L1008" s="2" t="s">
        <v>21</v>
      </c>
      <c r="M1008" s="2" t="s">
        <v>45</v>
      </c>
      <c r="N1008" s="2">
        <v>2104.9</v>
      </c>
    </row>
    <row r="1009" spans="1:14" ht="15" x14ac:dyDescent="0.25">
      <c r="A1009" s="2" t="s">
        <v>3645</v>
      </c>
      <c r="B1009" s="3">
        <v>45371</v>
      </c>
      <c r="C1009" s="2" t="s">
        <v>1868</v>
      </c>
      <c r="D1009" s="2" t="s">
        <v>16</v>
      </c>
      <c r="E1009" s="2">
        <v>2</v>
      </c>
      <c r="F1009" s="2">
        <v>73.260000000000005</v>
      </c>
      <c r="G1009" s="2" t="s">
        <v>415</v>
      </c>
      <c r="H1009" s="2" t="s">
        <v>65</v>
      </c>
      <c r="I1009" s="2" t="s">
        <v>89</v>
      </c>
      <c r="J1009" s="2" t="s">
        <v>3646</v>
      </c>
      <c r="K1009" s="2">
        <v>4</v>
      </c>
      <c r="L1009" s="2" t="s">
        <v>81</v>
      </c>
      <c r="M1009" s="2" t="s">
        <v>45</v>
      </c>
      <c r="N1009" s="2">
        <v>146.52000000000001</v>
      </c>
    </row>
    <row r="1010" spans="1:14" ht="15" x14ac:dyDescent="0.25">
      <c r="A1010" s="2" t="s">
        <v>3647</v>
      </c>
      <c r="B1010" s="3">
        <v>44939</v>
      </c>
      <c r="C1010" s="2" t="s">
        <v>3648</v>
      </c>
      <c r="D1010" s="2" t="s">
        <v>16</v>
      </c>
      <c r="E1010" s="2">
        <v>3</v>
      </c>
      <c r="F1010" s="2">
        <v>410.88</v>
      </c>
      <c r="G1010" s="2" t="s">
        <v>2866</v>
      </c>
      <c r="H1010" s="2" t="s">
        <v>65</v>
      </c>
      <c r="I1010" s="2" t="s">
        <v>50</v>
      </c>
      <c r="J1010" s="2" t="s">
        <v>3649</v>
      </c>
      <c r="K1010" s="2">
        <v>8</v>
      </c>
      <c r="L1010" s="2" t="s">
        <v>37</v>
      </c>
      <c r="M1010" s="2" t="s">
        <v>22</v>
      </c>
      <c r="N1010" s="2">
        <v>1232.6400000000001</v>
      </c>
    </row>
    <row r="1011" spans="1:14" ht="15" x14ac:dyDescent="0.25">
      <c r="A1011" s="2" t="s">
        <v>3650</v>
      </c>
      <c r="B1011" s="3">
        <v>45171</v>
      </c>
      <c r="C1011" s="2" t="s">
        <v>3651</v>
      </c>
      <c r="D1011" s="2" t="s">
        <v>32</v>
      </c>
      <c r="E1011" s="2">
        <v>2</v>
      </c>
      <c r="F1011" s="2">
        <v>176.46</v>
      </c>
      <c r="G1011" s="2" t="s">
        <v>1945</v>
      </c>
      <c r="H1011" s="2" t="s">
        <v>34</v>
      </c>
      <c r="I1011" s="2" t="s">
        <v>50</v>
      </c>
      <c r="J1011" s="2" t="s">
        <v>3652</v>
      </c>
      <c r="K1011" s="2">
        <v>2</v>
      </c>
      <c r="L1011" s="2" t="s">
        <v>37</v>
      </c>
      <c r="M1011" s="2" t="s">
        <v>38</v>
      </c>
      <c r="N1011" s="2">
        <v>352.92</v>
      </c>
    </row>
    <row r="1012" spans="1:14" ht="15" x14ac:dyDescent="0.25">
      <c r="A1012" s="2" t="s">
        <v>3653</v>
      </c>
      <c r="B1012" s="3">
        <v>45016</v>
      </c>
      <c r="C1012" s="2" t="s">
        <v>3654</v>
      </c>
      <c r="D1012" s="2" t="s">
        <v>16</v>
      </c>
      <c r="E1012" s="2">
        <v>3</v>
      </c>
      <c r="F1012" s="2">
        <v>659.57</v>
      </c>
      <c r="G1012" s="2" t="s">
        <v>426</v>
      </c>
      <c r="H1012" s="2" t="s">
        <v>34</v>
      </c>
      <c r="I1012" s="2" t="s">
        <v>35</v>
      </c>
      <c r="J1012" s="2" t="s">
        <v>3655</v>
      </c>
      <c r="K1012" s="2">
        <v>6</v>
      </c>
      <c r="L1012" s="2" t="s">
        <v>21</v>
      </c>
      <c r="M1012" s="2" t="s">
        <v>38</v>
      </c>
      <c r="N1012" s="2">
        <v>1978.71</v>
      </c>
    </row>
    <row r="1013" spans="1:14" ht="15" x14ac:dyDescent="0.25">
      <c r="A1013" s="2" t="s">
        <v>3656</v>
      </c>
      <c r="B1013" s="3">
        <v>45629</v>
      </c>
      <c r="C1013" s="2" t="s">
        <v>3657</v>
      </c>
      <c r="D1013" s="2" t="s">
        <v>25</v>
      </c>
      <c r="E1013" s="2">
        <v>2</v>
      </c>
      <c r="F1013" s="2">
        <v>478.36</v>
      </c>
      <c r="G1013" s="2" t="s">
        <v>1105</v>
      </c>
      <c r="H1013" s="2" t="s">
        <v>27</v>
      </c>
      <c r="I1013" s="2" t="s">
        <v>19</v>
      </c>
      <c r="J1013" s="2" t="s">
        <v>3658</v>
      </c>
      <c r="K1013" s="2">
        <v>3</v>
      </c>
      <c r="M1013" s="2" t="s">
        <v>76</v>
      </c>
      <c r="N1013" s="2">
        <v>956.72</v>
      </c>
    </row>
    <row r="1014" spans="1:14" ht="15" x14ac:dyDescent="0.25">
      <c r="A1014" s="2" t="s">
        <v>3659</v>
      </c>
      <c r="B1014" s="3">
        <v>45629</v>
      </c>
      <c r="C1014" s="2" t="s">
        <v>3660</v>
      </c>
      <c r="D1014" s="2" t="s">
        <v>48</v>
      </c>
      <c r="E1014" s="2">
        <v>4</v>
      </c>
      <c r="F1014" s="2">
        <v>30.05</v>
      </c>
      <c r="G1014" s="2" t="s">
        <v>1252</v>
      </c>
      <c r="H1014" s="2" t="s">
        <v>27</v>
      </c>
      <c r="I1014" s="2" t="s">
        <v>43</v>
      </c>
      <c r="J1014" s="2" t="s">
        <v>3661</v>
      </c>
      <c r="K1014" s="2">
        <v>6</v>
      </c>
      <c r="M1014" s="2" t="s">
        <v>45</v>
      </c>
      <c r="N1014" s="2">
        <v>120.2</v>
      </c>
    </row>
    <row r="1015" spans="1:14" ht="15" x14ac:dyDescent="0.25">
      <c r="A1015" s="2" t="s">
        <v>3662</v>
      </c>
      <c r="B1015" s="3">
        <v>45773</v>
      </c>
      <c r="C1015" s="2" t="s">
        <v>3663</v>
      </c>
      <c r="D1015" s="2" t="s">
        <v>58</v>
      </c>
      <c r="E1015" s="2">
        <v>4</v>
      </c>
      <c r="F1015" s="2">
        <v>300.56</v>
      </c>
      <c r="G1015" s="2" t="s">
        <v>265</v>
      </c>
      <c r="H1015" s="2" t="s">
        <v>65</v>
      </c>
      <c r="I1015" s="2" t="s">
        <v>35</v>
      </c>
      <c r="J1015" s="2" t="s">
        <v>3664</v>
      </c>
      <c r="K1015" s="2">
        <v>9</v>
      </c>
      <c r="L1015" s="2" t="s">
        <v>37</v>
      </c>
      <c r="M1015" s="2" t="s">
        <v>45</v>
      </c>
      <c r="N1015" s="2">
        <v>1202.24</v>
      </c>
    </row>
    <row r="1016" spans="1:14" ht="15" x14ac:dyDescent="0.25">
      <c r="A1016" s="2" t="s">
        <v>3665</v>
      </c>
      <c r="B1016" s="3">
        <v>45326</v>
      </c>
      <c r="C1016" s="2" t="s">
        <v>3666</v>
      </c>
      <c r="D1016" s="2" t="s">
        <v>32</v>
      </c>
      <c r="E1016" s="2">
        <v>5</v>
      </c>
      <c r="F1016" s="2">
        <v>226.45</v>
      </c>
      <c r="G1016" s="2" t="s">
        <v>1743</v>
      </c>
      <c r="H1016" s="2" t="s">
        <v>18</v>
      </c>
      <c r="I1016" s="2" t="s">
        <v>43</v>
      </c>
      <c r="J1016" s="2" t="s">
        <v>3667</v>
      </c>
      <c r="K1016" s="2">
        <v>6</v>
      </c>
      <c r="L1016" s="2" t="s">
        <v>37</v>
      </c>
      <c r="M1016" s="2" t="s">
        <v>38</v>
      </c>
      <c r="N1016" s="2">
        <v>1132.25</v>
      </c>
    </row>
    <row r="1017" spans="1:14" ht="15" x14ac:dyDescent="0.25">
      <c r="A1017" s="2" t="s">
        <v>3668</v>
      </c>
      <c r="B1017" s="3">
        <v>45317</v>
      </c>
      <c r="C1017" s="2" t="s">
        <v>3669</v>
      </c>
      <c r="D1017" s="2" t="s">
        <v>48</v>
      </c>
      <c r="E1017" s="2">
        <v>2</v>
      </c>
      <c r="F1017" s="2">
        <v>349.4</v>
      </c>
      <c r="G1017" s="2" t="s">
        <v>2283</v>
      </c>
      <c r="H1017" s="2" t="s">
        <v>27</v>
      </c>
      <c r="I1017" s="2" t="s">
        <v>19</v>
      </c>
      <c r="J1017" s="2" t="s">
        <v>3670</v>
      </c>
      <c r="K1017" s="2">
        <v>2</v>
      </c>
      <c r="L1017" s="2" t="s">
        <v>21</v>
      </c>
      <c r="M1017" s="2" t="s">
        <v>22</v>
      </c>
      <c r="N1017" s="2">
        <v>698.8</v>
      </c>
    </row>
    <row r="1018" spans="1:14" ht="15" x14ac:dyDescent="0.25">
      <c r="A1018" s="2" t="s">
        <v>3671</v>
      </c>
      <c r="B1018" s="3">
        <v>45289</v>
      </c>
      <c r="C1018" s="2" t="s">
        <v>3672</v>
      </c>
      <c r="D1018" s="2" t="s">
        <v>32</v>
      </c>
      <c r="E1018" s="2">
        <v>5</v>
      </c>
      <c r="F1018" s="2">
        <v>268.77999999999997</v>
      </c>
      <c r="G1018" s="2" t="s">
        <v>3673</v>
      </c>
      <c r="H1018" s="2" t="s">
        <v>18</v>
      </c>
      <c r="I1018" s="2" t="s">
        <v>50</v>
      </c>
      <c r="J1018" s="2" t="s">
        <v>3674</v>
      </c>
      <c r="K1018" s="2">
        <v>7</v>
      </c>
      <c r="L1018" s="2" t="s">
        <v>81</v>
      </c>
      <c r="M1018" s="2" t="s">
        <v>38</v>
      </c>
      <c r="N1018" s="2">
        <v>1343.9</v>
      </c>
    </row>
    <row r="1019" spans="1:14" ht="15" x14ac:dyDescent="0.25">
      <c r="A1019" s="2" t="s">
        <v>3675</v>
      </c>
      <c r="B1019" s="3">
        <v>45529</v>
      </c>
      <c r="C1019" s="2" t="s">
        <v>3676</v>
      </c>
      <c r="D1019" s="2" t="s">
        <v>41</v>
      </c>
      <c r="E1019" s="2">
        <v>2</v>
      </c>
      <c r="F1019" s="2">
        <v>680.85</v>
      </c>
      <c r="G1019" s="2" t="s">
        <v>3677</v>
      </c>
      <c r="H1019" s="2" t="s">
        <v>60</v>
      </c>
      <c r="I1019" s="2" t="s">
        <v>50</v>
      </c>
      <c r="J1019" s="2" t="s">
        <v>3678</v>
      </c>
      <c r="K1019" s="2">
        <v>6</v>
      </c>
      <c r="L1019" s="2" t="s">
        <v>37</v>
      </c>
      <c r="M1019" s="2" t="s">
        <v>29</v>
      </c>
      <c r="N1019" s="2">
        <v>1361.7</v>
      </c>
    </row>
    <row r="1020" spans="1:14" ht="15" x14ac:dyDescent="0.25">
      <c r="A1020" s="2" t="s">
        <v>3679</v>
      </c>
      <c r="B1020" s="3">
        <v>45115</v>
      </c>
      <c r="C1020" s="2" t="s">
        <v>3680</v>
      </c>
      <c r="D1020" s="2" t="s">
        <v>58</v>
      </c>
      <c r="E1020" s="2">
        <v>3</v>
      </c>
      <c r="F1020" s="2">
        <v>182.48</v>
      </c>
      <c r="G1020" s="2" t="s">
        <v>3681</v>
      </c>
      <c r="H1020" s="2" t="s">
        <v>65</v>
      </c>
      <c r="I1020" s="2" t="s">
        <v>50</v>
      </c>
      <c r="J1020" s="2" t="s">
        <v>3682</v>
      </c>
      <c r="K1020" s="2">
        <v>3</v>
      </c>
      <c r="M1020" s="2" t="s">
        <v>22</v>
      </c>
      <c r="N1020" s="2">
        <v>547.43999999999994</v>
      </c>
    </row>
    <row r="1021" spans="1:14" ht="15" x14ac:dyDescent="0.25">
      <c r="A1021" s="2" t="s">
        <v>3683</v>
      </c>
      <c r="B1021" s="3">
        <v>45388</v>
      </c>
      <c r="C1021" s="2" t="s">
        <v>3684</v>
      </c>
      <c r="D1021" s="2" t="s">
        <v>73</v>
      </c>
      <c r="E1021" s="2">
        <v>1</v>
      </c>
      <c r="F1021" s="2">
        <v>277.08999999999997</v>
      </c>
      <c r="G1021" s="2" t="s">
        <v>1348</v>
      </c>
      <c r="H1021" s="2" t="s">
        <v>65</v>
      </c>
      <c r="I1021" s="2" t="s">
        <v>43</v>
      </c>
      <c r="J1021" s="2" t="s">
        <v>3685</v>
      </c>
      <c r="K1021" s="2">
        <v>2</v>
      </c>
      <c r="L1021" s="2" t="s">
        <v>21</v>
      </c>
      <c r="M1021" s="2" t="s">
        <v>29</v>
      </c>
      <c r="N1021" s="2">
        <v>277.08999999999997</v>
      </c>
    </row>
    <row r="1022" spans="1:14" ht="15" x14ac:dyDescent="0.25">
      <c r="A1022" s="2" t="s">
        <v>3686</v>
      </c>
      <c r="B1022" s="3">
        <v>45404</v>
      </c>
      <c r="C1022" s="2" t="s">
        <v>3687</v>
      </c>
      <c r="D1022" s="2" t="s">
        <v>32</v>
      </c>
      <c r="E1022" s="2">
        <v>2</v>
      </c>
      <c r="F1022" s="2">
        <v>26.5</v>
      </c>
      <c r="G1022" s="2" t="s">
        <v>1431</v>
      </c>
      <c r="H1022" s="2" t="s">
        <v>27</v>
      </c>
      <c r="I1022" s="2" t="s">
        <v>50</v>
      </c>
      <c r="J1022" s="2" t="s">
        <v>3688</v>
      </c>
      <c r="K1022" s="2">
        <v>3</v>
      </c>
      <c r="L1022" s="2" t="s">
        <v>21</v>
      </c>
      <c r="M1022" s="2" t="s">
        <v>22</v>
      </c>
      <c r="N1022" s="2">
        <v>53</v>
      </c>
    </row>
    <row r="1023" spans="1:14" ht="15" x14ac:dyDescent="0.25">
      <c r="A1023" s="2" t="s">
        <v>3689</v>
      </c>
      <c r="B1023" s="3">
        <v>45222</v>
      </c>
      <c r="C1023" s="2" t="s">
        <v>3690</v>
      </c>
      <c r="D1023" s="2" t="s">
        <v>25</v>
      </c>
      <c r="E1023" s="2">
        <v>3</v>
      </c>
      <c r="F1023" s="2">
        <v>315.27</v>
      </c>
      <c r="G1023" s="2" t="s">
        <v>3192</v>
      </c>
      <c r="H1023" s="2" t="s">
        <v>34</v>
      </c>
      <c r="I1023" s="2" t="s">
        <v>35</v>
      </c>
      <c r="J1023" s="2" t="s">
        <v>3691</v>
      </c>
      <c r="K1023" s="2">
        <v>4</v>
      </c>
      <c r="L1023" s="2" t="s">
        <v>21</v>
      </c>
      <c r="M1023" s="2" t="s">
        <v>38</v>
      </c>
      <c r="N1023" s="2">
        <v>945.81</v>
      </c>
    </row>
    <row r="1024" spans="1:14" ht="15" x14ac:dyDescent="0.25">
      <c r="A1024" s="2" t="s">
        <v>3692</v>
      </c>
      <c r="B1024" s="3">
        <v>45712</v>
      </c>
      <c r="C1024" s="2" t="s">
        <v>3693</v>
      </c>
      <c r="D1024" s="2" t="s">
        <v>32</v>
      </c>
      <c r="E1024" s="2">
        <v>3</v>
      </c>
      <c r="F1024" s="2">
        <v>450.98</v>
      </c>
      <c r="G1024" s="2" t="s">
        <v>2579</v>
      </c>
      <c r="H1024" s="2" t="s">
        <v>34</v>
      </c>
      <c r="I1024" s="2" t="s">
        <v>19</v>
      </c>
      <c r="J1024" s="2" t="s">
        <v>3694</v>
      </c>
      <c r="K1024" s="2">
        <v>8</v>
      </c>
      <c r="L1024" s="2" t="s">
        <v>21</v>
      </c>
      <c r="M1024" s="2" t="s">
        <v>29</v>
      </c>
      <c r="N1024" s="2">
        <v>1352.94</v>
      </c>
    </row>
    <row r="1025" spans="1:14" ht="15" x14ac:dyDescent="0.25">
      <c r="A1025" s="2" t="s">
        <v>3695</v>
      </c>
      <c r="B1025" s="3">
        <v>45558</v>
      </c>
      <c r="C1025" s="2" t="s">
        <v>3696</v>
      </c>
      <c r="D1025" s="2" t="s">
        <v>58</v>
      </c>
      <c r="E1025" s="2">
        <v>5</v>
      </c>
      <c r="F1025" s="2">
        <v>233.67</v>
      </c>
      <c r="G1025" s="2" t="s">
        <v>391</v>
      </c>
      <c r="H1025" s="2" t="s">
        <v>65</v>
      </c>
      <c r="I1025" s="2" t="s">
        <v>19</v>
      </c>
      <c r="J1025" s="2" t="s">
        <v>3697</v>
      </c>
      <c r="K1025" s="2">
        <v>10</v>
      </c>
      <c r="M1025" s="2" t="s">
        <v>29</v>
      </c>
      <c r="N1025" s="2">
        <v>1168.3499999999999</v>
      </c>
    </row>
    <row r="1026" spans="1:14" ht="15" x14ac:dyDescent="0.25">
      <c r="A1026" s="2" t="s">
        <v>3698</v>
      </c>
      <c r="B1026" s="3">
        <v>45320</v>
      </c>
      <c r="C1026" s="2" t="s">
        <v>3699</v>
      </c>
      <c r="D1026" s="2" t="s">
        <v>41</v>
      </c>
      <c r="E1026" s="2">
        <v>3</v>
      </c>
      <c r="F1026" s="2">
        <v>367.75</v>
      </c>
      <c r="G1026" s="2" t="s">
        <v>1786</v>
      </c>
      <c r="H1026" s="2" t="s">
        <v>65</v>
      </c>
      <c r="I1026" s="2" t="s">
        <v>89</v>
      </c>
      <c r="J1026" s="2" t="s">
        <v>3700</v>
      </c>
      <c r="K1026" s="2">
        <v>7</v>
      </c>
      <c r="L1026" s="2" t="s">
        <v>37</v>
      </c>
      <c r="M1026" s="2" t="s">
        <v>45</v>
      </c>
      <c r="N1026" s="2">
        <v>1103.25</v>
      </c>
    </row>
    <row r="1027" spans="1:14" ht="15" x14ac:dyDescent="0.25">
      <c r="A1027" s="2" t="s">
        <v>3701</v>
      </c>
      <c r="B1027" s="3">
        <v>45794</v>
      </c>
      <c r="C1027" s="2" t="s">
        <v>3702</v>
      </c>
      <c r="D1027" s="2" t="s">
        <v>41</v>
      </c>
      <c r="E1027" s="2">
        <v>1</v>
      </c>
      <c r="F1027" s="2">
        <v>23.53</v>
      </c>
      <c r="G1027" s="2" t="s">
        <v>626</v>
      </c>
      <c r="H1027" s="2" t="s">
        <v>60</v>
      </c>
      <c r="I1027" s="2" t="s">
        <v>50</v>
      </c>
      <c r="J1027" s="2" t="s">
        <v>3703</v>
      </c>
      <c r="K1027" s="2">
        <v>2</v>
      </c>
      <c r="L1027" s="2" t="s">
        <v>37</v>
      </c>
      <c r="M1027" s="2" t="s">
        <v>22</v>
      </c>
      <c r="N1027" s="2">
        <v>23.53</v>
      </c>
    </row>
    <row r="1028" spans="1:14" ht="15" x14ac:dyDescent="0.25">
      <c r="A1028" s="2" t="s">
        <v>3704</v>
      </c>
      <c r="B1028" s="3">
        <v>45047</v>
      </c>
      <c r="C1028" s="2" t="s">
        <v>3705</v>
      </c>
      <c r="D1028" s="2" t="s">
        <v>16</v>
      </c>
      <c r="E1028" s="2">
        <v>1</v>
      </c>
      <c r="F1028" s="2">
        <v>677.48</v>
      </c>
      <c r="G1028" s="2" t="s">
        <v>506</v>
      </c>
      <c r="H1028" s="2" t="s">
        <v>27</v>
      </c>
      <c r="I1028" s="2" t="s">
        <v>50</v>
      </c>
      <c r="J1028" s="2" t="s">
        <v>3706</v>
      </c>
      <c r="K1028" s="2">
        <v>1</v>
      </c>
      <c r="L1028" s="2" t="s">
        <v>81</v>
      </c>
      <c r="M1028" s="2" t="s">
        <v>45</v>
      </c>
      <c r="N1028" s="2">
        <v>677.48</v>
      </c>
    </row>
    <row r="1029" spans="1:14" ht="15" x14ac:dyDescent="0.25">
      <c r="A1029" s="2" t="s">
        <v>3707</v>
      </c>
      <c r="B1029" s="3">
        <v>45433</v>
      </c>
      <c r="C1029" s="2" t="s">
        <v>3708</v>
      </c>
      <c r="D1029" s="2" t="s">
        <v>58</v>
      </c>
      <c r="E1029" s="2">
        <v>4</v>
      </c>
      <c r="F1029" s="2">
        <v>554.83000000000004</v>
      </c>
      <c r="G1029" s="2" t="s">
        <v>2798</v>
      </c>
      <c r="H1029" s="2" t="s">
        <v>65</v>
      </c>
      <c r="I1029" s="2" t="s">
        <v>43</v>
      </c>
      <c r="J1029" s="2" t="s">
        <v>3709</v>
      </c>
      <c r="K1029" s="2">
        <v>6</v>
      </c>
      <c r="M1029" s="2" t="s">
        <v>76</v>
      </c>
      <c r="N1029" s="2">
        <v>2219.3200000000002</v>
      </c>
    </row>
    <row r="1030" spans="1:14" ht="15" x14ac:dyDescent="0.25">
      <c r="A1030" s="2" t="s">
        <v>3710</v>
      </c>
      <c r="B1030" s="3">
        <v>44974</v>
      </c>
      <c r="C1030" s="2" t="s">
        <v>3711</v>
      </c>
      <c r="D1030" s="2" t="s">
        <v>73</v>
      </c>
      <c r="E1030" s="2">
        <v>4</v>
      </c>
      <c r="F1030" s="2">
        <v>440.31</v>
      </c>
      <c r="G1030" s="2" t="s">
        <v>937</v>
      </c>
      <c r="H1030" s="2" t="s">
        <v>65</v>
      </c>
      <c r="I1030" s="2" t="s">
        <v>35</v>
      </c>
      <c r="J1030" s="2" t="s">
        <v>3712</v>
      </c>
      <c r="K1030" s="2">
        <v>6</v>
      </c>
      <c r="M1030" s="2" t="s">
        <v>22</v>
      </c>
      <c r="N1030" s="2">
        <v>1761.24</v>
      </c>
    </row>
    <row r="1031" spans="1:14" ht="15" x14ac:dyDescent="0.25">
      <c r="A1031" s="2" t="s">
        <v>3713</v>
      </c>
      <c r="B1031" s="3">
        <v>45717</v>
      </c>
      <c r="C1031" s="2" t="s">
        <v>3714</v>
      </c>
      <c r="D1031" s="2" t="s">
        <v>73</v>
      </c>
      <c r="E1031" s="2">
        <v>1</v>
      </c>
      <c r="F1031" s="2">
        <v>87.06</v>
      </c>
      <c r="G1031" s="2" t="s">
        <v>3483</v>
      </c>
      <c r="H1031" s="2" t="s">
        <v>34</v>
      </c>
      <c r="I1031" s="2" t="s">
        <v>19</v>
      </c>
      <c r="J1031" s="2" t="s">
        <v>3715</v>
      </c>
      <c r="K1031" s="2">
        <v>4</v>
      </c>
      <c r="L1031" s="2" t="s">
        <v>37</v>
      </c>
      <c r="M1031" s="2" t="s">
        <v>38</v>
      </c>
      <c r="N1031" s="2">
        <v>87.06</v>
      </c>
    </row>
    <row r="1032" spans="1:14" ht="15" x14ac:dyDescent="0.25">
      <c r="A1032" s="2" t="s">
        <v>3716</v>
      </c>
      <c r="B1032" s="3">
        <v>45201</v>
      </c>
      <c r="C1032" s="2" t="s">
        <v>3717</v>
      </c>
      <c r="D1032" s="2" t="s">
        <v>25</v>
      </c>
      <c r="E1032" s="2">
        <v>4</v>
      </c>
      <c r="F1032" s="2">
        <v>245.28</v>
      </c>
      <c r="G1032" s="2" t="s">
        <v>3718</v>
      </c>
      <c r="H1032" s="2" t="s">
        <v>34</v>
      </c>
      <c r="I1032" s="2" t="s">
        <v>50</v>
      </c>
      <c r="J1032" s="2" t="s">
        <v>3719</v>
      </c>
      <c r="K1032" s="2">
        <v>6</v>
      </c>
      <c r="L1032" s="2" t="s">
        <v>81</v>
      </c>
      <c r="M1032" s="2" t="s">
        <v>38</v>
      </c>
      <c r="N1032" s="2">
        <v>981.12</v>
      </c>
    </row>
    <row r="1033" spans="1:14" ht="15" x14ac:dyDescent="0.25">
      <c r="A1033" s="2" t="s">
        <v>3720</v>
      </c>
      <c r="B1033" s="3">
        <v>44985</v>
      </c>
      <c r="C1033" s="2" t="s">
        <v>3721</v>
      </c>
      <c r="D1033" s="2" t="s">
        <v>25</v>
      </c>
      <c r="E1033" s="2">
        <v>5</v>
      </c>
      <c r="F1033" s="2">
        <v>664.51</v>
      </c>
      <c r="G1033" s="2" t="s">
        <v>3722</v>
      </c>
      <c r="H1033" s="2" t="s">
        <v>18</v>
      </c>
      <c r="I1033" s="2" t="s">
        <v>89</v>
      </c>
      <c r="J1033" s="2" t="s">
        <v>3723</v>
      </c>
      <c r="K1033" s="2">
        <v>8</v>
      </c>
      <c r="L1033" s="2" t="s">
        <v>21</v>
      </c>
      <c r="M1033" s="2" t="s">
        <v>38</v>
      </c>
      <c r="N1033" s="2">
        <v>3322.55</v>
      </c>
    </row>
    <row r="1034" spans="1:14" ht="15" x14ac:dyDescent="0.25">
      <c r="A1034" s="2" t="s">
        <v>3724</v>
      </c>
      <c r="B1034" s="3">
        <v>45036</v>
      </c>
      <c r="C1034" s="2" t="s">
        <v>3725</v>
      </c>
      <c r="D1034" s="2" t="s">
        <v>41</v>
      </c>
      <c r="E1034" s="2">
        <v>1</v>
      </c>
      <c r="F1034" s="2">
        <v>618.67999999999995</v>
      </c>
      <c r="G1034" s="2" t="s">
        <v>1133</v>
      </c>
      <c r="H1034" s="2" t="s">
        <v>27</v>
      </c>
      <c r="I1034" s="2" t="s">
        <v>50</v>
      </c>
      <c r="J1034" s="2" t="s">
        <v>3726</v>
      </c>
      <c r="K1034" s="2">
        <v>6</v>
      </c>
      <c r="L1034" s="2" t="s">
        <v>81</v>
      </c>
      <c r="M1034" s="2" t="s">
        <v>29</v>
      </c>
      <c r="N1034" s="2">
        <v>618.67999999999995</v>
      </c>
    </row>
    <row r="1035" spans="1:14" ht="15" x14ac:dyDescent="0.25">
      <c r="A1035" s="2" t="s">
        <v>3727</v>
      </c>
      <c r="B1035" s="3">
        <v>45650</v>
      </c>
      <c r="C1035" s="2" t="s">
        <v>3728</v>
      </c>
      <c r="D1035" s="2" t="s">
        <v>16</v>
      </c>
      <c r="E1035" s="2">
        <v>1</v>
      </c>
      <c r="F1035" s="2">
        <v>370.85</v>
      </c>
      <c r="G1035" s="2" t="s">
        <v>3729</v>
      </c>
      <c r="H1035" s="2" t="s">
        <v>60</v>
      </c>
      <c r="I1035" s="2" t="s">
        <v>50</v>
      </c>
      <c r="J1035" s="2" t="s">
        <v>3730</v>
      </c>
      <c r="K1035" s="2">
        <v>2</v>
      </c>
      <c r="L1035" s="2" t="s">
        <v>37</v>
      </c>
      <c r="M1035" s="2" t="s">
        <v>29</v>
      </c>
      <c r="N1035" s="2">
        <v>370.85</v>
      </c>
    </row>
    <row r="1036" spans="1:14" ht="15" x14ac:dyDescent="0.25">
      <c r="A1036" s="2" t="s">
        <v>3731</v>
      </c>
      <c r="B1036" s="3">
        <v>45459</v>
      </c>
      <c r="C1036" s="2" t="s">
        <v>3732</v>
      </c>
      <c r="D1036" s="2" t="s">
        <v>48</v>
      </c>
      <c r="E1036" s="2">
        <v>4</v>
      </c>
      <c r="F1036" s="2">
        <v>517.98</v>
      </c>
      <c r="G1036" s="2" t="s">
        <v>3733</v>
      </c>
      <c r="H1036" s="2" t="s">
        <v>65</v>
      </c>
      <c r="I1036" s="2" t="s">
        <v>35</v>
      </c>
      <c r="J1036" s="2" t="s">
        <v>3734</v>
      </c>
      <c r="K1036" s="2">
        <v>8</v>
      </c>
      <c r="L1036" s="2" t="s">
        <v>37</v>
      </c>
      <c r="M1036" s="2" t="s">
        <v>45</v>
      </c>
      <c r="N1036" s="2">
        <v>2071.92</v>
      </c>
    </row>
    <row r="1037" spans="1:14" ht="15" x14ac:dyDescent="0.25">
      <c r="A1037" s="2" t="s">
        <v>3735</v>
      </c>
      <c r="B1037" s="3">
        <v>45242</v>
      </c>
      <c r="C1037" s="2" t="s">
        <v>3736</v>
      </c>
      <c r="D1037" s="2" t="s">
        <v>58</v>
      </c>
      <c r="E1037" s="2">
        <v>4</v>
      </c>
      <c r="F1037" s="2">
        <v>506.11</v>
      </c>
      <c r="G1037" s="2" t="s">
        <v>3737</v>
      </c>
      <c r="H1037" s="2" t="s">
        <v>65</v>
      </c>
      <c r="I1037" s="2" t="s">
        <v>35</v>
      </c>
      <c r="J1037" s="2" t="s">
        <v>3738</v>
      </c>
      <c r="K1037" s="2">
        <v>5</v>
      </c>
      <c r="M1037" s="2" t="s">
        <v>29</v>
      </c>
      <c r="N1037" s="2">
        <v>2024.44</v>
      </c>
    </row>
    <row r="1038" spans="1:14" ht="15" x14ac:dyDescent="0.25">
      <c r="A1038" s="2" t="s">
        <v>3739</v>
      </c>
      <c r="B1038" s="3">
        <v>45443</v>
      </c>
      <c r="C1038" s="2" t="s">
        <v>3740</v>
      </c>
      <c r="D1038" s="2" t="s">
        <v>25</v>
      </c>
      <c r="E1038" s="2">
        <v>3</v>
      </c>
      <c r="F1038" s="2">
        <v>413.83</v>
      </c>
      <c r="G1038" s="2" t="s">
        <v>312</v>
      </c>
      <c r="H1038" s="2" t="s">
        <v>60</v>
      </c>
      <c r="I1038" s="2" t="s">
        <v>19</v>
      </c>
      <c r="J1038" s="2" t="s">
        <v>3741</v>
      </c>
      <c r="K1038" s="2">
        <v>8</v>
      </c>
      <c r="L1038" s="2" t="s">
        <v>21</v>
      </c>
      <c r="M1038" s="2" t="s">
        <v>45</v>
      </c>
      <c r="N1038" s="2">
        <v>1241.49</v>
      </c>
    </row>
    <row r="1039" spans="1:14" ht="15" x14ac:dyDescent="0.25">
      <c r="A1039" s="2" t="s">
        <v>3742</v>
      </c>
      <c r="B1039" s="3">
        <v>45273</v>
      </c>
      <c r="C1039" s="2" t="s">
        <v>3743</v>
      </c>
      <c r="D1039" s="2" t="s">
        <v>48</v>
      </c>
      <c r="E1039" s="2">
        <v>1</v>
      </c>
      <c r="F1039" s="2">
        <v>249.81</v>
      </c>
      <c r="G1039" s="2" t="s">
        <v>2565</v>
      </c>
      <c r="H1039" s="2" t="s">
        <v>65</v>
      </c>
      <c r="I1039" s="2" t="s">
        <v>89</v>
      </c>
      <c r="J1039" s="2" t="s">
        <v>3744</v>
      </c>
      <c r="K1039" s="2">
        <v>1</v>
      </c>
      <c r="L1039" s="2" t="s">
        <v>21</v>
      </c>
      <c r="M1039" s="2" t="s">
        <v>76</v>
      </c>
      <c r="N1039" s="2">
        <v>249.81</v>
      </c>
    </row>
    <row r="1040" spans="1:14" ht="15" x14ac:dyDescent="0.25">
      <c r="A1040" s="2" t="s">
        <v>3745</v>
      </c>
      <c r="B1040" s="3">
        <v>45731</v>
      </c>
      <c r="C1040" s="2" t="s">
        <v>3746</v>
      </c>
      <c r="D1040" s="2" t="s">
        <v>32</v>
      </c>
      <c r="E1040" s="2">
        <v>3</v>
      </c>
      <c r="F1040" s="2">
        <v>362.53</v>
      </c>
      <c r="G1040" s="2" t="s">
        <v>3747</v>
      </c>
      <c r="H1040" s="2" t="s">
        <v>18</v>
      </c>
      <c r="I1040" s="2" t="s">
        <v>43</v>
      </c>
      <c r="J1040" s="2" t="s">
        <v>3748</v>
      </c>
      <c r="K1040" s="2">
        <v>5</v>
      </c>
      <c r="M1040" s="2" t="s">
        <v>45</v>
      </c>
      <c r="N1040" s="2">
        <v>1087.5899999999999</v>
      </c>
    </row>
    <row r="1041" spans="1:14" ht="15" x14ac:dyDescent="0.25">
      <c r="A1041" s="2" t="s">
        <v>3749</v>
      </c>
      <c r="B1041" s="3">
        <v>45836</v>
      </c>
      <c r="C1041" s="2" t="s">
        <v>3750</v>
      </c>
      <c r="D1041" s="2" t="s">
        <v>73</v>
      </c>
      <c r="E1041" s="2">
        <v>2</v>
      </c>
      <c r="F1041" s="2">
        <v>299.23</v>
      </c>
      <c r="G1041" s="2" t="s">
        <v>3751</v>
      </c>
      <c r="H1041" s="2" t="s">
        <v>34</v>
      </c>
      <c r="I1041" s="2" t="s">
        <v>35</v>
      </c>
      <c r="J1041" s="2" t="s">
        <v>3752</v>
      </c>
      <c r="K1041" s="2">
        <v>2</v>
      </c>
      <c r="L1041" s="2" t="s">
        <v>81</v>
      </c>
      <c r="M1041" s="2" t="s">
        <v>22</v>
      </c>
      <c r="N1041" s="2">
        <v>598.46</v>
      </c>
    </row>
    <row r="1042" spans="1:14" ht="15" x14ac:dyDescent="0.25">
      <c r="A1042" s="2" t="s">
        <v>3753</v>
      </c>
      <c r="B1042" s="3">
        <v>45245</v>
      </c>
      <c r="C1042" s="2" t="s">
        <v>3754</v>
      </c>
      <c r="D1042" s="2" t="s">
        <v>32</v>
      </c>
      <c r="E1042" s="2">
        <v>1</v>
      </c>
      <c r="F1042" s="2">
        <v>536.07000000000005</v>
      </c>
      <c r="G1042" s="2" t="s">
        <v>2116</v>
      </c>
      <c r="H1042" s="2" t="s">
        <v>18</v>
      </c>
      <c r="I1042" s="2" t="s">
        <v>50</v>
      </c>
      <c r="J1042" s="2" t="s">
        <v>3755</v>
      </c>
      <c r="K1042" s="2">
        <v>5</v>
      </c>
      <c r="L1042" s="2" t="s">
        <v>37</v>
      </c>
      <c r="M1042" s="2" t="s">
        <v>76</v>
      </c>
      <c r="N1042" s="2">
        <v>536.07000000000005</v>
      </c>
    </row>
    <row r="1043" spans="1:14" ht="15" x14ac:dyDescent="0.25">
      <c r="A1043" s="2" t="s">
        <v>3756</v>
      </c>
      <c r="B1043" s="3">
        <v>44968</v>
      </c>
      <c r="C1043" s="2" t="s">
        <v>3757</v>
      </c>
      <c r="D1043" s="2" t="s">
        <v>16</v>
      </c>
      <c r="E1043" s="2">
        <v>4</v>
      </c>
      <c r="F1043" s="2">
        <v>558.9</v>
      </c>
      <c r="G1043" s="2" t="s">
        <v>929</v>
      </c>
      <c r="H1043" s="2" t="s">
        <v>60</v>
      </c>
      <c r="I1043" s="2" t="s">
        <v>19</v>
      </c>
      <c r="J1043" s="2" t="s">
        <v>3758</v>
      </c>
      <c r="K1043" s="2">
        <v>9</v>
      </c>
      <c r="L1043" s="2" t="s">
        <v>81</v>
      </c>
      <c r="M1043" s="2" t="s">
        <v>76</v>
      </c>
      <c r="N1043" s="2">
        <v>2235.6</v>
      </c>
    </row>
    <row r="1044" spans="1:14" ht="15" x14ac:dyDescent="0.25">
      <c r="A1044" s="2" t="s">
        <v>3759</v>
      </c>
      <c r="B1044" s="3">
        <v>45635</v>
      </c>
      <c r="C1044" s="2" t="s">
        <v>3760</v>
      </c>
      <c r="D1044" s="2" t="s">
        <v>32</v>
      </c>
      <c r="E1044" s="2">
        <v>2</v>
      </c>
      <c r="F1044" s="2">
        <v>409.75</v>
      </c>
      <c r="G1044" s="2" t="s">
        <v>1281</v>
      </c>
      <c r="H1044" s="2" t="s">
        <v>18</v>
      </c>
      <c r="I1044" s="2" t="s">
        <v>19</v>
      </c>
      <c r="J1044" s="2" t="s">
        <v>3761</v>
      </c>
      <c r="K1044" s="2">
        <v>2</v>
      </c>
      <c r="L1044" s="2" t="s">
        <v>81</v>
      </c>
      <c r="M1044" s="2" t="s">
        <v>45</v>
      </c>
      <c r="N1044" s="2">
        <v>819.5</v>
      </c>
    </row>
    <row r="1045" spans="1:14" ht="15" x14ac:dyDescent="0.25">
      <c r="A1045" s="2" t="s">
        <v>3762</v>
      </c>
      <c r="B1045" s="3">
        <v>45668</v>
      </c>
      <c r="C1045" s="2" t="s">
        <v>3763</v>
      </c>
      <c r="D1045" s="2" t="s">
        <v>32</v>
      </c>
      <c r="E1045" s="2">
        <v>2</v>
      </c>
      <c r="F1045" s="2">
        <v>179.96</v>
      </c>
      <c r="G1045" s="2" t="s">
        <v>3522</v>
      </c>
      <c r="H1045" s="2" t="s">
        <v>60</v>
      </c>
      <c r="I1045" s="2" t="s">
        <v>19</v>
      </c>
      <c r="J1045" s="2" t="s">
        <v>3764</v>
      </c>
      <c r="K1045" s="2">
        <v>5</v>
      </c>
      <c r="M1045" s="2" t="s">
        <v>22</v>
      </c>
      <c r="N1045" s="2">
        <v>359.92</v>
      </c>
    </row>
    <row r="1046" spans="1:14" ht="15" x14ac:dyDescent="0.25">
      <c r="A1046" s="2" t="s">
        <v>3765</v>
      </c>
      <c r="B1046" s="3">
        <v>45830</v>
      </c>
      <c r="C1046" s="2" t="s">
        <v>3766</v>
      </c>
      <c r="D1046" s="2" t="s">
        <v>48</v>
      </c>
      <c r="E1046" s="2">
        <v>1</v>
      </c>
      <c r="F1046" s="2">
        <v>38.49</v>
      </c>
      <c r="G1046" s="2" t="s">
        <v>3767</v>
      </c>
      <c r="H1046" s="2" t="s">
        <v>34</v>
      </c>
      <c r="I1046" s="2" t="s">
        <v>50</v>
      </c>
      <c r="J1046" s="2" t="s">
        <v>3768</v>
      </c>
      <c r="K1046" s="2">
        <v>4</v>
      </c>
      <c r="L1046" s="2" t="s">
        <v>37</v>
      </c>
      <c r="M1046" s="2" t="s">
        <v>29</v>
      </c>
      <c r="N1046" s="2">
        <v>38.49</v>
      </c>
    </row>
    <row r="1047" spans="1:14" ht="15" x14ac:dyDescent="0.25">
      <c r="A1047" s="2" t="s">
        <v>3769</v>
      </c>
      <c r="B1047" s="3">
        <v>45555</v>
      </c>
      <c r="C1047" s="2" t="s">
        <v>3770</v>
      </c>
      <c r="D1047" s="2" t="s">
        <v>58</v>
      </c>
      <c r="E1047" s="2">
        <v>5</v>
      </c>
      <c r="F1047" s="2">
        <v>316.39999999999998</v>
      </c>
      <c r="G1047" s="2" t="s">
        <v>3771</v>
      </c>
      <c r="H1047" s="2" t="s">
        <v>60</v>
      </c>
      <c r="I1047" s="2" t="s">
        <v>43</v>
      </c>
      <c r="J1047" s="2" t="s">
        <v>3772</v>
      </c>
      <c r="K1047" s="2">
        <v>7</v>
      </c>
      <c r="M1047" s="2" t="s">
        <v>38</v>
      </c>
      <c r="N1047" s="2">
        <v>1582</v>
      </c>
    </row>
    <row r="1048" spans="1:14" ht="15" x14ac:dyDescent="0.25">
      <c r="A1048" s="2" t="s">
        <v>3773</v>
      </c>
      <c r="B1048" s="3">
        <v>45572</v>
      </c>
      <c r="C1048" s="2" t="s">
        <v>3774</v>
      </c>
      <c r="D1048" s="2" t="s">
        <v>32</v>
      </c>
      <c r="E1048" s="2">
        <v>3</v>
      </c>
      <c r="F1048" s="2">
        <v>547.15</v>
      </c>
      <c r="G1048" s="2" t="s">
        <v>3775</v>
      </c>
      <c r="H1048" s="2" t="s">
        <v>27</v>
      </c>
      <c r="I1048" s="2" t="s">
        <v>19</v>
      </c>
      <c r="J1048" s="2" t="s">
        <v>3776</v>
      </c>
      <c r="K1048" s="2">
        <v>4</v>
      </c>
      <c r="L1048" s="2" t="s">
        <v>81</v>
      </c>
      <c r="M1048" s="2" t="s">
        <v>22</v>
      </c>
      <c r="N1048" s="2">
        <v>1641.45</v>
      </c>
    </row>
    <row r="1049" spans="1:14" ht="15" x14ac:dyDescent="0.25">
      <c r="A1049" s="2" t="s">
        <v>3777</v>
      </c>
      <c r="B1049" s="3">
        <v>45100</v>
      </c>
      <c r="C1049" s="2" t="s">
        <v>3778</v>
      </c>
      <c r="D1049" s="2" t="s">
        <v>41</v>
      </c>
      <c r="E1049" s="2">
        <v>4</v>
      </c>
      <c r="F1049" s="2">
        <v>540.34</v>
      </c>
      <c r="G1049" s="2" t="s">
        <v>3779</v>
      </c>
      <c r="H1049" s="2" t="s">
        <v>60</v>
      </c>
      <c r="I1049" s="2" t="s">
        <v>19</v>
      </c>
      <c r="J1049" s="2" t="s">
        <v>3780</v>
      </c>
      <c r="K1049" s="2">
        <v>6</v>
      </c>
      <c r="L1049" s="2" t="s">
        <v>81</v>
      </c>
      <c r="M1049" s="2" t="s">
        <v>29</v>
      </c>
      <c r="N1049" s="2">
        <v>2161.36</v>
      </c>
    </row>
    <row r="1050" spans="1:14" ht="15" x14ac:dyDescent="0.25">
      <c r="A1050" s="2" t="s">
        <v>3781</v>
      </c>
      <c r="B1050" s="3">
        <v>45544</v>
      </c>
      <c r="C1050" s="2" t="s">
        <v>3782</v>
      </c>
      <c r="D1050" s="2" t="s">
        <v>16</v>
      </c>
      <c r="E1050" s="2">
        <v>4</v>
      </c>
      <c r="F1050" s="2">
        <v>73.650000000000006</v>
      </c>
      <c r="G1050" s="2" t="s">
        <v>3783</v>
      </c>
      <c r="H1050" s="2" t="s">
        <v>18</v>
      </c>
      <c r="I1050" s="2" t="s">
        <v>19</v>
      </c>
      <c r="J1050" s="2" t="s">
        <v>3784</v>
      </c>
      <c r="K1050" s="2">
        <v>9</v>
      </c>
      <c r="M1050" s="2" t="s">
        <v>76</v>
      </c>
      <c r="N1050" s="2">
        <v>294.60000000000002</v>
      </c>
    </row>
    <row r="1051" spans="1:14" ht="15" x14ac:dyDescent="0.25">
      <c r="A1051" s="2" t="s">
        <v>3785</v>
      </c>
      <c r="B1051" s="3">
        <v>45491</v>
      </c>
      <c r="C1051" s="2" t="s">
        <v>3786</v>
      </c>
      <c r="D1051" s="2" t="s">
        <v>73</v>
      </c>
      <c r="E1051" s="2">
        <v>5</v>
      </c>
      <c r="F1051" s="2">
        <v>391.86</v>
      </c>
      <c r="G1051" s="2" t="s">
        <v>121</v>
      </c>
      <c r="H1051" s="2" t="s">
        <v>34</v>
      </c>
      <c r="I1051" s="2" t="s">
        <v>19</v>
      </c>
      <c r="J1051" s="2" t="s">
        <v>3787</v>
      </c>
      <c r="K1051" s="2">
        <v>6</v>
      </c>
      <c r="M1051" s="2" t="s">
        <v>22</v>
      </c>
      <c r="N1051" s="2">
        <v>1959.3</v>
      </c>
    </row>
    <row r="1052" spans="1:14" ht="15" x14ac:dyDescent="0.25">
      <c r="A1052" s="2" t="s">
        <v>3788</v>
      </c>
      <c r="B1052" s="3">
        <v>45158</v>
      </c>
      <c r="C1052" s="2" t="s">
        <v>3789</v>
      </c>
      <c r="D1052" s="2" t="s">
        <v>58</v>
      </c>
      <c r="E1052" s="2">
        <v>5</v>
      </c>
      <c r="F1052" s="2">
        <v>69.7</v>
      </c>
      <c r="G1052" s="2" t="s">
        <v>2029</v>
      </c>
      <c r="H1052" s="2" t="s">
        <v>27</v>
      </c>
      <c r="I1052" s="2" t="s">
        <v>43</v>
      </c>
      <c r="J1052" s="2" t="s">
        <v>3790</v>
      </c>
      <c r="K1052" s="2">
        <v>9</v>
      </c>
      <c r="M1052" s="2" t="s">
        <v>22</v>
      </c>
      <c r="N1052" s="2">
        <v>348.5</v>
      </c>
    </row>
    <row r="1053" spans="1:14" ht="15" x14ac:dyDescent="0.25">
      <c r="A1053" s="2" t="s">
        <v>3791</v>
      </c>
      <c r="B1053" s="3">
        <v>45721</v>
      </c>
      <c r="C1053" s="2" t="s">
        <v>3792</v>
      </c>
      <c r="D1053" s="2" t="s">
        <v>16</v>
      </c>
      <c r="E1053" s="2">
        <v>5</v>
      </c>
      <c r="F1053" s="2">
        <v>26.43</v>
      </c>
      <c r="G1053" s="2" t="s">
        <v>3793</v>
      </c>
      <c r="H1053" s="2" t="s">
        <v>60</v>
      </c>
      <c r="I1053" s="2" t="s">
        <v>19</v>
      </c>
      <c r="J1053" s="2" t="s">
        <v>3794</v>
      </c>
      <c r="K1053" s="2">
        <v>5</v>
      </c>
      <c r="L1053" s="2" t="s">
        <v>37</v>
      </c>
      <c r="M1053" s="2" t="s">
        <v>45</v>
      </c>
      <c r="N1053" s="2">
        <v>132.15</v>
      </c>
    </row>
    <row r="1054" spans="1:14" ht="15" x14ac:dyDescent="0.25">
      <c r="A1054" s="2" t="s">
        <v>3795</v>
      </c>
      <c r="B1054" s="3">
        <v>45180</v>
      </c>
      <c r="C1054" s="2" t="s">
        <v>3796</v>
      </c>
      <c r="D1054" s="2" t="s">
        <v>32</v>
      </c>
      <c r="E1054" s="2">
        <v>1</v>
      </c>
      <c r="F1054" s="2">
        <v>531.74</v>
      </c>
      <c r="G1054" s="2" t="s">
        <v>3797</v>
      </c>
      <c r="H1054" s="2" t="s">
        <v>27</v>
      </c>
      <c r="I1054" s="2" t="s">
        <v>19</v>
      </c>
      <c r="J1054" s="2" t="s">
        <v>3798</v>
      </c>
      <c r="K1054" s="2">
        <v>1</v>
      </c>
      <c r="L1054" s="2" t="s">
        <v>81</v>
      </c>
      <c r="M1054" s="2" t="s">
        <v>76</v>
      </c>
      <c r="N1054" s="2">
        <v>531.74</v>
      </c>
    </row>
    <row r="1055" spans="1:14" ht="15" x14ac:dyDescent="0.25">
      <c r="A1055" s="2" t="s">
        <v>3799</v>
      </c>
      <c r="B1055" s="3">
        <v>45550</v>
      </c>
      <c r="C1055" s="2" t="s">
        <v>3800</v>
      </c>
      <c r="D1055" s="2" t="s">
        <v>25</v>
      </c>
      <c r="E1055" s="2">
        <v>2</v>
      </c>
      <c r="F1055" s="2">
        <v>496.62</v>
      </c>
      <c r="G1055" s="2" t="s">
        <v>3431</v>
      </c>
      <c r="H1055" s="2" t="s">
        <v>27</v>
      </c>
      <c r="I1055" s="2" t="s">
        <v>89</v>
      </c>
      <c r="J1055" s="2" t="s">
        <v>3801</v>
      </c>
      <c r="K1055" s="2">
        <v>2</v>
      </c>
      <c r="L1055" s="2" t="s">
        <v>21</v>
      </c>
      <c r="M1055" s="2" t="s">
        <v>22</v>
      </c>
      <c r="N1055" s="2">
        <v>993.24</v>
      </c>
    </row>
    <row r="1056" spans="1:14" ht="15" x14ac:dyDescent="0.25">
      <c r="A1056" s="2" t="s">
        <v>3802</v>
      </c>
      <c r="B1056" s="3">
        <v>45259</v>
      </c>
      <c r="C1056" s="2" t="s">
        <v>3803</v>
      </c>
      <c r="D1056" s="2" t="s">
        <v>48</v>
      </c>
      <c r="E1056" s="2">
        <v>1</v>
      </c>
      <c r="F1056" s="2">
        <v>660.66</v>
      </c>
      <c r="G1056" s="2" t="s">
        <v>379</v>
      </c>
      <c r="H1056" s="2" t="s">
        <v>18</v>
      </c>
      <c r="I1056" s="2" t="s">
        <v>50</v>
      </c>
      <c r="J1056" s="2" t="s">
        <v>3804</v>
      </c>
      <c r="K1056" s="2">
        <v>3</v>
      </c>
      <c r="L1056" s="2" t="s">
        <v>81</v>
      </c>
      <c r="M1056" s="2" t="s">
        <v>22</v>
      </c>
      <c r="N1056" s="2">
        <v>660.66</v>
      </c>
    </row>
    <row r="1057" spans="1:14" ht="15" x14ac:dyDescent="0.25">
      <c r="A1057" s="2" t="s">
        <v>3805</v>
      </c>
      <c r="B1057" s="3">
        <v>45222</v>
      </c>
      <c r="C1057" s="2" t="s">
        <v>3806</v>
      </c>
      <c r="D1057" s="2" t="s">
        <v>16</v>
      </c>
      <c r="E1057" s="2">
        <v>4</v>
      </c>
      <c r="F1057" s="2">
        <v>274.82</v>
      </c>
      <c r="G1057" s="2" t="s">
        <v>2116</v>
      </c>
      <c r="H1057" s="2" t="s">
        <v>18</v>
      </c>
      <c r="I1057" s="2" t="s">
        <v>50</v>
      </c>
      <c r="J1057" s="2" t="s">
        <v>3807</v>
      </c>
      <c r="K1057" s="2">
        <v>9</v>
      </c>
      <c r="L1057" s="2" t="s">
        <v>81</v>
      </c>
      <c r="M1057" s="2" t="s">
        <v>38</v>
      </c>
      <c r="N1057" s="2">
        <v>1099.28</v>
      </c>
    </row>
    <row r="1058" spans="1:14" ht="15" x14ac:dyDescent="0.25">
      <c r="A1058" s="2" t="s">
        <v>3808</v>
      </c>
      <c r="B1058" s="3">
        <v>45457</v>
      </c>
      <c r="C1058" s="2" t="s">
        <v>3809</v>
      </c>
      <c r="D1058" s="2" t="s">
        <v>25</v>
      </c>
      <c r="E1058" s="2">
        <v>2</v>
      </c>
      <c r="F1058" s="2">
        <v>486.35</v>
      </c>
      <c r="G1058" s="2" t="s">
        <v>719</v>
      </c>
      <c r="H1058" s="2" t="s">
        <v>27</v>
      </c>
      <c r="I1058" s="2" t="s">
        <v>89</v>
      </c>
      <c r="J1058" s="2" t="s">
        <v>3810</v>
      </c>
      <c r="K1058" s="2">
        <v>6</v>
      </c>
      <c r="L1058" s="2" t="s">
        <v>21</v>
      </c>
      <c r="M1058" s="2" t="s">
        <v>29</v>
      </c>
      <c r="N1058" s="2">
        <v>972.7</v>
      </c>
    </row>
    <row r="1059" spans="1:14" ht="15" x14ac:dyDescent="0.25">
      <c r="A1059" s="2" t="s">
        <v>3811</v>
      </c>
      <c r="B1059" s="3">
        <v>45559</v>
      </c>
      <c r="C1059" s="2" t="s">
        <v>3812</v>
      </c>
      <c r="D1059" s="2" t="s">
        <v>58</v>
      </c>
      <c r="E1059" s="2">
        <v>3</v>
      </c>
      <c r="F1059" s="2">
        <v>428.88</v>
      </c>
      <c r="G1059" s="2" t="s">
        <v>704</v>
      </c>
      <c r="H1059" s="2" t="s">
        <v>18</v>
      </c>
      <c r="I1059" s="2" t="s">
        <v>19</v>
      </c>
      <c r="J1059" s="2" t="s">
        <v>3813</v>
      </c>
      <c r="K1059" s="2">
        <v>3</v>
      </c>
      <c r="L1059" s="2" t="s">
        <v>81</v>
      </c>
      <c r="M1059" s="2" t="s">
        <v>45</v>
      </c>
      <c r="N1059" s="2">
        <v>1286.6400000000001</v>
      </c>
    </row>
    <row r="1060" spans="1:14" ht="15" x14ac:dyDescent="0.25">
      <c r="A1060" s="2" t="s">
        <v>3814</v>
      </c>
      <c r="B1060" s="3">
        <v>45177</v>
      </c>
      <c r="C1060" s="2" t="s">
        <v>3815</v>
      </c>
      <c r="D1060" s="2" t="s">
        <v>73</v>
      </c>
      <c r="E1060" s="2">
        <v>2</v>
      </c>
      <c r="F1060" s="2">
        <v>412.14</v>
      </c>
      <c r="G1060" s="2" t="s">
        <v>1081</v>
      </c>
      <c r="H1060" s="2" t="s">
        <v>34</v>
      </c>
      <c r="I1060" s="2" t="s">
        <v>43</v>
      </c>
      <c r="J1060" s="2" t="s">
        <v>3816</v>
      </c>
      <c r="K1060" s="2">
        <v>2</v>
      </c>
      <c r="L1060" s="2" t="s">
        <v>37</v>
      </c>
      <c r="M1060" s="2" t="s">
        <v>22</v>
      </c>
      <c r="N1060" s="2">
        <v>824.28</v>
      </c>
    </row>
    <row r="1061" spans="1:14" ht="15" x14ac:dyDescent="0.25">
      <c r="A1061" s="2" t="s">
        <v>3817</v>
      </c>
      <c r="B1061" s="3">
        <v>45557</v>
      </c>
      <c r="C1061" s="2" t="s">
        <v>3818</v>
      </c>
      <c r="D1061" s="2" t="s">
        <v>73</v>
      </c>
      <c r="E1061" s="2">
        <v>1</v>
      </c>
      <c r="F1061" s="2">
        <v>265.64</v>
      </c>
      <c r="G1061" s="2" t="s">
        <v>3819</v>
      </c>
      <c r="H1061" s="2" t="s">
        <v>34</v>
      </c>
      <c r="I1061" s="2" t="s">
        <v>43</v>
      </c>
      <c r="J1061" s="2" t="s">
        <v>3820</v>
      </c>
      <c r="K1061" s="2">
        <v>3</v>
      </c>
      <c r="L1061" s="2" t="s">
        <v>81</v>
      </c>
      <c r="M1061" s="2" t="s">
        <v>22</v>
      </c>
      <c r="N1061" s="2">
        <v>265.64</v>
      </c>
    </row>
    <row r="1062" spans="1:14" ht="15" x14ac:dyDescent="0.25">
      <c r="A1062" s="2" t="s">
        <v>3821</v>
      </c>
      <c r="B1062" s="3">
        <v>45419</v>
      </c>
      <c r="C1062" s="2" t="s">
        <v>3822</v>
      </c>
      <c r="D1062" s="2" t="s">
        <v>32</v>
      </c>
      <c r="E1062" s="2">
        <v>2</v>
      </c>
      <c r="F1062" s="2">
        <v>273.43</v>
      </c>
      <c r="G1062" s="2" t="s">
        <v>1380</v>
      </c>
      <c r="H1062" s="2" t="s">
        <v>65</v>
      </c>
      <c r="I1062" s="2" t="s">
        <v>19</v>
      </c>
      <c r="J1062" s="2" t="s">
        <v>3823</v>
      </c>
      <c r="K1062" s="2">
        <v>7</v>
      </c>
      <c r="L1062" s="2" t="s">
        <v>81</v>
      </c>
      <c r="M1062" s="2" t="s">
        <v>29</v>
      </c>
      <c r="N1062" s="2">
        <v>546.86</v>
      </c>
    </row>
    <row r="1063" spans="1:14" ht="15" x14ac:dyDescent="0.25">
      <c r="A1063" s="2" t="s">
        <v>3824</v>
      </c>
      <c r="B1063" s="3">
        <v>45686</v>
      </c>
      <c r="C1063" s="2" t="s">
        <v>3825</v>
      </c>
      <c r="D1063" s="2" t="s">
        <v>58</v>
      </c>
      <c r="E1063" s="2">
        <v>5</v>
      </c>
      <c r="F1063" s="2">
        <v>131.69999999999999</v>
      </c>
      <c r="G1063" s="2" t="s">
        <v>169</v>
      </c>
      <c r="H1063" s="2" t="s">
        <v>65</v>
      </c>
      <c r="I1063" s="2" t="s">
        <v>19</v>
      </c>
      <c r="J1063" s="2" t="s">
        <v>3826</v>
      </c>
      <c r="K1063" s="2">
        <v>8</v>
      </c>
      <c r="L1063" s="2" t="s">
        <v>37</v>
      </c>
      <c r="M1063" s="2" t="s">
        <v>76</v>
      </c>
      <c r="N1063" s="2">
        <v>658.5</v>
      </c>
    </row>
    <row r="1064" spans="1:14" ht="15" x14ac:dyDescent="0.25">
      <c r="A1064" s="2" t="s">
        <v>3827</v>
      </c>
      <c r="B1064" s="3">
        <v>45161</v>
      </c>
      <c r="C1064" s="2" t="s">
        <v>3828</v>
      </c>
      <c r="D1064" s="2" t="s">
        <v>41</v>
      </c>
      <c r="E1064" s="2">
        <v>5</v>
      </c>
      <c r="F1064" s="2">
        <v>85.52</v>
      </c>
      <c r="G1064" s="2" t="s">
        <v>1252</v>
      </c>
      <c r="H1064" s="2" t="s">
        <v>60</v>
      </c>
      <c r="I1064" s="2" t="s">
        <v>35</v>
      </c>
      <c r="J1064" s="2" t="s">
        <v>3829</v>
      </c>
      <c r="K1064" s="2">
        <v>5</v>
      </c>
      <c r="M1064" s="2" t="s">
        <v>45</v>
      </c>
      <c r="N1064" s="2">
        <v>427.6</v>
      </c>
    </row>
    <row r="1065" spans="1:14" ht="15" x14ac:dyDescent="0.25">
      <c r="A1065" s="2" t="s">
        <v>3830</v>
      </c>
      <c r="B1065" s="3">
        <v>45462</v>
      </c>
      <c r="C1065" s="2" t="s">
        <v>3831</v>
      </c>
      <c r="D1065" s="2" t="s">
        <v>73</v>
      </c>
      <c r="E1065" s="2">
        <v>2</v>
      </c>
      <c r="F1065" s="2">
        <v>320.68</v>
      </c>
      <c r="G1065" s="2" t="s">
        <v>708</v>
      </c>
      <c r="H1065" s="2" t="s">
        <v>34</v>
      </c>
      <c r="I1065" s="2" t="s">
        <v>19</v>
      </c>
      <c r="J1065" s="2" t="s">
        <v>3832</v>
      </c>
      <c r="K1065" s="2">
        <v>5</v>
      </c>
      <c r="L1065" s="2" t="s">
        <v>37</v>
      </c>
      <c r="M1065" s="2" t="s">
        <v>29</v>
      </c>
      <c r="N1065" s="2">
        <v>641.36</v>
      </c>
    </row>
    <row r="1066" spans="1:14" ht="15" x14ac:dyDescent="0.25">
      <c r="A1066" s="2" t="s">
        <v>3833</v>
      </c>
      <c r="B1066" s="3">
        <v>45700</v>
      </c>
      <c r="C1066" s="2" t="s">
        <v>3834</v>
      </c>
      <c r="D1066" s="2" t="s">
        <v>58</v>
      </c>
      <c r="E1066" s="2">
        <v>4</v>
      </c>
      <c r="F1066" s="2">
        <v>198.81</v>
      </c>
      <c r="G1066" s="2" t="s">
        <v>1105</v>
      </c>
      <c r="H1066" s="2" t="s">
        <v>65</v>
      </c>
      <c r="I1066" s="2" t="s">
        <v>43</v>
      </c>
      <c r="J1066" s="2" t="s">
        <v>3835</v>
      </c>
      <c r="K1066" s="2">
        <v>9</v>
      </c>
      <c r="L1066" s="2" t="s">
        <v>37</v>
      </c>
      <c r="M1066" s="2" t="s">
        <v>29</v>
      </c>
      <c r="N1066" s="2">
        <v>795.24</v>
      </c>
    </row>
    <row r="1067" spans="1:14" ht="15" x14ac:dyDescent="0.25">
      <c r="A1067" s="2" t="s">
        <v>3836</v>
      </c>
      <c r="B1067" s="3">
        <v>45229</v>
      </c>
      <c r="C1067" s="2" t="s">
        <v>3837</v>
      </c>
      <c r="D1067" s="2" t="s">
        <v>48</v>
      </c>
      <c r="E1067" s="2">
        <v>5</v>
      </c>
      <c r="F1067" s="2">
        <v>666.8</v>
      </c>
      <c r="G1067" s="2" t="s">
        <v>1652</v>
      </c>
      <c r="H1067" s="2" t="s">
        <v>18</v>
      </c>
      <c r="I1067" s="2" t="s">
        <v>50</v>
      </c>
      <c r="J1067" s="2" t="s">
        <v>3838</v>
      </c>
      <c r="K1067" s="2">
        <v>7</v>
      </c>
      <c r="L1067" s="2" t="s">
        <v>21</v>
      </c>
      <c r="M1067" s="2" t="s">
        <v>29</v>
      </c>
      <c r="N1067" s="2">
        <v>3334</v>
      </c>
    </row>
    <row r="1068" spans="1:14" ht="15" x14ac:dyDescent="0.25">
      <c r="A1068" s="2" t="s">
        <v>3839</v>
      </c>
      <c r="B1068" s="3">
        <v>45280</v>
      </c>
      <c r="C1068" s="2" t="s">
        <v>3840</v>
      </c>
      <c r="D1068" s="2" t="s">
        <v>73</v>
      </c>
      <c r="E1068" s="2">
        <v>1</v>
      </c>
      <c r="F1068" s="2">
        <v>355.09</v>
      </c>
      <c r="G1068" s="2" t="s">
        <v>2586</v>
      </c>
      <c r="H1068" s="2" t="s">
        <v>18</v>
      </c>
      <c r="I1068" s="2" t="s">
        <v>35</v>
      </c>
      <c r="J1068" s="2" t="s">
        <v>3841</v>
      </c>
      <c r="K1068" s="2">
        <v>5</v>
      </c>
      <c r="L1068" s="2" t="s">
        <v>21</v>
      </c>
      <c r="M1068" s="2" t="s">
        <v>22</v>
      </c>
      <c r="N1068" s="2">
        <v>355.09</v>
      </c>
    </row>
    <row r="1069" spans="1:14" ht="15" x14ac:dyDescent="0.25">
      <c r="A1069" s="2" t="s">
        <v>3842</v>
      </c>
      <c r="B1069" s="3">
        <v>45083</v>
      </c>
      <c r="C1069" s="2" t="s">
        <v>3843</v>
      </c>
      <c r="D1069" s="2" t="s">
        <v>25</v>
      </c>
      <c r="E1069" s="2">
        <v>2</v>
      </c>
      <c r="F1069" s="2">
        <v>316.2</v>
      </c>
      <c r="G1069" s="2" t="s">
        <v>316</v>
      </c>
      <c r="H1069" s="2" t="s">
        <v>27</v>
      </c>
      <c r="I1069" s="2" t="s">
        <v>43</v>
      </c>
      <c r="J1069" s="2" t="s">
        <v>3844</v>
      </c>
      <c r="K1069" s="2">
        <v>2</v>
      </c>
      <c r="M1069" s="2" t="s">
        <v>22</v>
      </c>
      <c r="N1069" s="2">
        <v>632.4</v>
      </c>
    </row>
    <row r="1070" spans="1:14" ht="15" x14ac:dyDescent="0.25">
      <c r="A1070" s="2" t="s">
        <v>3845</v>
      </c>
      <c r="B1070" s="3">
        <v>45507</v>
      </c>
      <c r="C1070" s="2" t="s">
        <v>3846</v>
      </c>
      <c r="D1070" s="2" t="s">
        <v>58</v>
      </c>
      <c r="E1070" s="2">
        <v>1</v>
      </c>
      <c r="F1070" s="2">
        <v>133.38999999999999</v>
      </c>
      <c r="G1070" s="2" t="s">
        <v>3847</v>
      </c>
      <c r="H1070" s="2" t="s">
        <v>18</v>
      </c>
      <c r="I1070" s="2" t="s">
        <v>19</v>
      </c>
      <c r="J1070" s="2" t="s">
        <v>3848</v>
      </c>
      <c r="K1070" s="2">
        <v>2</v>
      </c>
      <c r="L1070" s="2" t="s">
        <v>21</v>
      </c>
      <c r="M1070" s="2" t="s">
        <v>29</v>
      </c>
      <c r="N1070" s="2">
        <v>133.38999999999999</v>
      </c>
    </row>
    <row r="1071" spans="1:14" ht="15" x14ac:dyDescent="0.25">
      <c r="A1071" s="2" t="s">
        <v>3849</v>
      </c>
      <c r="B1071" s="3">
        <v>44982</v>
      </c>
      <c r="C1071" s="2" t="s">
        <v>3850</v>
      </c>
      <c r="D1071" s="2" t="s">
        <v>16</v>
      </c>
      <c r="E1071" s="2">
        <v>1</v>
      </c>
      <c r="F1071" s="2">
        <v>454.23</v>
      </c>
      <c r="G1071" s="2" t="s">
        <v>968</v>
      </c>
      <c r="H1071" s="2" t="s">
        <v>60</v>
      </c>
      <c r="I1071" s="2" t="s">
        <v>43</v>
      </c>
      <c r="J1071" s="2" t="s">
        <v>3851</v>
      </c>
      <c r="K1071" s="2">
        <v>3</v>
      </c>
      <c r="M1071" s="2" t="s">
        <v>45</v>
      </c>
      <c r="N1071" s="2">
        <v>454.23</v>
      </c>
    </row>
    <row r="1072" spans="1:14" ht="15" x14ac:dyDescent="0.25">
      <c r="A1072" s="2" t="s">
        <v>3852</v>
      </c>
      <c r="B1072" s="3">
        <v>45541</v>
      </c>
      <c r="C1072" s="2" t="s">
        <v>3853</v>
      </c>
      <c r="D1072" s="2" t="s">
        <v>73</v>
      </c>
      <c r="E1072" s="2">
        <v>4</v>
      </c>
      <c r="F1072" s="2">
        <v>491.29</v>
      </c>
      <c r="G1072" s="2" t="s">
        <v>359</v>
      </c>
      <c r="H1072" s="2" t="s">
        <v>18</v>
      </c>
      <c r="I1072" s="2" t="s">
        <v>89</v>
      </c>
      <c r="J1072" s="2" t="s">
        <v>3854</v>
      </c>
      <c r="K1072" s="2">
        <v>6</v>
      </c>
      <c r="M1072" s="2" t="s">
        <v>38</v>
      </c>
      <c r="N1072" s="2">
        <v>1965.16</v>
      </c>
    </row>
    <row r="1073" spans="1:14" ht="15" x14ac:dyDescent="0.25">
      <c r="A1073" s="2" t="s">
        <v>3855</v>
      </c>
      <c r="B1073" s="3">
        <v>45832</v>
      </c>
      <c r="C1073" s="2" t="s">
        <v>3856</v>
      </c>
      <c r="D1073" s="2" t="s">
        <v>25</v>
      </c>
      <c r="E1073" s="2">
        <v>2</v>
      </c>
      <c r="F1073" s="2">
        <v>255.14</v>
      </c>
      <c r="G1073" s="2" t="s">
        <v>1455</v>
      </c>
      <c r="H1073" s="2" t="s">
        <v>65</v>
      </c>
      <c r="I1073" s="2" t="s">
        <v>19</v>
      </c>
      <c r="J1073" s="2" t="s">
        <v>3857</v>
      </c>
      <c r="K1073" s="2">
        <v>2</v>
      </c>
      <c r="M1073" s="2" t="s">
        <v>76</v>
      </c>
      <c r="N1073" s="2">
        <v>510.28</v>
      </c>
    </row>
    <row r="1074" spans="1:14" ht="15" x14ac:dyDescent="0.25">
      <c r="A1074" s="2" t="s">
        <v>3858</v>
      </c>
      <c r="B1074" s="3">
        <v>44983</v>
      </c>
      <c r="C1074" s="2" t="s">
        <v>3859</v>
      </c>
      <c r="D1074" s="2" t="s">
        <v>16</v>
      </c>
      <c r="E1074" s="2">
        <v>1</v>
      </c>
      <c r="F1074" s="2">
        <v>392.61</v>
      </c>
      <c r="G1074" s="2" t="s">
        <v>1058</v>
      </c>
      <c r="H1074" s="2" t="s">
        <v>60</v>
      </c>
      <c r="I1074" s="2" t="s">
        <v>35</v>
      </c>
      <c r="J1074" s="2" t="s">
        <v>3860</v>
      </c>
      <c r="K1074" s="2">
        <v>4</v>
      </c>
      <c r="L1074" s="2" t="s">
        <v>21</v>
      </c>
      <c r="M1074" s="2" t="s">
        <v>29</v>
      </c>
      <c r="N1074" s="2">
        <v>392.61</v>
      </c>
    </row>
    <row r="1075" spans="1:14" ht="15" x14ac:dyDescent="0.25">
      <c r="A1075" s="2" t="s">
        <v>3861</v>
      </c>
      <c r="B1075" s="3">
        <v>45576</v>
      </c>
      <c r="C1075" s="2" t="s">
        <v>3862</v>
      </c>
      <c r="D1075" s="2" t="s">
        <v>32</v>
      </c>
      <c r="E1075" s="2">
        <v>4</v>
      </c>
      <c r="F1075" s="2">
        <v>362.06</v>
      </c>
      <c r="G1075" s="2" t="s">
        <v>1036</v>
      </c>
      <c r="H1075" s="2" t="s">
        <v>18</v>
      </c>
      <c r="I1075" s="2" t="s">
        <v>43</v>
      </c>
      <c r="J1075" s="2" t="s">
        <v>3863</v>
      </c>
      <c r="K1075" s="2">
        <v>4</v>
      </c>
      <c r="M1075" s="2" t="s">
        <v>45</v>
      </c>
      <c r="N1075" s="2">
        <v>1448.24</v>
      </c>
    </row>
    <row r="1076" spans="1:14" ht="15" x14ac:dyDescent="0.25">
      <c r="A1076" s="2" t="s">
        <v>3864</v>
      </c>
      <c r="B1076" s="3">
        <v>45422</v>
      </c>
      <c r="C1076" s="2" t="s">
        <v>3865</v>
      </c>
      <c r="D1076" s="2" t="s">
        <v>25</v>
      </c>
      <c r="E1076" s="2">
        <v>1</v>
      </c>
      <c r="F1076" s="2">
        <v>222.73</v>
      </c>
      <c r="G1076" s="2" t="s">
        <v>3866</v>
      </c>
      <c r="H1076" s="2" t="s">
        <v>27</v>
      </c>
      <c r="I1076" s="2" t="s">
        <v>43</v>
      </c>
      <c r="J1076" s="2" t="s">
        <v>3867</v>
      </c>
      <c r="K1076" s="2">
        <v>4</v>
      </c>
      <c r="M1076" s="2" t="s">
        <v>76</v>
      </c>
      <c r="N1076" s="2">
        <v>222.73</v>
      </c>
    </row>
    <row r="1077" spans="1:14" ht="15" x14ac:dyDescent="0.25">
      <c r="A1077" s="2" t="s">
        <v>3868</v>
      </c>
      <c r="B1077" s="3">
        <v>45535</v>
      </c>
      <c r="C1077" s="2" t="s">
        <v>3869</v>
      </c>
      <c r="D1077" s="2" t="s">
        <v>16</v>
      </c>
      <c r="E1077" s="2">
        <v>2</v>
      </c>
      <c r="F1077" s="2">
        <v>552.63</v>
      </c>
      <c r="G1077" s="2" t="s">
        <v>837</v>
      </c>
      <c r="H1077" s="2" t="s">
        <v>18</v>
      </c>
      <c r="I1077" s="2" t="s">
        <v>50</v>
      </c>
      <c r="J1077" s="2" t="s">
        <v>3870</v>
      </c>
      <c r="K1077" s="2">
        <v>7</v>
      </c>
      <c r="L1077" s="2" t="s">
        <v>81</v>
      </c>
      <c r="M1077" s="2" t="s">
        <v>22</v>
      </c>
      <c r="N1077" s="2">
        <v>1105.26</v>
      </c>
    </row>
    <row r="1078" spans="1:14" ht="15" x14ac:dyDescent="0.25">
      <c r="A1078" s="2" t="s">
        <v>3871</v>
      </c>
      <c r="B1078" s="3">
        <v>45054</v>
      </c>
      <c r="C1078" s="2" t="s">
        <v>3872</v>
      </c>
      <c r="D1078" s="2" t="s">
        <v>58</v>
      </c>
      <c r="E1078" s="2">
        <v>4</v>
      </c>
      <c r="F1078" s="2">
        <v>686.61</v>
      </c>
      <c r="G1078" s="2" t="s">
        <v>3718</v>
      </c>
      <c r="H1078" s="2" t="s">
        <v>65</v>
      </c>
      <c r="I1078" s="2" t="s">
        <v>19</v>
      </c>
      <c r="J1078" s="2" t="s">
        <v>3873</v>
      </c>
      <c r="K1078" s="2">
        <v>6</v>
      </c>
      <c r="M1078" s="2" t="s">
        <v>29</v>
      </c>
      <c r="N1078" s="2">
        <v>2746.44</v>
      </c>
    </row>
    <row r="1079" spans="1:14" ht="15" x14ac:dyDescent="0.25">
      <c r="A1079" s="2" t="s">
        <v>3874</v>
      </c>
      <c r="B1079" s="3">
        <v>45723</v>
      </c>
      <c r="C1079" s="2" t="s">
        <v>3875</v>
      </c>
      <c r="D1079" s="2" t="s">
        <v>48</v>
      </c>
      <c r="E1079" s="2">
        <v>3</v>
      </c>
      <c r="F1079" s="2">
        <v>305.16000000000003</v>
      </c>
      <c r="G1079" s="2" t="s">
        <v>490</v>
      </c>
      <c r="H1079" s="2" t="s">
        <v>34</v>
      </c>
      <c r="I1079" s="2" t="s">
        <v>35</v>
      </c>
      <c r="J1079" s="2" t="s">
        <v>3876</v>
      </c>
      <c r="K1079" s="2">
        <v>8</v>
      </c>
      <c r="L1079" s="2" t="s">
        <v>21</v>
      </c>
      <c r="M1079" s="2" t="s">
        <v>29</v>
      </c>
      <c r="N1079" s="2">
        <v>915.48</v>
      </c>
    </row>
    <row r="1080" spans="1:14" ht="15" x14ac:dyDescent="0.25">
      <c r="A1080" s="2" t="s">
        <v>3877</v>
      </c>
      <c r="B1080" s="3">
        <v>45003</v>
      </c>
      <c r="C1080" s="2" t="s">
        <v>3878</v>
      </c>
      <c r="D1080" s="2" t="s">
        <v>73</v>
      </c>
      <c r="E1080" s="2">
        <v>1</v>
      </c>
      <c r="F1080" s="2">
        <v>41.09</v>
      </c>
      <c r="G1080" s="2" t="s">
        <v>149</v>
      </c>
      <c r="H1080" s="2" t="s">
        <v>27</v>
      </c>
      <c r="I1080" s="2" t="s">
        <v>43</v>
      </c>
      <c r="J1080" s="2" t="s">
        <v>3879</v>
      </c>
      <c r="K1080" s="2">
        <v>4</v>
      </c>
      <c r="L1080" s="2" t="s">
        <v>81</v>
      </c>
      <c r="M1080" s="2" t="s">
        <v>38</v>
      </c>
      <c r="N1080" s="2">
        <v>41.09</v>
      </c>
    </row>
    <row r="1081" spans="1:14" ht="15" x14ac:dyDescent="0.25">
      <c r="A1081" s="2" t="s">
        <v>3880</v>
      </c>
      <c r="B1081" s="3">
        <v>45463</v>
      </c>
      <c r="C1081" s="2" t="s">
        <v>3881</v>
      </c>
      <c r="D1081" s="2" t="s">
        <v>25</v>
      </c>
      <c r="E1081" s="2">
        <v>5</v>
      </c>
      <c r="F1081" s="2">
        <v>634</v>
      </c>
      <c r="G1081" s="2" t="s">
        <v>3370</v>
      </c>
      <c r="H1081" s="2" t="s">
        <v>60</v>
      </c>
      <c r="I1081" s="2" t="s">
        <v>50</v>
      </c>
      <c r="J1081" s="2" t="s">
        <v>3882</v>
      </c>
      <c r="K1081" s="2">
        <v>8</v>
      </c>
      <c r="M1081" s="2" t="s">
        <v>38</v>
      </c>
      <c r="N1081" s="2">
        <v>3170</v>
      </c>
    </row>
    <row r="1082" spans="1:14" ht="15" x14ac:dyDescent="0.25">
      <c r="A1082" s="2" t="s">
        <v>3883</v>
      </c>
      <c r="B1082" s="3">
        <v>44946</v>
      </c>
      <c r="C1082" s="2" t="s">
        <v>3884</v>
      </c>
      <c r="D1082" s="2" t="s">
        <v>58</v>
      </c>
      <c r="E1082" s="2">
        <v>5</v>
      </c>
      <c r="F1082" s="2">
        <v>464.74</v>
      </c>
      <c r="G1082" s="2" t="s">
        <v>3885</v>
      </c>
      <c r="H1082" s="2" t="s">
        <v>60</v>
      </c>
      <c r="I1082" s="2" t="s">
        <v>50</v>
      </c>
      <c r="J1082" s="2" t="s">
        <v>3886</v>
      </c>
      <c r="K1082" s="2">
        <v>7</v>
      </c>
      <c r="M1082" s="2" t="s">
        <v>29</v>
      </c>
      <c r="N1082" s="2">
        <v>2323.6999999999998</v>
      </c>
    </row>
    <row r="1083" spans="1:14" ht="15" x14ac:dyDescent="0.25">
      <c r="A1083" s="2" t="s">
        <v>3887</v>
      </c>
      <c r="B1083" s="3">
        <v>45037</v>
      </c>
      <c r="C1083" s="2" t="s">
        <v>3888</v>
      </c>
      <c r="D1083" s="2" t="s">
        <v>16</v>
      </c>
      <c r="E1083" s="2">
        <v>4</v>
      </c>
      <c r="F1083" s="2">
        <v>425.6</v>
      </c>
      <c r="G1083" s="2" t="s">
        <v>1388</v>
      </c>
      <c r="H1083" s="2" t="s">
        <v>34</v>
      </c>
      <c r="I1083" s="2" t="s">
        <v>89</v>
      </c>
      <c r="J1083" s="2" t="s">
        <v>3889</v>
      </c>
      <c r="K1083" s="2">
        <v>5</v>
      </c>
      <c r="L1083" s="2" t="s">
        <v>37</v>
      </c>
      <c r="M1083" s="2" t="s">
        <v>76</v>
      </c>
      <c r="N1083" s="2">
        <v>1702.4</v>
      </c>
    </row>
    <row r="1084" spans="1:14" ht="15" x14ac:dyDescent="0.25">
      <c r="A1084" s="2" t="s">
        <v>3890</v>
      </c>
      <c r="B1084" s="3">
        <v>45205</v>
      </c>
      <c r="C1084" s="2" t="s">
        <v>3891</v>
      </c>
      <c r="D1084" s="2" t="s">
        <v>41</v>
      </c>
      <c r="E1084" s="2">
        <v>3</v>
      </c>
      <c r="F1084" s="2">
        <v>573.22</v>
      </c>
      <c r="G1084" s="2" t="s">
        <v>3751</v>
      </c>
      <c r="H1084" s="2" t="s">
        <v>18</v>
      </c>
      <c r="I1084" s="2" t="s">
        <v>89</v>
      </c>
      <c r="J1084" s="2" t="s">
        <v>3892</v>
      </c>
      <c r="K1084" s="2">
        <v>5</v>
      </c>
      <c r="L1084" s="2" t="s">
        <v>21</v>
      </c>
      <c r="M1084" s="2" t="s">
        <v>38</v>
      </c>
      <c r="N1084" s="2">
        <v>1719.66</v>
      </c>
    </row>
    <row r="1085" spans="1:14" ht="15" x14ac:dyDescent="0.25">
      <c r="A1085" s="2" t="s">
        <v>3893</v>
      </c>
      <c r="B1085" s="3">
        <v>45482</v>
      </c>
      <c r="C1085" s="2" t="s">
        <v>3894</v>
      </c>
      <c r="D1085" s="2" t="s">
        <v>41</v>
      </c>
      <c r="E1085" s="2">
        <v>1</v>
      </c>
      <c r="F1085" s="2">
        <v>123.28</v>
      </c>
      <c r="G1085" s="2" t="s">
        <v>161</v>
      </c>
      <c r="H1085" s="2" t="s">
        <v>34</v>
      </c>
      <c r="I1085" s="2" t="s">
        <v>50</v>
      </c>
      <c r="J1085" s="2" t="s">
        <v>3895</v>
      </c>
      <c r="K1085" s="2">
        <v>3</v>
      </c>
      <c r="L1085" s="2" t="s">
        <v>21</v>
      </c>
      <c r="M1085" s="2" t="s">
        <v>38</v>
      </c>
      <c r="N1085" s="2">
        <v>123.28</v>
      </c>
    </row>
    <row r="1086" spans="1:14" ht="15" x14ac:dyDescent="0.25">
      <c r="A1086" s="2" t="s">
        <v>3896</v>
      </c>
      <c r="B1086" s="3">
        <v>44934</v>
      </c>
      <c r="C1086" s="2" t="s">
        <v>3897</v>
      </c>
      <c r="D1086" s="2" t="s">
        <v>25</v>
      </c>
      <c r="E1086" s="2">
        <v>1</v>
      </c>
      <c r="F1086" s="2">
        <v>70.819999999999993</v>
      </c>
      <c r="G1086" s="2" t="s">
        <v>181</v>
      </c>
      <c r="H1086" s="2" t="s">
        <v>60</v>
      </c>
      <c r="I1086" s="2" t="s">
        <v>89</v>
      </c>
      <c r="J1086" s="2" t="s">
        <v>3898</v>
      </c>
      <c r="K1086" s="2">
        <v>1</v>
      </c>
      <c r="L1086" s="2" t="s">
        <v>81</v>
      </c>
      <c r="M1086" s="2" t="s">
        <v>22</v>
      </c>
      <c r="N1086" s="2">
        <v>70.819999999999993</v>
      </c>
    </row>
    <row r="1087" spans="1:14" ht="15" x14ac:dyDescent="0.25">
      <c r="A1087" s="2" t="s">
        <v>3899</v>
      </c>
      <c r="B1087" s="3">
        <v>45067</v>
      </c>
      <c r="C1087" s="2" t="s">
        <v>3900</v>
      </c>
      <c r="D1087" s="2" t="s">
        <v>48</v>
      </c>
      <c r="E1087" s="2">
        <v>2</v>
      </c>
      <c r="F1087" s="2">
        <v>646.69000000000005</v>
      </c>
      <c r="G1087" s="2" t="s">
        <v>614</v>
      </c>
      <c r="H1087" s="2" t="s">
        <v>18</v>
      </c>
      <c r="I1087" s="2" t="s">
        <v>19</v>
      </c>
      <c r="J1087" s="2" t="s">
        <v>3901</v>
      </c>
      <c r="K1087" s="2">
        <v>7</v>
      </c>
      <c r="L1087" s="2" t="s">
        <v>81</v>
      </c>
      <c r="M1087" s="2" t="s">
        <v>22</v>
      </c>
      <c r="N1087" s="2">
        <v>1293.3800000000001</v>
      </c>
    </row>
    <row r="1088" spans="1:14" ht="15" x14ac:dyDescent="0.25">
      <c r="A1088" s="2" t="s">
        <v>3902</v>
      </c>
      <c r="B1088" s="3">
        <v>45283</v>
      </c>
      <c r="C1088" s="2" t="s">
        <v>3903</v>
      </c>
      <c r="D1088" s="2" t="s">
        <v>32</v>
      </c>
      <c r="E1088" s="2">
        <v>2</v>
      </c>
      <c r="F1088" s="2">
        <v>513.41999999999996</v>
      </c>
      <c r="G1088" s="2" t="s">
        <v>3904</v>
      </c>
      <c r="H1088" s="2" t="s">
        <v>27</v>
      </c>
      <c r="I1088" s="2" t="s">
        <v>89</v>
      </c>
      <c r="J1088" s="2" t="s">
        <v>3905</v>
      </c>
      <c r="K1088" s="2">
        <v>5</v>
      </c>
      <c r="L1088" s="2" t="s">
        <v>81</v>
      </c>
      <c r="M1088" s="2" t="s">
        <v>22</v>
      </c>
      <c r="N1088" s="2">
        <v>1026.8399999999999</v>
      </c>
    </row>
    <row r="1089" spans="1:14" ht="15" x14ac:dyDescent="0.25">
      <c r="A1089" s="2" t="s">
        <v>3906</v>
      </c>
      <c r="B1089" s="3">
        <v>45739</v>
      </c>
      <c r="C1089" s="2" t="s">
        <v>3907</v>
      </c>
      <c r="D1089" s="2" t="s">
        <v>58</v>
      </c>
      <c r="E1089" s="2">
        <v>4</v>
      </c>
      <c r="F1089" s="2">
        <v>693.07</v>
      </c>
      <c r="G1089" s="2" t="s">
        <v>3908</v>
      </c>
      <c r="H1089" s="2" t="s">
        <v>27</v>
      </c>
      <c r="I1089" s="2" t="s">
        <v>19</v>
      </c>
      <c r="J1089" s="2" t="s">
        <v>3909</v>
      </c>
      <c r="K1089" s="2">
        <v>8</v>
      </c>
      <c r="L1089" s="2" t="s">
        <v>21</v>
      </c>
      <c r="M1089" s="2" t="s">
        <v>22</v>
      </c>
      <c r="N1089" s="2">
        <v>2772.28</v>
      </c>
    </row>
    <row r="1090" spans="1:14" ht="15" x14ac:dyDescent="0.25">
      <c r="A1090" s="2" t="s">
        <v>3910</v>
      </c>
      <c r="B1090" s="3">
        <v>45260</v>
      </c>
      <c r="C1090" s="2" t="s">
        <v>3911</v>
      </c>
      <c r="D1090" s="2" t="s">
        <v>73</v>
      </c>
      <c r="E1090" s="2">
        <v>3</v>
      </c>
      <c r="F1090" s="2">
        <v>491.43</v>
      </c>
      <c r="G1090" s="2" t="s">
        <v>3912</v>
      </c>
      <c r="H1090" s="2" t="s">
        <v>60</v>
      </c>
      <c r="I1090" s="2" t="s">
        <v>19</v>
      </c>
      <c r="J1090" s="2" t="s">
        <v>3913</v>
      </c>
      <c r="K1090" s="2">
        <v>6</v>
      </c>
      <c r="L1090" s="2" t="s">
        <v>81</v>
      </c>
      <c r="M1090" s="2" t="s">
        <v>22</v>
      </c>
      <c r="N1090" s="2">
        <v>1474.29</v>
      </c>
    </row>
    <row r="1091" spans="1:14" ht="15" x14ac:dyDescent="0.25">
      <c r="A1091" s="2" t="s">
        <v>3914</v>
      </c>
      <c r="B1091" s="3">
        <v>45731</v>
      </c>
      <c r="C1091" s="2" t="s">
        <v>3915</v>
      </c>
      <c r="D1091" s="2" t="s">
        <v>32</v>
      </c>
      <c r="E1091" s="2">
        <v>2</v>
      </c>
      <c r="F1091" s="2">
        <v>599.74</v>
      </c>
      <c r="G1091" s="2" t="s">
        <v>305</v>
      </c>
      <c r="H1091" s="2" t="s">
        <v>60</v>
      </c>
      <c r="I1091" s="2" t="s">
        <v>19</v>
      </c>
      <c r="J1091" s="2" t="s">
        <v>3916</v>
      </c>
      <c r="K1091" s="2">
        <v>2</v>
      </c>
      <c r="M1091" s="2" t="s">
        <v>22</v>
      </c>
      <c r="N1091" s="2">
        <v>1199.48</v>
      </c>
    </row>
    <row r="1092" spans="1:14" ht="15" x14ac:dyDescent="0.25">
      <c r="A1092" s="2" t="s">
        <v>3917</v>
      </c>
      <c r="B1092" s="3">
        <v>44982</v>
      </c>
      <c r="C1092" s="2" t="s">
        <v>3918</v>
      </c>
      <c r="D1092" s="2" t="s">
        <v>16</v>
      </c>
      <c r="E1092" s="2">
        <v>2</v>
      </c>
      <c r="F1092" s="2">
        <v>650.25</v>
      </c>
      <c r="G1092" s="2" t="s">
        <v>165</v>
      </c>
      <c r="H1092" s="2" t="s">
        <v>60</v>
      </c>
      <c r="I1092" s="2" t="s">
        <v>43</v>
      </c>
      <c r="J1092" s="2" t="s">
        <v>3919</v>
      </c>
      <c r="K1092" s="2">
        <v>6</v>
      </c>
      <c r="M1092" s="2" t="s">
        <v>22</v>
      </c>
      <c r="N1092" s="2">
        <v>1300.5</v>
      </c>
    </row>
    <row r="1093" spans="1:14" ht="15" x14ac:dyDescent="0.25">
      <c r="A1093" s="2" t="s">
        <v>3920</v>
      </c>
      <c r="B1093" s="3">
        <v>45573</v>
      </c>
      <c r="C1093" s="2" t="s">
        <v>3921</v>
      </c>
      <c r="D1093" s="2" t="s">
        <v>58</v>
      </c>
      <c r="E1093" s="2">
        <v>3</v>
      </c>
      <c r="F1093" s="2">
        <v>209.48</v>
      </c>
      <c r="G1093" s="2" t="s">
        <v>1609</v>
      </c>
      <c r="H1093" s="2" t="s">
        <v>18</v>
      </c>
      <c r="I1093" s="2" t="s">
        <v>89</v>
      </c>
      <c r="J1093" s="2" t="s">
        <v>3922</v>
      </c>
      <c r="K1093" s="2">
        <v>4</v>
      </c>
      <c r="M1093" s="2" t="s">
        <v>38</v>
      </c>
      <c r="N1093" s="2">
        <v>628.43999999999994</v>
      </c>
    </row>
    <row r="1094" spans="1:14" ht="15" x14ac:dyDescent="0.25">
      <c r="A1094" s="2" t="s">
        <v>3923</v>
      </c>
      <c r="B1094" s="3">
        <v>45159</v>
      </c>
      <c r="C1094" s="2" t="s">
        <v>3924</v>
      </c>
      <c r="D1094" s="2" t="s">
        <v>58</v>
      </c>
      <c r="E1094" s="2">
        <v>5</v>
      </c>
      <c r="F1094" s="2">
        <v>209.2</v>
      </c>
      <c r="G1094" s="2" t="s">
        <v>157</v>
      </c>
      <c r="H1094" s="2" t="s">
        <v>18</v>
      </c>
      <c r="I1094" s="2" t="s">
        <v>50</v>
      </c>
      <c r="J1094" s="2" t="s">
        <v>3925</v>
      </c>
      <c r="K1094" s="2">
        <v>6</v>
      </c>
      <c r="L1094" s="2" t="s">
        <v>81</v>
      </c>
      <c r="M1094" s="2" t="s">
        <v>38</v>
      </c>
      <c r="N1094" s="2">
        <v>1046</v>
      </c>
    </row>
    <row r="1095" spans="1:14" ht="15" x14ac:dyDescent="0.25">
      <c r="A1095" s="2" t="s">
        <v>3926</v>
      </c>
      <c r="B1095" s="3">
        <v>45086</v>
      </c>
      <c r="C1095" s="2" t="s">
        <v>3927</v>
      </c>
      <c r="D1095" s="2" t="s">
        <v>25</v>
      </c>
      <c r="E1095" s="2">
        <v>4</v>
      </c>
      <c r="F1095" s="2">
        <v>197.36</v>
      </c>
      <c r="G1095" s="2" t="s">
        <v>3928</v>
      </c>
      <c r="H1095" s="2" t="s">
        <v>60</v>
      </c>
      <c r="I1095" s="2" t="s">
        <v>43</v>
      </c>
      <c r="J1095" s="2" t="s">
        <v>3929</v>
      </c>
      <c r="K1095" s="2">
        <v>9</v>
      </c>
      <c r="L1095" s="2" t="s">
        <v>37</v>
      </c>
      <c r="M1095" s="2" t="s">
        <v>22</v>
      </c>
      <c r="N1095" s="2">
        <v>789.44</v>
      </c>
    </row>
    <row r="1096" spans="1:14" ht="15" x14ac:dyDescent="0.25">
      <c r="A1096" s="2" t="s">
        <v>3930</v>
      </c>
      <c r="B1096" s="3">
        <v>45105</v>
      </c>
      <c r="C1096" s="2" t="s">
        <v>3931</v>
      </c>
      <c r="D1096" s="2" t="s">
        <v>48</v>
      </c>
      <c r="E1096" s="2">
        <v>4</v>
      </c>
      <c r="F1096" s="2">
        <v>648.91</v>
      </c>
      <c r="G1096" s="2" t="s">
        <v>3932</v>
      </c>
      <c r="H1096" s="2" t="s">
        <v>34</v>
      </c>
      <c r="I1096" s="2" t="s">
        <v>19</v>
      </c>
      <c r="J1096" s="2" t="s">
        <v>3933</v>
      </c>
      <c r="K1096" s="2">
        <v>6</v>
      </c>
      <c r="L1096" s="2" t="s">
        <v>21</v>
      </c>
      <c r="M1096" s="2" t="s">
        <v>22</v>
      </c>
      <c r="N1096" s="2">
        <v>2595.64</v>
      </c>
    </row>
    <row r="1097" spans="1:14" ht="15" x14ac:dyDescent="0.25">
      <c r="A1097" s="2" t="s">
        <v>3934</v>
      </c>
      <c r="B1097" s="3">
        <v>45405</v>
      </c>
      <c r="C1097" s="2" t="s">
        <v>3935</v>
      </c>
      <c r="D1097" s="2" t="s">
        <v>25</v>
      </c>
      <c r="E1097" s="2">
        <v>2</v>
      </c>
      <c r="F1097" s="2">
        <v>441.54</v>
      </c>
      <c r="G1097" s="2" t="s">
        <v>3936</v>
      </c>
      <c r="H1097" s="2" t="s">
        <v>27</v>
      </c>
      <c r="I1097" s="2" t="s">
        <v>50</v>
      </c>
      <c r="J1097" s="2" t="s">
        <v>3937</v>
      </c>
      <c r="K1097" s="2">
        <v>2</v>
      </c>
      <c r="L1097" s="2" t="s">
        <v>21</v>
      </c>
      <c r="M1097" s="2" t="s">
        <v>38</v>
      </c>
      <c r="N1097" s="2">
        <v>883.08</v>
      </c>
    </row>
    <row r="1098" spans="1:14" ht="15" x14ac:dyDescent="0.25">
      <c r="A1098" s="2" t="s">
        <v>3938</v>
      </c>
      <c r="B1098" s="3">
        <v>45780</v>
      </c>
      <c r="C1098" s="2" t="s">
        <v>3939</v>
      </c>
      <c r="D1098" s="2" t="s">
        <v>32</v>
      </c>
      <c r="E1098" s="2">
        <v>2</v>
      </c>
      <c r="F1098" s="2">
        <v>464.92</v>
      </c>
      <c r="G1098" s="2" t="s">
        <v>3940</v>
      </c>
      <c r="H1098" s="2" t="s">
        <v>18</v>
      </c>
      <c r="I1098" s="2" t="s">
        <v>43</v>
      </c>
      <c r="J1098" s="2" t="s">
        <v>3941</v>
      </c>
      <c r="K1098" s="2">
        <v>2</v>
      </c>
      <c r="M1098" s="2" t="s">
        <v>45</v>
      </c>
      <c r="N1098" s="2">
        <v>929.84</v>
      </c>
    </row>
    <row r="1099" spans="1:14" ht="15" x14ac:dyDescent="0.25">
      <c r="A1099" s="2" t="s">
        <v>3942</v>
      </c>
      <c r="B1099" s="3">
        <v>45652</v>
      </c>
      <c r="C1099" s="2" t="s">
        <v>3943</v>
      </c>
      <c r="D1099" s="2" t="s">
        <v>16</v>
      </c>
      <c r="E1099" s="2">
        <v>5</v>
      </c>
      <c r="F1099" s="2">
        <v>506.45</v>
      </c>
      <c r="G1099" s="2" t="s">
        <v>3944</v>
      </c>
      <c r="H1099" s="2" t="s">
        <v>60</v>
      </c>
      <c r="I1099" s="2" t="s">
        <v>19</v>
      </c>
      <c r="J1099" s="2" t="s">
        <v>3945</v>
      </c>
      <c r="K1099" s="2">
        <v>7</v>
      </c>
      <c r="L1099" s="2" t="s">
        <v>81</v>
      </c>
      <c r="M1099" s="2" t="s">
        <v>76</v>
      </c>
      <c r="N1099" s="2">
        <v>2532.25</v>
      </c>
    </row>
    <row r="1100" spans="1:14" ht="15" x14ac:dyDescent="0.25">
      <c r="A1100" s="2" t="s">
        <v>3946</v>
      </c>
      <c r="B1100" s="3">
        <v>45094</v>
      </c>
      <c r="C1100" s="2" t="s">
        <v>3947</v>
      </c>
      <c r="D1100" s="2" t="s">
        <v>16</v>
      </c>
      <c r="E1100" s="2">
        <v>4</v>
      </c>
      <c r="F1100" s="2">
        <v>255.86</v>
      </c>
      <c r="G1100" s="2" t="s">
        <v>3948</v>
      </c>
      <c r="H1100" s="2" t="s">
        <v>34</v>
      </c>
      <c r="I1100" s="2" t="s">
        <v>50</v>
      </c>
      <c r="J1100" s="2" t="s">
        <v>3949</v>
      </c>
      <c r="K1100" s="2">
        <v>7</v>
      </c>
      <c r="M1100" s="2" t="s">
        <v>38</v>
      </c>
      <c r="N1100" s="2">
        <v>1023.44</v>
      </c>
    </row>
    <row r="1101" spans="1:14" ht="15" x14ac:dyDescent="0.25">
      <c r="A1101" s="2" t="s">
        <v>3950</v>
      </c>
      <c r="B1101" s="3">
        <v>45554</v>
      </c>
      <c r="C1101" s="2" t="s">
        <v>3951</v>
      </c>
      <c r="D1101" s="2" t="s">
        <v>58</v>
      </c>
      <c r="E1101" s="2">
        <v>2</v>
      </c>
      <c r="F1101" s="2">
        <v>125.23</v>
      </c>
      <c r="G1101" s="2" t="s">
        <v>1501</v>
      </c>
      <c r="H1101" s="2" t="s">
        <v>65</v>
      </c>
      <c r="I1101" s="2" t="s">
        <v>35</v>
      </c>
      <c r="J1101" s="2" t="s">
        <v>3952</v>
      </c>
      <c r="K1101" s="2">
        <v>3</v>
      </c>
      <c r="L1101" s="2" t="s">
        <v>37</v>
      </c>
      <c r="M1101" s="2" t="s">
        <v>38</v>
      </c>
      <c r="N1101" s="2">
        <v>250.46</v>
      </c>
    </row>
    <row r="1102" spans="1:14" ht="15" x14ac:dyDescent="0.25">
      <c r="A1102" s="2" t="s">
        <v>3953</v>
      </c>
      <c r="B1102" s="3">
        <v>45155</v>
      </c>
      <c r="C1102" s="2" t="s">
        <v>3954</v>
      </c>
      <c r="D1102" s="2" t="s">
        <v>58</v>
      </c>
      <c r="E1102" s="2">
        <v>5</v>
      </c>
      <c r="F1102" s="2">
        <v>38.11</v>
      </c>
      <c r="G1102" s="2" t="s">
        <v>3955</v>
      </c>
      <c r="H1102" s="2" t="s">
        <v>18</v>
      </c>
      <c r="I1102" s="2" t="s">
        <v>35</v>
      </c>
      <c r="J1102" s="2" t="s">
        <v>3956</v>
      </c>
      <c r="K1102" s="2">
        <v>6</v>
      </c>
      <c r="L1102" s="2" t="s">
        <v>81</v>
      </c>
      <c r="M1102" s="2" t="s">
        <v>22</v>
      </c>
      <c r="N1102" s="2">
        <v>190.55</v>
      </c>
    </row>
    <row r="1103" spans="1:14" ht="15" x14ac:dyDescent="0.25">
      <c r="A1103" s="2" t="s">
        <v>3957</v>
      </c>
      <c r="B1103" s="3">
        <v>45816</v>
      </c>
      <c r="C1103" s="2" t="s">
        <v>3958</v>
      </c>
      <c r="D1103" s="2" t="s">
        <v>16</v>
      </c>
      <c r="E1103" s="2">
        <v>3</v>
      </c>
      <c r="F1103" s="2">
        <v>161.97</v>
      </c>
      <c r="G1103" s="2" t="s">
        <v>69</v>
      </c>
      <c r="H1103" s="2" t="s">
        <v>65</v>
      </c>
      <c r="I1103" s="2" t="s">
        <v>89</v>
      </c>
      <c r="J1103" s="2" t="s">
        <v>3959</v>
      </c>
      <c r="K1103" s="2">
        <v>4</v>
      </c>
      <c r="L1103" s="2" t="s">
        <v>21</v>
      </c>
      <c r="M1103" s="2" t="s">
        <v>38</v>
      </c>
      <c r="N1103" s="2">
        <v>485.91</v>
      </c>
    </row>
    <row r="1104" spans="1:14" ht="15" x14ac:dyDescent="0.25">
      <c r="A1104" s="2" t="s">
        <v>3960</v>
      </c>
      <c r="B1104" s="3">
        <v>45446</v>
      </c>
      <c r="C1104" s="2" t="s">
        <v>96</v>
      </c>
      <c r="D1104" s="2" t="s">
        <v>41</v>
      </c>
      <c r="E1104" s="2">
        <v>4</v>
      </c>
      <c r="F1104" s="2">
        <v>347.17</v>
      </c>
      <c r="G1104" s="2" t="s">
        <v>2779</v>
      </c>
      <c r="H1104" s="2" t="s">
        <v>18</v>
      </c>
      <c r="I1104" s="2" t="s">
        <v>19</v>
      </c>
      <c r="J1104" s="2" t="s">
        <v>3961</v>
      </c>
      <c r="K1104" s="2">
        <v>8</v>
      </c>
      <c r="M1104" s="2" t="s">
        <v>22</v>
      </c>
      <c r="N1104" s="2">
        <v>1388.68</v>
      </c>
    </row>
    <row r="1105" spans="1:14" ht="15" x14ac:dyDescent="0.25">
      <c r="A1105" s="2" t="s">
        <v>3962</v>
      </c>
      <c r="B1105" s="3">
        <v>45040</v>
      </c>
      <c r="C1105" s="2" t="s">
        <v>3963</v>
      </c>
      <c r="D1105" s="2" t="s">
        <v>58</v>
      </c>
      <c r="E1105" s="2">
        <v>4</v>
      </c>
      <c r="F1105" s="2">
        <v>276.32</v>
      </c>
      <c r="G1105" s="2" t="s">
        <v>327</v>
      </c>
      <c r="H1105" s="2" t="s">
        <v>27</v>
      </c>
      <c r="I1105" s="2" t="s">
        <v>50</v>
      </c>
      <c r="J1105" s="2" t="s">
        <v>3964</v>
      </c>
      <c r="K1105" s="2">
        <v>5</v>
      </c>
      <c r="M1105" s="2" t="s">
        <v>76</v>
      </c>
      <c r="N1105" s="2">
        <v>1105.28</v>
      </c>
    </row>
    <row r="1106" spans="1:14" ht="15" x14ac:dyDescent="0.25">
      <c r="A1106" s="2" t="s">
        <v>3965</v>
      </c>
      <c r="B1106" s="3">
        <v>45498</v>
      </c>
      <c r="C1106" s="2" t="s">
        <v>3966</v>
      </c>
      <c r="D1106" s="2" t="s">
        <v>32</v>
      </c>
      <c r="E1106" s="2">
        <v>4</v>
      </c>
      <c r="F1106" s="2">
        <v>314.76</v>
      </c>
      <c r="G1106" s="2" t="s">
        <v>3967</v>
      </c>
      <c r="H1106" s="2" t="s">
        <v>27</v>
      </c>
      <c r="I1106" s="2" t="s">
        <v>19</v>
      </c>
      <c r="J1106" s="2" t="s">
        <v>3968</v>
      </c>
      <c r="K1106" s="2">
        <v>8</v>
      </c>
      <c r="M1106" s="2" t="s">
        <v>22</v>
      </c>
      <c r="N1106" s="2">
        <v>1259.04</v>
      </c>
    </row>
    <row r="1107" spans="1:14" ht="15" x14ac:dyDescent="0.25">
      <c r="A1107" s="2" t="s">
        <v>3969</v>
      </c>
      <c r="B1107" s="3">
        <v>45299</v>
      </c>
      <c r="C1107" s="2" t="s">
        <v>3970</v>
      </c>
      <c r="D1107" s="2" t="s">
        <v>32</v>
      </c>
      <c r="E1107" s="2">
        <v>3</v>
      </c>
      <c r="F1107" s="2">
        <v>475.69</v>
      </c>
      <c r="G1107" s="2" t="s">
        <v>1097</v>
      </c>
      <c r="H1107" s="2" t="s">
        <v>60</v>
      </c>
      <c r="I1107" s="2" t="s">
        <v>35</v>
      </c>
      <c r="J1107" s="2" t="s">
        <v>3971</v>
      </c>
      <c r="K1107" s="2">
        <v>3</v>
      </c>
      <c r="L1107" s="2" t="s">
        <v>37</v>
      </c>
      <c r="M1107" s="2" t="s">
        <v>76</v>
      </c>
      <c r="N1107" s="2">
        <v>1427.07</v>
      </c>
    </row>
    <row r="1108" spans="1:14" ht="15" x14ac:dyDescent="0.25">
      <c r="A1108" s="2" t="s">
        <v>3972</v>
      </c>
      <c r="B1108" s="3">
        <v>44997</v>
      </c>
      <c r="C1108" s="2" t="s">
        <v>3973</v>
      </c>
      <c r="D1108" s="2" t="s">
        <v>41</v>
      </c>
      <c r="E1108" s="2">
        <v>1</v>
      </c>
      <c r="F1108" s="2">
        <v>372.8</v>
      </c>
      <c r="G1108" s="2" t="s">
        <v>93</v>
      </c>
      <c r="H1108" s="2" t="s">
        <v>65</v>
      </c>
      <c r="I1108" s="2" t="s">
        <v>35</v>
      </c>
      <c r="J1108" s="2" t="s">
        <v>3974</v>
      </c>
      <c r="K1108" s="2">
        <v>6</v>
      </c>
      <c r="L1108" s="2" t="s">
        <v>21</v>
      </c>
      <c r="M1108" s="2" t="s">
        <v>45</v>
      </c>
      <c r="N1108" s="2">
        <v>372.8</v>
      </c>
    </row>
    <row r="1109" spans="1:14" ht="15" x14ac:dyDescent="0.25">
      <c r="A1109" s="2" t="s">
        <v>3975</v>
      </c>
      <c r="B1109" s="3">
        <v>45838</v>
      </c>
      <c r="C1109" s="2" t="s">
        <v>3976</v>
      </c>
      <c r="D1109" s="2" t="s">
        <v>32</v>
      </c>
      <c r="E1109" s="2">
        <v>2</v>
      </c>
      <c r="F1109" s="2">
        <v>63.21</v>
      </c>
      <c r="G1109" s="2" t="s">
        <v>2290</v>
      </c>
      <c r="H1109" s="2" t="s">
        <v>27</v>
      </c>
      <c r="I1109" s="2" t="s">
        <v>35</v>
      </c>
      <c r="J1109" s="2" t="s">
        <v>3977</v>
      </c>
      <c r="K1109" s="2">
        <v>4</v>
      </c>
      <c r="L1109" s="2" t="s">
        <v>21</v>
      </c>
      <c r="M1109" s="2" t="s">
        <v>76</v>
      </c>
      <c r="N1109" s="2">
        <v>126.42</v>
      </c>
    </row>
    <row r="1110" spans="1:14" ht="15" x14ac:dyDescent="0.25">
      <c r="A1110" s="2" t="s">
        <v>3978</v>
      </c>
      <c r="B1110" s="3">
        <v>45005</v>
      </c>
      <c r="C1110" s="2" t="s">
        <v>3979</v>
      </c>
      <c r="D1110" s="2" t="s">
        <v>58</v>
      </c>
      <c r="E1110" s="2">
        <v>1</v>
      </c>
      <c r="F1110" s="2">
        <v>634.94000000000005</v>
      </c>
      <c r="G1110" s="2" t="s">
        <v>3980</v>
      </c>
      <c r="H1110" s="2" t="s">
        <v>27</v>
      </c>
      <c r="I1110" s="2" t="s">
        <v>35</v>
      </c>
      <c r="J1110" s="2" t="s">
        <v>3981</v>
      </c>
      <c r="K1110" s="2">
        <v>5</v>
      </c>
      <c r="L1110" s="2" t="s">
        <v>81</v>
      </c>
      <c r="M1110" s="2" t="s">
        <v>22</v>
      </c>
      <c r="N1110" s="2">
        <v>634.94000000000005</v>
      </c>
    </row>
    <row r="1111" spans="1:14" ht="15" x14ac:dyDescent="0.25">
      <c r="A1111" s="2" t="s">
        <v>3982</v>
      </c>
      <c r="B1111" s="3">
        <v>45390</v>
      </c>
      <c r="C1111" s="2" t="s">
        <v>3983</v>
      </c>
      <c r="D1111" s="2" t="s">
        <v>48</v>
      </c>
      <c r="E1111" s="2">
        <v>4</v>
      </c>
      <c r="F1111" s="2">
        <v>77.47</v>
      </c>
      <c r="G1111" s="2" t="s">
        <v>1779</v>
      </c>
      <c r="H1111" s="2" t="s">
        <v>60</v>
      </c>
      <c r="I1111" s="2" t="s">
        <v>43</v>
      </c>
      <c r="J1111" s="2" t="s">
        <v>3984</v>
      </c>
      <c r="K1111" s="2">
        <v>7</v>
      </c>
      <c r="L1111" s="2" t="s">
        <v>21</v>
      </c>
      <c r="M1111" s="2" t="s">
        <v>22</v>
      </c>
      <c r="N1111" s="2">
        <v>309.88</v>
      </c>
    </row>
    <row r="1112" spans="1:14" ht="15" x14ac:dyDescent="0.25">
      <c r="A1112" s="2" t="s">
        <v>3985</v>
      </c>
      <c r="B1112" s="3">
        <v>45347</v>
      </c>
      <c r="C1112" s="2" t="s">
        <v>3986</v>
      </c>
      <c r="D1112" s="2" t="s">
        <v>41</v>
      </c>
      <c r="E1112" s="2">
        <v>3</v>
      </c>
      <c r="F1112" s="2">
        <v>84.31</v>
      </c>
      <c r="G1112" s="2" t="s">
        <v>173</v>
      </c>
      <c r="H1112" s="2" t="s">
        <v>34</v>
      </c>
      <c r="I1112" s="2" t="s">
        <v>19</v>
      </c>
      <c r="J1112" s="2" t="s">
        <v>3987</v>
      </c>
      <c r="K1112" s="2">
        <v>3</v>
      </c>
      <c r="L1112" s="2" t="s">
        <v>21</v>
      </c>
      <c r="M1112" s="2" t="s">
        <v>38</v>
      </c>
      <c r="N1112" s="2">
        <v>252.93</v>
      </c>
    </row>
    <row r="1113" spans="1:14" ht="15" x14ac:dyDescent="0.25">
      <c r="A1113" s="2" t="s">
        <v>3988</v>
      </c>
      <c r="B1113" s="3">
        <v>45052</v>
      </c>
      <c r="C1113" s="2" t="s">
        <v>3989</v>
      </c>
      <c r="D1113" s="2" t="s">
        <v>16</v>
      </c>
      <c r="E1113" s="2">
        <v>4</v>
      </c>
      <c r="F1113" s="2">
        <v>234.45</v>
      </c>
      <c r="G1113" s="2" t="s">
        <v>3990</v>
      </c>
      <c r="H1113" s="2" t="s">
        <v>27</v>
      </c>
      <c r="I1113" s="2" t="s">
        <v>35</v>
      </c>
      <c r="J1113" s="2" t="s">
        <v>3991</v>
      </c>
      <c r="K1113" s="2">
        <v>9</v>
      </c>
      <c r="L1113" s="2" t="s">
        <v>37</v>
      </c>
      <c r="M1113" s="2" t="s">
        <v>22</v>
      </c>
      <c r="N1113" s="2">
        <v>937.8</v>
      </c>
    </row>
    <row r="1114" spans="1:14" ht="15" x14ac:dyDescent="0.25">
      <c r="A1114" s="2" t="s">
        <v>3992</v>
      </c>
      <c r="B1114" s="3">
        <v>45212</v>
      </c>
      <c r="C1114" s="2" t="s">
        <v>3993</v>
      </c>
      <c r="D1114" s="2" t="s">
        <v>73</v>
      </c>
      <c r="E1114" s="2">
        <v>1</v>
      </c>
      <c r="F1114" s="2">
        <v>356.81</v>
      </c>
      <c r="G1114" s="2" t="s">
        <v>529</v>
      </c>
      <c r="H1114" s="2" t="s">
        <v>27</v>
      </c>
      <c r="I1114" s="2" t="s">
        <v>50</v>
      </c>
      <c r="J1114" s="2" t="s">
        <v>3994</v>
      </c>
      <c r="K1114" s="2">
        <v>1</v>
      </c>
      <c r="L1114" s="2" t="s">
        <v>81</v>
      </c>
      <c r="M1114" s="2" t="s">
        <v>22</v>
      </c>
      <c r="N1114" s="2">
        <v>356.81</v>
      </c>
    </row>
    <row r="1115" spans="1:14" ht="15" x14ac:dyDescent="0.25">
      <c r="A1115" s="2" t="s">
        <v>3995</v>
      </c>
      <c r="B1115" s="3">
        <v>45004</v>
      </c>
      <c r="C1115" s="2" t="s">
        <v>3996</v>
      </c>
      <c r="D1115" s="2" t="s">
        <v>73</v>
      </c>
      <c r="E1115" s="2">
        <v>4</v>
      </c>
      <c r="F1115" s="2">
        <v>209.99</v>
      </c>
      <c r="G1115" s="2" t="s">
        <v>3405</v>
      </c>
      <c r="H1115" s="2" t="s">
        <v>65</v>
      </c>
      <c r="I1115" s="2" t="s">
        <v>50</v>
      </c>
      <c r="J1115" s="2" t="s">
        <v>3997</v>
      </c>
      <c r="K1115" s="2">
        <v>8</v>
      </c>
      <c r="M1115" s="2" t="s">
        <v>76</v>
      </c>
      <c r="N1115" s="2">
        <v>839.96</v>
      </c>
    </row>
    <row r="1116" spans="1:14" ht="15" x14ac:dyDescent="0.25">
      <c r="A1116" s="2" t="s">
        <v>3998</v>
      </c>
      <c r="B1116" s="3">
        <v>45001</v>
      </c>
      <c r="C1116" s="2" t="s">
        <v>3999</v>
      </c>
      <c r="D1116" s="2" t="s">
        <v>32</v>
      </c>
      <c r="E1116" s="2">
        <v>3</v>
      </c>
      <c r="F1116" s="2">
        <v>659.88</v>
      </c>
      <c r="G1116" s="2" t="s">
        <v>837</v>
      </c>
      <c r="H1116" s="2" t="s">
        <v>60</v>
      </c>
      <c r="I1116" s="2" t="s">
        <v>35</v>
      </c>
      <c r="J1116" s="2" t="s">
        <v>4000</v>
      </c>
      <c r="K1116" s="2">
        <v>3</v>
      </c>
      <c r="M1116" s="2" t="s">
        <v>76</v>
      </c>
      <c r="N1116" s="2">
        <v>1979.64</v>
      </c>
    </row>
    <row r="1117" spans="1:14" ht="15" x14ac:dyDescent="0.25">
      <c r="A1117" s="2" t="s">
        <v>4001</v>
      </c>
      <c r="B1117" s="3">
        <v>45828</v>
      </c>
      <c r="C1117" s="2" t="s">
        <v>4002</v>
      </c>
      <c r="D1117" s="2" t="s">
        <v>58</v>
      </c>
      <c r="E1117" s="2">
        <v>2</v>
      </c>
      <c r="F1117" s="2">
        <v>336.32</v>
      </c>
      <c r="G1117" s="2" t="s">
        <v>952</v>
      </c>
      <c r="H1117" s="2" t="s">
        <v>27</v>
      </c>
      <c r="I1117" s="2" t="s">
        <v>43</v>
      </c>
      <c r="J1117" s="2" t="s">
        <v>4003</v>
      </c>
      <c r="K1117" s="2">
        <v>3</v>
      </c>
      <c r="M1117" s="2" t="s">
        <v>76</v>
      </c>
      <c r="N1117" s="2">
        <v>672.64</v>
      </c>
    </row>
    <row r="1118" spans="1:14" ht="15" x14ac:dyDescent="0.25">
      <c r="A1118" s="2" t="s">
        <v>4004</v>
      </c>
      <c r="B1118" s="3">
        <v>45213</v>
      </c>
      <c r="C1118" s="2" t="s">
        <v>4005</v>
      </c>
      <c r="D1118" s="2" t="s">
        <v>48</v>
      </c>
      <c r="E1118" s="2">
        <v>2</v>
      </c>
      <c r="F1118" s="2">
        <v>531.49</v>
      </c>
      <c r="G1118" s="2" t="s">
        <v>952</v>
      </c>
      <c r="H1118" s="2" t="s">
        <v>34</v>
      </c>
      <c r="I1118" s="2" t="s">
        <v>50</v>
      </c>
      <c r="J1118" s="2" t="s">
        <v>4006</v>
      </c>
      <c r="K1118" s="2">
        <v>7</v>
      </c>
      <c r="L1118" s="2" t="s">
        <v>81</v>
      </c>
      <c r="M1118" s="2" t="s">
        <v>45</v>
      </c>
      <c r="N1118" s="2">
        <v>1062.98</v>
      </c>
    </row>
    <row r="1119" spans="1:14" ht="15" x14ac:dyDescent="0.25">
      <c r="A1119" s="2" t="s">
        <v>4007</v>
      </c>
      <c r="B1119" s="3">
        <v>45432</v>
      </c>
      <c r="C1119" s="2" t="s">
        <v>4008</v>
      </c>
      <c r="D1119" s="2" t="s">
        <v>41</v>
      </c>
      <c r="E1119" s="2">
        <v>3</v>
      </c>
      <c r="F1119" s="2">
        <v>588.44000000000005</v>
      </c>
      <c r="G1119" s="2" t="s">
        <v>1571</v>
      </c>
      <c r="H1119" s="2" t="s">
        <v>60</v>
      </c>
      <c r="I1119" s="2" t="s">
        <v>19</v>
      </c>
      <c r="J1119" s="2" t="s">
        <v>4009</v>
      </c>
      <c r="K1119" s="2">
        <v>8</v>
      </c>
      <c r="L1119" s="2" t="s">
        <v>81</v>
      </c>
      <c r="M1119" s="2" t="s">
        <v>76</v>
      </c>
      <c r="N1119" s="2">
        <v>1765.32</v>
      </c>
    </row>
    <row r="1120" spans="1:14" ht="15" x14ac:dyDescent="0.25">
      <c r="A1120" s="2" t="s">
        <v>4010</v>
      </c>
      <c r="B1120" s="3">
        <v>45436</v>
      </c>
      <c r="C1120" s="2" t="s">
        <v>4011</v>
      </c>
      <c r="D1120" s="2" t="s">
        <v>25</v>
      </c>
      <c r="E1120" s="2">
        <v>3</v>
      </c>
      <c r="F1120" s="2">
        <v>251.48</v>
      </c>
      <c r="G1120" s="2" t="s">
        <v>1542</v>
      </c>
      <c r="H1120" s="2" t="s">
        <v>34</v>
      </c>
      <c r="I1120" s="2" t="s">
        <v>43</v>
      </c>
      <c r="J1120" s="2" t="s">
        <v>4012</v>
      </c>
      <c r="K1120" s="2">
        <v>4</v>
      </c>
      <c r="M1120" s="2" t="s">
        <v>38</v>
      </c>
      <c r="N1120" s="2">
        <v>754.43999999999994</v>
      </c>
    </row>
    <row r="1121" spans="1:14" ht="15" x14ac:dyDescent="0.25">
      <c r="A1121" s="2" t="s">
        <v>4013</v>
      </c>
      <c r="B1121" s="3">
        <v>45620</v>
      </c>
      <c r="C1121" s="2" t="s">
        <v>4014</v>
      </c>
      <c r="D1121" s="2" t="s">
        <v>58</v>
      </c>
      <c r="E1121" s="2">
        <v>1</v>
      </c>
      <c r="F1121" s="2">
        <v>684.65</v>
      </c>
      <c r="G1121" s="2" t="s">
        <v>1054</v>
      </c>
      <c r="H1121" s="2" t="s">
        <v>34</v>
      </c>
      <c r="I1121" s="2" t="s">
        <v>50</v>
      </c>
      <c r="J1121" s="2" t="s">
        <v>4015</v>
      </c>
      <c r="K1121" s="2">
        <v>1</v>
      </c>
      <c r="L1121" s="2" t="s">
        <v>37</v>
      </c>
      <c r="M1121" s="2" t="s">
        <v>38</v>
      </c>
      <c r="N1121" s="2">
        <v>684.65</v>
      </c>
    </row>
    <row r="1122" spans="1:14" ht="15" x14ac:dyDescent="0.25">
      <c r="A1122" s="2" t="s">
        <v>4016</v>
      </c>
      <c r="B1122" s="3">
        <v>45787</v>
      </c>
      <c r="C1122" s="2" t="s">
        <v>4017</v>
      </c>
      <c r="D1122" s="2" t="s">
        <v>32</v>
      </c>
      <c r="E1122" s="2">
        <v>1</v>
      </c>
      <c r="F1122" s="2">
        <v>195.86</v>
      </c>
      <c r="G1122" s="2" t="s">
        <v>201</v>
      </c>
      <c r="H1122" s="2" t="s">
        <v>27</v>
      </c>
      <c r="I1122" s="2" t="s">
        <v>89</v>
      </c>
      <c r="J1122" s="2" t="s">
        <v>4018</v>
      </c>
      <c r="K1122" s="2">
        <v>3</v>
      </c>
      <c r="M1122" s="2" t="s">
        <v>45</v>
      </c>
      <c r="N1122" s="2">
        <v>195.86</v>
      </c>
    </row>
    <row r="1123" spans="1:14" ht="15" x14ac:dyDescent="0.25">
      <c r="A1123" s="2" t="s">
        <v>4019</v>
      </c>
      <c r="B1123" s="3">
        <v>45074</v>
      </c>
      <c r="C1123" s="2" t="s">
        <v>4020</v>
      </c>
      <c r="D1123" s="2" t="s">
        <v>25</v>
      </c>
      <c r="E1123" s="2">
        <v>3</v>
      </c>
      <c r="F1123" s="2">
        <v>50.34</v>
      </c>
      <c r="G1123" s="2" t="s">
        <v>3226</v>
      </c>
      <c r="H1123" s="2" t="s">
        <v>60</v>
      </c>
      <c r="I1123" s="2" t="s">
        <v>43</v>
      </c>
      <c r="J1123" s="2" t="s">
        <v>4021</v>
      </c>
      <c r="K1123" s="2">
        <v>3</v>
      </c>
      <c r="L1123" s="2" t="s">
        <v>37</v>
      </c>
      <c r="M1123" s="2" t="s">
        <v>22</v>
      </c>
      <c r="N1123" s="2">
        <v>151.02000000000001</v>
      </c>
    </row>
    <row r="1124" spans="1:14" ht="15" x14ac:dyDescent="0.25">
      <c r="A1124" s="2" t="s">
        <v>4022</v>
      </c>
      <c r="B1124" s="3">
        <v>45084</v>
      </c>
      <c r="C1124" s="2" t="s">
        <v>1065</v>
      </c>
      <c r="D1124" s="2" t="s">
        <v>16</v>
      </c>
      <c r="E1124" s="2">
        <v>5</v>
      </c>
      <c r="F1124" s="2">
        <v>678.19</v>
      </c>
      <c r="G1124" s="2" t="s">
        <v>3733</v>
      </c>
      <c r="H1124" s="2" t="s">
        <v>27</v>
      </c>
      <c r="I1124" s="2" t="s">
        <v>43</v>
      </c>
      <c r="J1124" s="2" t="s">
        <v>4023</v>
      </c>
      <c r="K1124" s="2">
        <v>8</v>
      </c>
      <c r="M1124" s="2" t="s">
        <v>45</v>
      </c>
      <c r="N1124" s="2">
        <v>3390.95</v>
      </c>
    </row>
    <row r="1125" spans="1:14" ht="15" x14ac:dyDescent="0.25">
      <c r="A1125" s="2" t="s">
        <v>4024</v>
      </c>
      <c r="B1125" s="3">
        <v>45030</v>
      </c>
      <c r="C1125" s="2" t="s">
        <v>4025</v>
      </c>
      <c r="D1125" s="2" t="s">
        <v>32</v>
      </c>
      <c r="E1125" s="2">
        <v>3</v>
      </c>
      <c r="F1125" s="2">
        <v>554.25</v>
      </c>
      <c r="G1125" s="2" t="s">
        <v>4026</v>
      </c>
      <c r="H1125" s="2" t="s">
        <v>18</v>
      </c>
      <c r="I1125" s="2" t="s">
        <v>19</v>
      </c>
      <c r="J1125" s="2" t="s">
        <v>4027</v>
      </c>
      <c r="K1125" s="2">
        <v>6</v>
      </c>
      <c r="L1125" s="2" t="s">
        <v>81</v>
      </c>
      <c r="M1125" s="2" t="s">
        <v>29</v>
      </c>
      <c r="N1125" s="2">
        <v>1662.75</v>
      </c>
    </row>
    <row r="1126" spans="1:14" ht="15" x14ac:dyDescent="0.25">
      <c r="A1126" s="2" t="s">
        <v>4028</v>
      </c>
      <c r="B1126" s="3">
        <v>45055</v>
      </c>
      <c r="C1126" s="2" t="s">
        <v>4029</v>
      </c>
      <c r="D1126" s="2" t="s">
        <v>41</v>
      </c>
      <c r="E1126" s="2">
        <v>4</v>
      </c>
      <c r="F1126" s="2">
        <v>576.87</v>
      </c>
      <c r="G1126" s="2" t="s">
        <v>4030</v>
      </c>
      <c r="H1126" s="2" t="s">
        <v>60</v>
      </c>
      <c r="I1126" s="2" t="s">
        <v>43</v>
      </c>
      <c r="J1126" s="2" t="s">
        <v>4031</v>
      </c>
      <c r="K1126" s="2">
        <v>5</v>
      </c>
      <c r="M1126" s="2" t="s">
        <v>22</v>
      </c>
      <c r="N1126" s="2">
        <v>2307.48</v>
      </c>
    </row>
    <row r="1127" spans="1:14" ht="15" x14ac:dyDescent="0.25">
      <c r="A1127" s="2" t="s">
        <v>4032</v>
      </c>
      <c r="B1127" s="3">
        <v>45215</v>
      </c>
      <c r="C1127" s="2" t="s">
        <v>4033</v>
      </c>
      <c r="D1127" s="2" t="s">
        <v>73</v>
      </c>
      <c r="E1127" s="2">
        <v>4</v>
      </c>
      <c r="F1127" s="2">
        <v>408.36</v>
      </c>
      <c r="G1127" s="2" t="s">
        <v>3180</v>
      </c>
      <c r="H1127" s="2" t="s">
        <v>60</v>
      </c>
      <c r="I1127" s="2" t="s">
        <v>35</v>
      </c>
      <c r="J1127" s="2" t="s">
        <v>4034</v>
      </c>
      <c r="K1127" s="2">
        <v>4</v>
      </c>
      <c r="L1127" s="2" t="s">
        <v>37</v>
      </c>
      <c r="M1127" s="2" t="s">
        <v>29</v>
      </c>
      <c r="N1127" s="2">
        <v>1633.44</v>
      </c>
    </row>
    <row r="1128" spans="1:14" ht="15" x14ac:dyDescent="0.25">
      <c r="A1128" s="2" t="s">
        <v>4035</v>
      </c>
      <c r="B1128" s="3">
        <v>45495</v>
      </c>
      <c r="C1128" s="2" t="s">
        <v>4036</v>
      </c>
      <c r="D1128" s="2" t="s">
        <v>25</v>
      </c>
      <c r="E1128" s="2">
        <v>5</v>
      </c>
      <c r="F1128" s="2">
        <v>190.11</v>
      </c>
      <c r="G1128" s="2" t="s">
        <v>4037</v>
      </c>
      <c r="H1128" s="2" t="s">
        <v>65</v>
      </c>
      <c r="I1128" s="2" t="s">
        <v>50</v>
      </c>
      <c r="J1128" s="2" t="s">
        <v>4038</v>
      </c>
      <c r="K1128" s="2">
        <v>7</v>
      </c>
      <c r="L1128" s="2" t="s">
        <v>21</v>
      </c>
      <c r="M1128" s="2" t="s">
        <v>76</v>
      </c>
      <c r="N1128" s="2">
        <v>950.55000000000007</v>
      </c>
    </row>
    <row r="1129" spans="1:14" ht="15" x14ac:dyDescent="0.25">
      <c r="A1129" s="2" t="s">
        <v>4039</v>
      </c>
      <c r="B1129" s="3">
        <v>45731</v>
      </c>
      <c r="C1129" s="2" t="s">
        <v>4040</v>
      </c>
      <c r="D1129" s="2" t="s">
        <v>48</v>
      </c>
      <c r="E1129" s="2">
        <v>3</v>
      </c>
      <c r="F1129" s="2">
        <v>602.75</v>
      </c>
      <c r="G1129" s="2" t="s">
        <v>3011</v>
      </c>
      <c r="H1129" s="2" t="s">
        <v>34</v>
      </c>
      <c r="I1129" s="2" t="s">
        <v>19</v>
      </c>
      <c r="J1129" s="2" t="s">
        <v>4041</v>
      </c>
      <c r="K1129" s="2">
        <v>6</v>
      </c>
      <c r="L1129" s="2" t="s">
        <v>21</v>
      </c>
      <c r="M1129" s="2" t="s">
        <v>38</v>
      </c>
      <c r="N1129" s="2">
        <v>1808.25</v>
      </c>
    </row>
    <row r="1130" spans="1:14" ht="15" x14ac:dyDescent="0.25">
      <c r="A1130" s="2" t="s">
        <v>4042</v>
      </c>
      <c r="B1130" s="3">
        <v>45155</v>
      </c>
      <c r="C1130" s="2" t="s">
        <v>4043</v>
      </c>
      <c r="D1130" s="2" t="s">
        <v>16</v>
      </c>
      <c r="E1130" s="2">
        <v>3</v>
      </c>
      <c r="F1130" s="2">
        <v>646.79</v>
      </c>
      <c r="G1130" s="2" t="s">
        <v>379</v>
      </c>
      <c r="H1130" s="2" t="s">
        <v>65</v>
      </c>
      <c r="I1130" s="2" t="s">
        <v>35</v>
      </c>
      <c r="J1130" s="2" t="s">
        <v>4044</v>
      </c>
      <c r="K1130" s="2">
        <v>5</v>
      </c>
      <c r="L1130" s="2" t="s">
        <v>81</v>
      </c>
      <c r="M1130" s="2" t="s">
        <v>76</v>
      </c>
      <c r="N1130" s="2">
        <v>1940.37</v>
      </c>
    </row>
    <row r="1131" spans="1:14" ht="15" x14ac:dyDescent="0.25">
      <c r="A1131" s="2" t="s">
        <v>4045</v>
      </c>
      <c r="B1131" s="3">
        <v>45088</v>
      </c>
      <c r="C1131" s="2" t="s">
        <v>4046</v>
      </c>
      <c r="D1131" s="2" t="s">
        <v>41</v>
      </c>
      <c r="E1131" s="2">
        <v>4</v>
      </c>
      <c r="F1131" s="2">
        <v>418.71</v>
      </c>
      <c r="G1131" s="2" t="s">
        <v>339</v>
      </c>
      <c r="H1131" s="2" t="s">
        <v>65</v>
      </c>
      <c r="I1131" s="2" t="s">
        <v>89</v>
      </c>
      <c r="J1131" s="2" t="s">
        <v>4047</v>
      </c>
      <c r="K1131" s="2">
        <v>8</v>
      </c>
      <c r="L1131" s="2" t="s">
        <v>37</v>
      </c>
      <c r="M1131" s="2" t="s">
        <v>22</v>
      </c>
      <c r="N1131" s="2">
        <v>1674.84</v>
      </c>
    </row>
    <row r="1132" spans="1:14" ht="15" x14ac:dyDescent="0.25">
      <c r="A1132" s="2" t="s">
        <v>4048</v>
      </c>
      <c r="B1132" s="3">
        <v>45704</v>
      </c>
      <c r="C1132" s="2" t="s">
        <v>4049</v>
      </c>
      <c r="D1132" s="2" t="s">
        <v>58</v>
      </c>
      <c r="E1132" s="2">
        <v>2</v>
      </c>
      <c r="F1132" s="2">
        <v>323.45</v>
      </c>
      <c r="G1132" s="2" t="s">
        <v>426</v>
      </c>
      <c r="H1132" s="2" t="s">
        <v>34</v>
      </c>
      <c r="I1132" s="2" t="s">
        <v>43</v>
      </c>
      <c r="J1132" s="2" t="s">
        <v>4050</v>
      </c>
      <c r="K1132" s="2">
        <v>5</v>
      </c>
      <c r="L1132" s="2" t="s">
        <v>37</v>
      </c>
      <c r="M1132" s="2" t="s">
        <v>22</v>
      </c>
      <c r="N1132" s="2">
        <v>646.9</v>
      </c>
    </row>
    <row r="1133" spans="1:14" ht="15" x14ac:dyDescent="0.25">
      <c r="A1133" s="2" t="s">
        <v>4051</v>
      </c>
      <c r="B1133" s="3">
        <v>45491</v>
      </c>
      <c r="C1133" s="2" t="s">
        <v>4052</v>
      </c>
      <c r="D1133" s="2" t="s">
        <v>25</v>
      </c>
      <c r="E1133" s="2">
        <v>1</v>
      </c>
      <c r="F1133" s="2">
        <v>694.5</v>
      </c>
      <c r="G1133" s="2" t="s">
        <v>1125</v>
      </c>
      <c r="H1133" s="2" t="s">
        <v>34</v>
      </c>
      <c r="I1133" s="2" t="s">
        <v>89</v>
      </c>
      <c r="J1133" s="2" t="s">
        <v>4053</v>
      </c>
      <c r="K1133" s="2">
        <v>3</v>
      </c>
      <c r="L1133" s="2" t="s">
        <v>81</v>
      </c>
      <c r="M1133" s="2" t="s">
        <v>45</v>
      </c>
      <c r="N1133" s="2">
        <v>694.5</v>
      </c>
    </row>
    <row r="1134" spans="1:14" ht="15" x14ac:dyDescent="0.25">
      <c r="A1134" s="2" t="s">
        <v>4054</v>
      </c>
      <c r="B1134" s="3">
        <v>45628</v>
      </c>
      <c r="C1134" s="2" t="s">
        <v>4055</v>
      </c>
      <c r="D1134" s="2" t="s">
        <v>41</v>
      </c>
      <c r="E1134" s="2">
        <v>2</v>
      </c>
      <c r="F1134" s="2">
        <v>337.32</v>
      </c>
      <c r="G1134" s="2" t="s">
        <v>929</v>
      </c>
      <c r="H1134" s="2" t="s">
        <v>34</v>
      </c>
      <c r="I1134" s="2" t="s">
        <v>35</v>
      </c>
      <c r="J1134" s="2" t="s">
        <v>4056</v>
      </c>
      <c r="K1134" s="2">
        <v>4</v>
      </c>
      <c r="L1134" s="2" t="s">
        <v>21</v>
      </c>
      <c r="M1134" s="2" t="s">
        <v>38</v>
      </c>
      <c r="N1134" s="2">
        <v>674.64</v>
      </c>
    </row>
    <row r="1135" spans="1:14" ht="15" x14ac:dyDescent="0.25">
      <c r="A1135" s="2" t="s">
        <v>4057</v>
      </c>
      <c r="B1135" s="3">
        <v>45391</v>
      </c>
      <c r="C1135" s="2" t="s">
        <v>4058</v>
      </c>
      <c r="D1135" s="2" t="s">
        <v>48</v>
      </c>
      <c r="E1135" s="2">
        <v>2</v>
      </c>
      <c r="F1135" s="2">
        <v>467.91</v>
      </c>
      <c r="G1135" s="2" t="s">
        <v>873</v>
      </c>
      <c r="H1135" s="2" t="s">
        <v>60</v>
      </c>
      <c r="I1135" s="2" t="s">
        <v>43</v>
      </c>
      <c r="J1135" s="2" t="s">
        <v>4059</v>
      </c>
      <c r="K1135" s="2">
        <v>5</v>
      </c>
      <c r="L1135" s="2" t="s">
        <v>81</v>
      </c>
      <c r="M1135" s="2" t="s">
        <v>45</v>
      </c>
      <c r="N1135" s="2">
        <v>935.82</v>
      </c>
    </row>
    <row r="1136" spans="1:14" ht="15" x14ac:dyDescent="0.25">
      <c r="A1136" s="2" t="s">
        <v>4060</v>
      </c>
      <c r="B1136" s="3">
        <v>45451</v>
      </c>
      <c r="C1136" s="2" t="s">
        <v>4061</v>
      </c>
      <c r="D1136" s="2" t="s">
        <v>73</v>
      </c>
      <c r="E1136" s="2">
        <v>4</v>
      </c>
      <c r="F1136" s="2">
        <v>38.28</v>
      </c>
      <c r="G1136" s="2" t="s">
        <v>4062</v>
      </c>
      <c r="H1136" s="2" t="s">
        <v>18</v>
      </c>
      <c r="I1136" s="2" t="s">
        <v>35</v>
      </c>
      <c r="J1136" s="2" t="s">
        <v>4063</v>
      </c>
      <c r="K1136" s="2">
        <v>4</v>
      </c>
      <c r="L1136" s="2" t="s">
        <v>81</v>
      </c>
      <c r="M1136" s="2" t="s">
        <v>45</v>
      </c>
      <c r="N1136" s="2">
        <v>153.12</v>
      </c>
    </row>
    <row r="1137" spans="1:14" ht="15" x14ac:dyDescent="0.25">
      <c r="A1137" s="2" t="s">
        <v>4064</v>
      </c>
      <c r="B1137" s="3">
        <v>45288</v>
      </c>
      <c r="C1137" s="2" t="s">
        <v>4065</v>
      </c>
      <c r="D1137" s="2" t="s">
        <v>48</v>
      </c>
      <c r="E1137" s="2">
        <v>2</v>
      </c>
      <c r="F1137" s="2">
        <v>73.41</v>
      </c>
      <c r="G1137" s="2" t="s">
        <v>952</v>
      </c>
      <c r="H1137" s="2" t="s">
        <v>27</v>
      </c>
      <c r="I1137" s="2" t="s">
        <v>19</v>
      </c>
      <c r="J1137" s="2" t="s">
        <v>4066</v>
      </c>
      <c r="K1137" s="2">
        <v>2</v>
      </c>
      <c r="L1137" s="2" t="s">
        <v>21</v>
      </c>
      <c r="M1137" s="2" t="s">
        <v>76</v>
      </c>
      <c r="N1137" s="2">
        <v>146.82</v>
      </c>
    </row>
    <row r="1138" spans="1:14" ht="15" x14ac:dyDescent="0.25">
      <c r="A1138" s="2" t="s">
        <v>4067</v>
      </c>
      <c r="B1138" s="3">
        <v>45193</v>
      </c>
      <c r="C1138" s="2" t="s">
        <v>4068</v>
      </c>
      <c r="D1138" s="2" t="s">
        <v>32</v>
      </c>
      <c r="E1138" s="2">
        <v>3</v>
      </c>
      <c r="F1138" s="2">
        <v>668.33</v>
      </c>
      <c r="G1138" s="2" t="s">
        <v>2620</v>
      </c>
      <c r="H1138" s="2" t="s">
        <v>60</v>
      </c>
      <c r="I1138" s="2" t="s">
        <v>89</v>
      </c>
      <c r="J1138" s="2" t="s">
        <v>4069</v>
      </c>
      <c r="K1138" s="2">
        <v>4</v>
      </c>
      <c r="L1138" s="2" t="s">
        <v>81</v>
      </c>
      <c r="M1138" s="2" t="s">
        <v>45</v>
      </c>
      <c r="N1138" s="2">
        <v>2004.99</v>
      </c>
    </row>
    <row r="1139" spans="1:14" ht="15" x14ac:dyDescent="0.25">
      <c r="A1139" s="2" t="s">
        <v>4070</v>
      </c>
      <c r="B1139" s="3">
        <v>45502</v>
      </c>
      <c r="C1139" s="2" t="s">
        <v>4071</v>
      </c>
      <c r="D1139" s="2" t="s">
        <v>48</v>
      </c>
      <c r="E1139" s="2">
        <v>4</v>
      </c>
      <c r="F1139" s="2">
        <v>410.21</v>
      </c>
      <c r="G1139" s="2" t="s">
        <v>4072</v>
      </c>
      <c r="H1139" s="2" t="s">
        <v>65</v>
      </c>
      <c r="I1139" s="2" t="s">
        <v>89</v>
      </c>
      <c r="J1139" s="2" t="s">
        <v>4073</v>
      </c>
      <c r="K1139" s="2">
        <v>5</v>
      </c>
      <c r="L1139" s="2" t="s">
        <v>81</v>
      </c>
      <c r="M1139" s="2" t="s">
        <v>22</v>
      </c>
      <c r="N1139" s="2">
        <v>1640.84</v>
      </c>
    </row>
    <row r="1140" spans="1:14" ht="15" x14ac:dyDescent="0.25">
      <c r="A1140" s="2" t="s">
        <v>4074</v>
      </c>
      <c r="B1140" s="3">
        <v>45278</v>
      </c>
      <c r="C1140" s="2" t="s">
        <v>4075</v>
      </c>
      <c r="D1140" s="2" t="s">
        <v>73</v>
      </c>
      <c r="E1140" s="2">
        <v>4</v>
      </c>
      <c r="F1140" s="2">
        <v>294.41000000000003</v>
      </c>
      <c r="G1140" s="2" t="s">
        <v>2486</v>
      </c>
      <c r="H1140" s="2" t="s">
        <v>18</v>
      </c>
      <c r="I1140" s="2" t="s">
        <v>89</v>
      </c>
      <c r="J1140" s="2" t="s">
        <v>4076</v>
      </c>
      <c r="K1140" s="2">
        <v>4</v>
      </c>
      <c r="M1140" s="2" t="s">
        <v>22</v>
      </c>
      <c r="N1140" s="2">
        <v>1177.6400000000001</v>
      </c>
    </row>
    <row r="1141" spans="1:14" ht="15" x14ac:dyDescent="0.25">
      <c r="A1141" s="2" t="s">
        <v>4077</v>
      </c>
      <c r="B1141" s="3">
        <v>45717</v>
      </c>
      <c r="C1141" s="2" t="s">
        <v>3789</v>
      </c>
      <c r="D1141" s="2" t="s">
        <v>41</v>
      </c>
      <c r="E1141" s="2">
        <v>3</v>
      </c>
      <c r="F1141" s="2">
        <v>501.82</v>
      </c>
      <c r="G1141" s="2" t="s">
        <v>153</v>
      </c>
      <c r="H1141" s="2" t="s">
        <v>60</v>
      </c>
      <c r="I1141" s="2" t="s">
        <v>35</v>
      </c>
      <c r="J1141" s="2" t="s">
        <v>4078</v>
      </c>
      <c r="K1141" s="2">
        <v>4</v>
      </c>
      <c r="L1141" s="2" t="s">
        <v>37</v>
      </c>
      <c r="M1141" s="2" t="s">
        <v>38</v>
      </c>
      <c r="N1141" s="2">
        <v>1505.46</v>
      </c>
    </row>
    <row r="1142" spans="1:14" ht="15" x14ac:dyDescent="0.25">
      <c r="A1142" s="2" t="s">
        <v>4079</v>
      </c>
      <c r="B1142" s="3">
        <v>45467</v>
      </c>
      <c r="C1142" s="2" t="s">
        <v>4080</v>
      </c>
      <c r="D1142" s="2" t="s">
        <v>48</v>
      </c>
      <c r="E1142" s="2">
        <v>2</v>
      </c>
      <c r="F1142" s="2">
        <v>552.83000000000004</v>
      </c>
      <c r="G1142" s="2" t="s">
        <v>69</v>
      </c>
      <c r="H1142" s="2" t="s">
        <v>34</v>
      </c>
      <c r="I1142" s="2" t="s">
        <v>35</v>
      </c>
      <c r="J1142" s="2" t="s">
        <v>4081</v>
      </c>
      <c r="K1142" s="2">
        <v>3</v>
      </c>
      <c r="M1142" s="2" t="s">
        <v>29</v>
      </c>
      <c r="N1142" s="2">
        <v>1105.6600000000001</v>
      </c>
    </row>
    <row r="1143" spans="1:14" ht="15" x14ac:dyDescent="0.25">
      <c r="A1143" s="2" t="s">
        <v>4082</v>
      </c>
      <c r="B1143" s="3">
        <v>45704</v>
      </c>
      <c r="C1143" s="2" t="s">
        <v>4083</v>
      </c>
      <c r="D1143" s="2" t="s">
        <v>41</v>
      </c>
      <c r="E1143" s="2">
        <v>3</v>
      </c>
      <c r="F1143" s="2">
        <v>498.66</v>
      </c>
      <c r="G1143" s="2" t="s">
        <v>109</v>
      </c>
      <c r="H1143" s="2" t="s">
        <v>65</v>
      </c>
      <c r="I1143" s="2" t="s">
        <v>35</v>
      </c>
      <c r="J1143" s="2" t="s">
        <v>4084</v>
      </c>
      <c r="K1143" s="2">
        <v>6</v>
      </c>
      <c r="M1143" s="2" t="s">
        <v>38</v>
      </c>
      <c r="N1143" s="2">
        <v>1495.98</v>
      </c>
    </row>
    <row r="1144" spans="1:14" ht="15" x14ac:dyDescent="0.25">
      <c r="A1144" s="2" t="s">
        <v>4085</v>
      </c>
      <c r="B1144" s="3">
        <v>45527</v>
      </c>
      <c r="C1144" s="2" t="s">
        <v>4086</v>
      </c>
      <c r="D1144" s="2" t="s">
        <v>25</v>
      </c>
      <c r="E1144" s="2">
        <v>4</v>
      </c>
      <c r="F1144" s="2">
        <v>695.1</v>
      </c>
      <c r="G1144" s="2" t="s">
        <v>4087</v>
      </c>
      <c r="H1144" s="2" t="s">
        <v>18</v>
      </c>
      <c r="I1144" s="2" t="s">
        <v>43</v>
      </c>
      <c r="J1144" s="2" t="s">
        <v>4088</v>
      </c>
      <c r="K1144" s="2">
        <v>8</v>
      </c>
      <c r="M1144" s="2" t="s">
        <v>38</v>
      </c>
      <c r="N1144" s="2">
        <v>2780.4</v>
      </c>
    </row>
    <row r="1145" spans="1:14" ht="15" x14ac:dyDescent="0.25">
      <c r="A1145" s="2" t="s">
        <v>4089</v>
      </c>
      <c r="B1145" s="3">
        <v>45019</v>
      </c>
      <c r="C1145" s="2" t="s">
        <v>4090</v>
      </c>
      <c r="D1145" s="2" t="s">
        <v>41</v>
      </c>
      <c r="E1145" s="2">
        <v>1</v>
      </c>
      <c r="F1145" s="2">
        <v>381.61</v>
      </c>
      <c r="G1145" s="2" t="s">
        <v>4091</v>
      </c>
      <c r="H1145" s="2" t="s">
        <v>18</v>
      </c>
      <c r="I1145" s="2" t="s">
        <v>89</v>
      </c>
      <c r="J1145" s="2" t="s">
        <v>4092</v>
      </c>
      <c r="K1145" s="2">
        <v>5</v>
      </c>
      <c r="M1145" s="2" t="s">
        <v>38</v>
      </c>
      <c r="N1145" s="2">
        <v>381.61</v>
      </c>
    </row>
    <row r="1146" spans="1:14" ht="15" x14ac:dyDescent="0.25">
      <c r="A1146" s="2" t="s">
        <v>4093</v>
      </c>
      <c r="B1146" s="3">
        <v>44973</v>
      </c>
      <c r="C1146" s="2" t="s">
        <v>4094</v>
      </c>
      <c r="D1146" s="2" t="s">
        <v>73</v>
      </c>
      <c r="E1146" s="2">
        <v>5</v>
      </c>
      <c r="F1146" s="2">
        <v>507.94</v>
      </c>
      <c r="G1146" s="2" t="s">
        <v>4095</v>
      </c>
      <c r="H1146" s="2" t="s">
        <v>27</v>
      </c>
      <c r="I1146" s="2" t="s">
        <v>35</v>
      </c>
      <c r="J1146" s="2" t="s">
        <v>4096</v>
      </c>
      <c r="K1146" s="2">
        <v>9</v>
      </c>
      <c r="M1146" s="2" t="s">
        <v>45</v>
      </c>
      <c r="N1146" s="2">
        <v>2539.6999999999998</v>
      </c>
    </row>
    <row r="1147" spans="1:14" ht="15" x14ac:dyDescent="0.25">
      <c r="A1147" s="2" t="s">
        <v>4097</v>
      </c>
      <c r="B1147" s="3">
        <v>45789</v>
      </c>
      <c r="C1147" s="2" t="s">
        <v>4098</v>
      </c>
      <c r="D1147" s="2" t="s">
        <v>73</v>
      </c>
      <c r="E1147" s="2">
        <v>3</v>
      </c>
      <c r="F1147" s="2">
        <v>571.53</v>
      </c>
      <c r="G1147" s="2" t="s">
        <v>1015</v>
      </c>
      <c r="H1147" s="2" t="s">
        <v>18</v>
      </c>
      <c r="I1147" s="2" t="s">
        <v>50</v>
      </c>
      <c r="J1147" s="2" t="s">
        <v>4099</v>
      </c>
      <c r="K1147" s="2">
        <v>6</v>
      </c>
      <c r="L1147" s="2" t="s">
        <v>37</v>
      </c>
      <c r="M1147" s="2" t="s">
        <v>45</v>
      </c>
      <c r="N1147" s="2">
        <v>1714.59</v>
      </c>
    </row>
    <row r="1148" spans="1:14" ht="15" x14ac:dyDescent="0.25">
      <c r="A1148" s="2" t="s">
        <v>4100</v>
      </c>
      <c r="B1148" s="3">
        <v>45568</v>
      </c>
      <c r="C1148" s="2" t="s">
        <v>4101</v>
      </c>
      <c r="D1148" s="2" t="s">
        <v>16</v>
      </c>
      <c r="E1148" s="2">
        <v>5</v>
      </c>
      <c r="F1148" s="2">
        <v>421.44</v>
      </c>
      <c r="G1148" s="2" t="s">
        <v>1739</v>
      </c>
      <c r="H1148" s="2" t="s">
        <v>65</v>
      </c>
      <c r="I1148" s="2" t="s">
        <v>89</v>
      </c>
      <c r="J1148" s="2" t="s">
        <v>4102</v>
      </c>
      <c r="K1148" s="2">
        <v>5</v>
      </c>
      <c r="L1148" s="2" t="s">
        <v>21</v>
      </c>
      <c r="M1148" s="2" t="s">
        <v>22</v>
      </c>
      <c r="N1148" s="2">
        <v>2107.1999999999998</v>
      </c>
    </row>
    <row r="1149" spans="1:14" ht="15" x14ac:dyDescent="0.25">
      <c r="A1149" s="2" t="s">
        <v>4103</v>
      </c>
      <c r="B1149" s="3">
        <v>45659</v>
      </c>
      <c r="C1149" s="2" t="s">
        <v>4104</v>
      </c>
      <c r="D1149" s="2" t="s">
        <v>41</v>
      </c>
      <c r="E1149" s="2">
        <v>2</v>
      </c>
      <c r="F1149" s="2">
        <v>588.29999999999995</v>
      </c>
      <c r="G1149" s="2" t="s">
        <v>4105</v>
      </c>
      <c r="H1149" s="2" t="s">
        <v>27</v>
      </c>
      <c r="I1149" s="2" t="s">
        <v>89</v>
      </c>
      <c r="J1149" s="2" t="s">
        <v>4106</v>
      </c>
      <c r="K1149" s="2">
        <v>2</v>
      </c>
      <c r="L1149" s="2" t="s">
        <v>37</v>
      </c>
      <c r="M1149" s="2" t="s">
        <v>38</v>
      </c>
      <c r="N1149" s="2">
        <v>1176.5999999999999</v>
      </c>
    </row>
    <row r="1150" spans="1:14" ht="15" x14ac:dyDescent="0.25">
      <c r="A1150" s="2" t="s">
        <v>4107</v>
      </c>
      <c r="B1150" s="3">
        <v>45468</v>
      </c>
      <c r="C1150" s="2" t="s">
        <v>4108</v>
      </c>
      <c r="D1150" s="2" t="s">
        <v>25</v>
      </c>
      <c r="E1150" s="2">
        <v>1</v>
      </c>
      <c r="F1150" s="2">
        <v>355.15</v>
      </c>
      <c r="G1150" s="2" t="s">
        <v>4109</v>
      </c>
      <c r="H1150" s="2" t="s">
        <v>65</v>
      </c>
      <c r="I1150" s="2" t="s">
        <v>43</v>
      </c>
      <c r="J1150" s="2" t="s">
        <v>4110</v>
      </c>
      <c r="K1150" s="2">
        <v>2</v>
      </c>
      <c r="L1150" s="2" t="s">
        <v>21</v>
      </c>
      <c r="M1150" s="2" t="s">
        <v>38</v>
      </c>
      <c r="N1150" s="2">
        <v>355.15</v>
      </c>
    </row>
    <row r="1151" spans="1:14" ht="15" x14ac:dyDescent="0.25">
      <c r="A1151" s="2" t="s">
        <v>4111</v>
      </c>
      <c r="B1151" s="3">
        <v>45498</v>
      </c>
      <c r="C1151" s="2" t="s">
        <v>4112</v>
      </c>
      <c r="D1151" s="2" t="s">
        <v>41</v>
      </c>
      <c r="E1151" s="2">
        <v>2</v>
      </c>
      <c r="F1151" s="2">
        <v>695.29</v>
      </c>
      <c r="G1151" s="2" t="s">
        <v>4113</v>
      </c>
      <c r="H1151" s="2" t="s">
        <v>34</v>
      </c>
      <c r="I1151" s="2" t="s">
        <v>89</v>
      </c>
      <c r="J1151" s="2" t="s">
        <v>4114</v>
      </c>
      <c r="K1151" s="2">
        <v>6</v>
      </c>
      <c r="L1151" s="2" t="s">
        <v>37</v>
      </c>
      <c r="M1151" s="2" t="s">
        <v>22</v>
      </c>
      <c r="N1151" s="2">
        <v>1390.58</v>
      </c>
    </row>
    <row r="1152" spans="1:14" ht="15" x14ac:dyDescent="0.25">
      <c r="A1152" s="2" t="s">
        <v>4115</v>
      </c>
      <c r="B1152" s="3">
        <v>44977</v>
      </c>
      <c r="C1152" s="2" t="s">
        <v>4116</v>
      </c>
      <c r="D1152" s="2" t="s">
        <v>73</v>
      </c>
      <c r="E1152" s="2">
        <v>4</v>
      </c>
      <c r="F1152" s="2">
        <v>302.64999999999998</v>
      </c>
      <c r="G1152" s="2" t="s">
        <v>1089</v>
      </c>
      <c r="H1152" s="2" t="s">
        <v>34</v>
      </c>
      <c r="I1152" s="2" t="s">
        <v>35</v>
      </c>
      <c r="J1152" s="2" t="s">
        <v>4117</v>
      </c>
      <c r="K1152" s="2">
        <v>8</v>
      </c>
      <c r="L1152" s="2" t="s">
        <v>21</v>
      </c>
      <c r="M1152" s="2" t="s">
        <v>29</v>
      </c>
      <c r="N1152" s="2">
        <v>1210.5999999999999</v>
      </c>
    </row>
    <row r="1153" spans="1:14" ht="15" x14ac:dyDescent="0.25">
      <c r="A1153" s="2" t="s">
        <v>4118</v>
      </c>
      <c r="B1153" s="3">
        <v>44955</v>
      </c>
      <c r="C1153" s="2" t="s">
        <v>4119</v>
      </c>
      <c r="D1153" s="2" t="s">
        <v>41</v>
      </c>
      <c r="E1153" s="2">
        <v>2</v>
      </c>
      <c r="F1153" s="2">
        <v>608.04</v>
      </c>
      <c r="G1153" s="2" t="s">
        <v>4120</v>
      </c>
      <c r="H1153" s="2" t="s">
        <v>65</v>
      </c>
      <c r="I1153" s="2" t="s">
        <v>35</v>
      </c>
      <c r="J1153" s="2" t="s">
        <v>4121</v>
      </c>
      <c r="K1153" s="2">
        <v>4</v>
      </c>
      <c r="M1153" s="2" t="s">
        <v>76</v>
      </c>
      <c r="N1153" s="2">
        <v>1216.08</v>
      </c>
    </row>
    <row r="1154" spans="1:14" ht="15" x14ac:dyDescent="0.25">
      <c r="A1154" s="2" t="s">
        <v>4122</v>
      </c>
      <c r="B1154" s="3">
        <v>45239</v>
      </c>
      <c r="C1154" s="2" t="s">
        <v>4123</v>
      </c>
      <c r="D1154" s="2" t="s">
        <v>32</v>
      </c>
      <c r="E1154" s="2">
        <v>2</v>
      </c>
      <c r="F1154" s="2">
        <v>344.18</v>
      </c>
      <c r="G1154" s="2" t="s">
        <v>426</v>
      </c>
      <c r="H1154" s="2" t="s">
        <v>34</v>
      </c>
      <c r="I1154" s="2" t="s">
        <v>19</v>
      </c>
      <c r="J1154" s="2" t="s">
        <v>4124</v>
      </c>
      <c r="K1154" s="2">
        <v>7</v>
      </c>
      <c r="M1154" s="2" t="s">
        <v>29</v>
      </c>
      <c r="N1154" s="2">
        <v>688.36</v>
      </c>
    </row>
    <row r="1155" spans="1:14" ht="15" x14ac:dyDescent="0.25">
      <c r="A1155" s="2" t="s">
        <v>4125</v>
      </c>
      <c r="B1155" s="3">
        <v>45642</v>
      </c>
      <c r="C1155" s="2" t="s">
        <v>4126</v>
      </c>
      <c r="D1155" s="2" t="s">
        <v>16</v>
      </c>
      <c r="E1155" s="2">
        <v>4</v>
      </c>
      <c r="F1155" s="2">
        <v>696.71</v>
      </c>
      <c r="G1155" s="2" t="s">
        <v>4127</v>
      </c>
      <c r="H1155" s="2" t="s">
        <v>18</v>
      </c>
      <c r="I1155" s="2" t="s">
        <v>19</v>
      </c>
      <c r="J1155" s="2" t="s">
        <v>4128</v>
      </c>
      <c r="K1155" s="2">
        <v>4</v>
      </c>
      <c r="M1155" s="2" t="s">
        <v>22</v>
      </c>
      <c r="N1155" s="2">
        <v>2786.84</v>
      </c>
    </row>
    <row r="1156" spans="1:14" ht="15" x14ac:dyDescent="0.25">
      <c r="A1156" s="2" t="s">
        <v>4129</v>
      </c>
      <c r="B1156" s="3">
        <v>45819</v>
      </c>
      <c r="C1156" s="2" t="s">
        <v>4130</v>
      </c>
      <c r="D1156" s="2" t="s">
        <v>16</v>
      </c>
      <c r="E1156" s="2">
        <v>3</v>
      </c>
      <c r="F1156" s="2">
        <v>198.63</v>
      </c>
      <c r="G1156" s="2" t="s">
        <v>502</v>
      </c>
      <c r="H1156" s="2" t="s">
        <v>65</v>
      </c>
      <c r="I1156" s="2" t="s">
        <v>89</v>
      </c>
      <c r="J1156" s="2" t="s">
        <v>4131</v>
      </c>
      <c r="K1156" s="2">
        <v>8</v>
      </c>
      <c r="L1156" s="2" t="s">
        <v>21</v>
      </c>
      <c r="M1156" s="2" t="s">
        <v>22</v>
      </c>
      <c r="N1156" s="2">
        <v>595.89</v>
      </c>
    </row>
    <row r="1157" spans="1:14" ht="15" x14ac:dyDescent="0.25">
      <c r="A1157" s="2" t="s">
        <v>4132</v>
      </c>
      <c r="B1157" s="3">
        <v>45151</v>
      </c>
      <c r="C1157" s="2" t="s">
        <v>4133</v>
      </c>
      <c r="D1157" s="2" t="s">
        <v>48</v>
      </c>
      <c r="E1157" s="2">
        <v>4</v>
      </c>
      <c r="F1157" s="2">
        <v>534.57000000000005</v>
      </c>
      <c r="G1157" s="2" t="s">
        <v>681</v>
      </c>
      <c r="H1157" s="2" t="s">
        <v>34</v>
      </c>
      <c r="I1157" s="2" t="s">
        <v>50</v>
      </c>
      <c r="J1157" s="2" t="s">
        <v>4134</v>
      </c>
      <c r="K1157" s="2">
        <v>6</v>
      </c>
      <c r="L1157" s="2" t="s">
        <v>37</v>
      </c>
      <c r="M1157" s="2" t="s">
        <v>45</v>
      </c>
      <c r="N1157" s="2">
        <v>2138.2800000000002</v>
      </c>
    </row>
    <row r="1158" spans="1:14" ht="15" x14ac:dyDescent="0.25">
      <c r="A1158" s="2" t="s">
        <v>4135</v>
      </c>
      <c r="B1158" s="3">
        <v>45126</v>
      </c>
      <c r="C1158" s="2" t="s">
        <v>4136</v>
      </c>
      <c r="D1158" s="2" t="s">
        <v>58</v>
      </c>
      <c r="E1158" s="2">
        <v>4</v>
      </c>
      <c r="F1158" s="2">
        <v>690.78</v>
      </c>
      <c r="G1158" s="2" t="s">
        <v>97</v>
      </c>
      <c r="H1158" s="2" t="s">
        <v>34</v>
      </c>
      <c r="I1158" s="2" t="s">
        <v>19</v>
      </c>
      <c r="J1158" s="2" t="s">
        <v>4137</v>
      </c>
      <c r="K1158" s="2">
        <v>9</v>
      </c>
      <c r="M1158" s="2" t="s">
        <v>29</v>
      </c>
      <c r="N1158" s="2">
        <v>2763.12</v>
      </c>
    </row>
    <row r="1159" spans="1:14" ht="15" x14ac:dyDescent="0.25">
      <c r="A1159" s="2" t="s">
        <v>4138</v>
      </c>
      <c r="B1159" s="3">
        <v>45441</v>
      </c>
      <c r="C1159" s="2" t="s">
        <v>4139</v>
      </c>
      <c r="D1159" s="2" t="s">
        <v>16</v>
      </c>
      <c r="E1159" s="2">
        <v>3</v>
      </c>
      <c r="F1159" s="2">
        <v>301.55</v>
      </c>
      <c r="G1159" s="2" t="s">
        <v>914</v>
      </c>
      <c r="H1159" s="2" t="s">
        <v>18</v>
      </c>
      <c r="I1159" s="2" t="s">
        <v>50</v>
      </c>
      <c r="J1159" s="2" t="s">
        <v>4140</v>
      </c>
      <c r="K1159" s="2">
        <v>5</v>
      </c>
      <c r="L1159" s="2" t="s">
        <v>37</v>
      </c>
      <c r="M1159" s="2" t="s">
        <v>76</v>
      </c>
      <c r="N1159" s="2">
        <v>904.65000000000009</v>
      </c>
    </row>
    <row r="1160" spans="1:14" ht="15" x14ac:dyDescent="0.25">
      <c r="A1160" s="2" t="s">
        <v>4141</v>
      </c>
      <c r="B1160" s="3">
        <v>45036</v>
      </c>
      <c r="C1160" s="2" t="s">
        <v>4142</v>
      </c>
      <c r="D1160" s="2" t="s">
        <v>16</v>
      </c>
      <c r="E1160" s="2">
        <v>4</v>
      </c>
      <c r="F1160" s="2">
        <v>27.42</v>
      </c>
      <c r="G1160" s="2" t="s">
        <v>1712</v>
      </c>
      <c r="H1160" s="2" t="s">
        <v>18</v>
      </c>
      <c r="I1160" s="2" t="s">
        <v>89</v>
      </c>
      <c r="J1160" s="2" t="s">
        <v>4143</v>
      </c>
      <c r="K1160" s="2">
        <v>4</v>
      </c>
      <c r="L1160" s="2" t="s">
        <v>21</v>
      </c>
      <c r="M1160" s="2" t="s">
        <v>29</v>
      </c>
      <c r="N1160" s="2">
        <v>109.68</v>
      </c>
    </row>
    <row r="1161" spans="1:14" ht="15" x14ac:dyDescent="0.25">
      <c r="A1161" s="2" t="s">
        <v>4144</v>
      </c>
      <c r="B1161" s="3">
        <v>45345</v>
      </c>
      <c r="C1161" s="2" t="s">
        <v>4145</v>
      </c>
      <c r="D1161" s="2" t="s">
        <v>73</v>
      </c>
      <c r="E1161" s="2">
        <v>4</v>
      </c>
      <c r="F1161" s="2">
        <v>466.7</v>
      </c>
      <c r="G1161" s="2" t="s">
        <v>1762</v>
      </c>
      <c r="H1161" s="2" t="s">
        <v>18</v>
      </c>
      <c r="I1161" s="2" t="s">
        <v>43</v>
      </c>
      <c r="J1161" s="2" t="s">
        <v>4146</v>
      </c>
      <c r="K1161" s="2">
        <v>8</v>
      </c>
      <c r="M1161" s="2" t="s">
        <v>22</v>
      </c>
      <c r="N1161" s="2">
        <v>1866.8</v>
      </c>
    </row>
    <row r="1162" spans="1:14" ht="15" x14ac:dyDescent="0.25">
      <c r="A1162" s="2" t="s">
        <v>4147</v>
      </c>
      <c r="B1162" s="3">
        <v>45539</v>
      </c>
      <c r="C1162" s="2" t="s">
        <v>4148</v>
      </c>
      <c r="D1162" s="2" t="s">
        <v>73</v>
      </c>
      <c r="E1162" s="2">
        <v>1</v>
      </c>
      <c r="F1162" s="2">
        <v>541.64</v>
      </c>
      <c r="G1162" s="2" t="s">
        <v>1827</v>
      </c>
      <c r="H1162" s="2" t="s">
        <v>18</v>
      </c>
      <c r="I1162" s="2" t="s">
        <v>19</v>
      </c>
      <c r="J1162" s="2" t="s">
        <v>4149</v>
      </c>
      <c r="K1162" s="2">
        <v>5</v>
      </c>
      <c r="L1162" s="2" t="s">
        <v>21</v>
      </c>
      <c r="M1162" s="2" t="s">
        <v>38</v>
      </c>
      <c r="N1162" s="2">
        <v>541.64</v>
      </c>
    </row>
    <row r="1163" spans="1:14" ht="15" x14ac:dyDescent="0.25">
      <c r="A1163" s="2" t="s">
        <v>4150</v>
      </c>
      <c r="B1163" s="3">
        <v>45215</v>
      </c>
      <c r="C1163" s="2" t="s">
        <v>4151</v>
      </c>
      <c r="D1163" s="2" t="s">
        <v>25</v>
      </c>
      <c r="E1163" s="2">
        <v>1</v>
      </c>
      <c r="F1163" s="2">
        <v>11.39</v>
      </c>
      <c r="G1163" s="2" t="s">
        <v>1344</v>
      </c>
      <c r="H1163" s="2" t="s">
        <v>65</v>
      </c>
      <c r="I1163" s="2" t="s">
        <v>35</v>
      </c>
      <c r="J1163" s="2" t="s">
        <v>4152</v>
      </c>
      <c r="K1163" s="2">
        <v>6</v>
      </c>
      <c r="L1163" s="2" t="s">
        <v>81</v>
      </c>
      <c r="M1163" s="2" t="s">
        <v>38</v>
      </c>
      <c r="N1163" s="2">
        <v>11.39</v>
      </c>
    </row>
    <row r="1164" spans="1:14" ht="15" x14ac:dyDescent="0.25">
      <c r="A1164" s="2" t="s">
        <v>4153</v>
      </c>
      <c r="B1164" s="3">
        <v>45727</v>
      </c>
      <c r="C1164" s="2" t="s">
        <v>4154</v>
      </c>
      <c r="D1164" s="2" t="s">
        <v>25</v>
      </c>
      <c r="E1164" s="2">
        <v>2</v>
      </c>
      <c r="F1164" s="2">
        <v>224.37</v>
      </c>
      <c r="G1164" s="2" t="s">
        <v>4155</v>
      </c>
      <c r="H1164" s="2" t="s">
        <v>18</v>
      </c>
      <c r="I1164" s="2" t="s">
        <v>50</v>
      </c>
      <c r="J1164" s="2" t="s">
        <v>4156</v>
      </c>
      <c r="K1164" s="2">
        <v>3</v>
      </c>
      <c r="L1164" s="2" t="s">
        <v>81</v>
      </c>
      <c r="M1164" s="2" t="s">
        <v>29</v>
      </c>
      <c r="N1164" s="2">
        <v>448.74</v>
      </c>
    </row>
    <row r="1165" spans="1:14" ht="15" x14ac:dyDescent="0.25">
      <c r="A1165" s="2" t="s">
        <v>4157</v>
      </c>
      <c r="B1165" s="3">
        <v>45454</v>
      </c>
      <c r="C1165" s="2" t="s">
        <v>4158</v>
      </c>
      <c r="D1165" s="2" t="s">
        <v>58</v>
      </c>
      <c r="E1165" s="2">
        <v>3</v>
      </c>
      <c r="F1165" s="2">
        <v>306.29000000000002</v>
      </c>
      <c r="G1165" s="2" t="s">
        <v>4159</v>
      </c>
      <c r="H1165" s="2" t="s">
        <v>34</v>
      </c>
      <c r="I1165" s="2" t="s">
        <v>43</v>
      </c>
      <c r="J1165" s="2" t="s">
        <v>4160</v>
      </c>
      <c r="K1165" s="2">
        <v>7</v>
      </c>
      <c r="L1165" s="2" t="s">
        <v>81</v>
      </c>
      <c r="M1165" s="2" t="s">
        <v>22</v>
      </c>
      <c r="N1165" s="2">
        <v>918.87000000000012</v>
      </c>
    </row>
    <row r="1166" spans="1:14" ht="15" x14ac:dyDescent="0.25">
      <c r="A1166" s="2" t="s">
        <v>4161</v>
      </c>
      <c r="B1166" s="3">
        <v>45299</v>
      </c>
      <c r="C1166" s="2" t="s">
        <v>4162</v>
      </c>
      <c r="D1166" s="2" t="s">
        <v>32</v>
      </c>
      <c r="E1166" s="2">
        <v>5</v>
      </c>
      <c r="F1166" s="2">
        <v>315.57</v>
      </c>
      <c r="G1166" s="2" t="s">
        <v>2197</v>
      </c>
      <c r="H1166" s="2" t="s">
        <v>18</v>
      </c>
      <c r="I1166" s="2" t="s">
        <v>50</v>
      </c>
      <c r="J1166" s="2" t="s">
        <v>4163</v>
      </c>
      <c r="K1166" s="2">
        <v>6</v>
      </c>
      <c r="L1166" s="2" t="s">
        <v>81</v>
      </c>
      <c r="M1166" s="2" t="s">
        <v>38</v>
      </c>
      <c r="N1166" s="2">
        <v>1577.85</v>
      </c>
    </row>
    <row r="1167" spans="1:14" ht="15" x14ac:dyDescent="0.25">
      <c r="A1167" s="2" t="s">
        <v>4164</v>
      </c>
      <c r="B1167" s="3">
        <v>45121</v>
      </c>
      <c r="C1167" s="2" t="s">
        <v>4165</v>
      </c>
      <c r="D1167" s="2" t="s">
        <v>41</v>
      </c>
      <c r="E1167" s="2">
        <v>3</v>
      </c>
      <c r="F1167" s="2">
        <v>223.79</v>
      </c>
      <c r="G1167" s="2" t="s">
        <v>4166</v>
      </c>
      <c r="H1167" s="2" t="s">
        <v>18</v>
      </c>
      <c r="I1167" s="2" t="s">
        <v>89</v>
      </c>
      <c r="J1167" s="2" t="s">
        <v>4167</v>
      </c>
      <c r="K1167" s="2">
        <v>3</v>
      </c>
      <c r="M1167" s="2" t="s">
        <v>76</v>
      </c>
      <c r="N1167" s="2">
        <v>671.37</v>
      </c>
    </row>
    <row r="1168" spans="1:14" ht="15" x14ac:dyDescent="0.25">
      <c r="A1168" s="2" t="s">
        <v>4168</v>
      </c>
      <c r="B1168" s="3">
        <v>45138</v>
      </c>
      <c r="C1168" s="2" t="s">
        <v>4169</v>
      </c>
      <c r="D1168" s="2" t="s">
        <v>41</v>
      </c>
      <c r="E1168" s="2">
        <v>3</v>
      </c>
      <c r="F1168" s="2">
        <v>324.47000000000003</v>
      </c>
      <c r="G1168" s="2" t="s">
        <v>363</v>
      </c>
      <c r="H1168" s="2" t="s">
        <v>65</v>
      </c>
      <c r="I1168" s="2" t="s">
        <v>50</v>
      </c>
      <c r="J1168" s="2" t="s">
        <v>4170</v>
      </c>
      <c r="K1168" s="2">
        <v>4</v>
      </c>
      <c r="L1168" s="2" t="s">
        <v>81</v>
      </c>
      <c r="M1168" s="2" t="s">
        <v>38</v>
      </c>
      <c r="N1168" s="2">
        <v>973.41000000000008</v>
      </c>
    </row>
    <row r="1169" spans="1:14" ht="15" x14ac:dyDescent="0.25">
      <c r="A1169" s="2" t="s">
        <v>4171</v>
      </c>
      <c r="B1169" s="3">
        <v>45216</v>
      </c>
      <c r="C1169" s="2" t="s">
        <v>4172</v>
      </c>
      <c r="D1169" s="2" t="s">
        <v>48</v>
      </c>
      <c r="E1169" s="2">
        <v>2</v>
      </c>
      <c r="F1169" s="2">
        <v>92.87</v>
      </c>
      <c r="G1169" s="2" t="s">
        <v>1101</v>
      </c>
      <c r="H1169" s="2" t="s">
        <v>34</v>
      </c>
      <c r="I1169" s="2" t="s">
        <v>89</v>
      </c>
      <c r="J1169" s="2" t="s">
        <v>4173</v>
      </c>
      <c r="K1169" s="2">
        <v>5</v>
      </c>
      <c r="L1169" s="2" t="s">
        <v>37</v>
      </c>
      <c r="M1169" s="2" t="s">
        <v>45</v>
      </c>
      <c r="N1169" s="2">
        <v>185.74</v>
      </c>
    </row>
    <row r="1170" spans="1:14" ht="15" x14ac:dyDescent="0.25">
      <c r="A1170" s="2" t="s">
        <v>4174</v>
      </c>
      <c r="B1170" s="3">
        <v>45024</v>
      </c>
      <c r="C1170" s="2" t="s">
        <v>4175</v>
      </c>
      <c r="D1170" s="2" t="s">
        <v>58</v>
      </c>
      <c r="E1170" s="2">
        <v>2</v>
      </c>
      <c r="F1170" s="2">
        <v>331.42</v>
      </c>
      <c r="G1170" s="2" t="s">
        <v>4176</v>
      </c>
      <c r="H1170" s="2" t="s">
        <v>34</v>
      </c>
      <c r="I1170" s="2" t="s">
        <v>50</v>
      </c>
      <c r="J1170" s="2" t="s">
        <v>4177</v>
      </c>
      <c r="K1170" s="2">
        <v>6</v>
      </c>
      <c r="L1170" s="2" t="s">
        <v>81</v>
      </c>
      <c r="M1170" s="2" t="s">
        <v>76</v>
      </c>
      <c r="N1170" s="2">
        <v>662.84</v>
      </c>
    </row>
    <row r="1171" spans="1:14" ht="15" x14ac:dyDescent="0.25">
      <c r="A1171" s="2" t="s">
        <v>4178</v>
      </c>
      <c r="B1171" s="3">
        <v>45649</v>
      </c>
      <c r="C1171" s="2" t="s">
        <v>4179</v>
      </c>
      <c r="D1171" s="2" t="s">
        <v>41</v>
      </c>
      <c r="E1171" s="2">
        <v>1</v>
      </c>
      <c r="F1171" s="2">
        <v>525.42999999999995</v>
      </c>
      <c r="G1171" s="2" t="s">
        <v>4180</v>
      </c>
      <c r="H1171" s="2" t="s">
        <v>65</v>
      </c>
      <c r="I1171" s="2" t="s">
        <v>35</v>
      </c>
      <c r="J1171" s="2" t="s">
        <v>4181</v>
      </c>
      <c r="K1171" s="2">
        <v>2</v>
      </c>
      <c r="L1171" s="2" t="s">
        <v>21</v>
      </c>
      <c r="M1171" s="2" t="s">
        <v>22</v>
      </c>
      <c r="N1171" s="2">
        <v>525.42999999999995</v>
      </c>
    </row>
    <row r="1172" spans="1:14" ht="15" x14ac:dyDescent="0.25">
      <c r="A1172" s="2" t="s">
        <v>4182</v>
      </c>
      <c r="B1172" s="3">
        <v>45141</v>
      </c>
      <c r="C1172" s="2" t="s">
        <v>4183</v>
      </c>
      <c r="D1172" s="2" t="s">
        <v>48</v>
      </c>
      <c r="E1172" s="2">
        <v>2</v>
      </c>
      <c r="F1172" s="2">
        <v>697.19</v>
      </c>
      <c r="G1172" s="2" t="s">
        <v>925</v>
      </c>
      <c r="H1172" s="2" t="s">
        <v>65</v>
      </c>
      <c r="I1172" s="2" t="s">
        <v>43</v>
      </c>
      <c r="J1172" s="2" t="s">
        <v>4184</v>
      </c>
      <c r="K1172" s="2">
        <v>7</v>
      </c>
      <c r="L1172" s="2" t="s">
        <v>37</v>
      </c>
      <c r="M1172" s="2" t="s">
        <v>38</v>
      </c>
      <c r="N1172" s="2">
        <v>1394.38</v>
      </c>
    </row>
    <row r="1173" spans="1:14" ht="15" x14ac:dyDescent="0.25">
      <c r="A1173" s="2" t="s">
        <v>4185</v>
      </c>
      <c r="B1173" s="3">
        <v>45166</v>
      </c>
      <c r="C1173" s="2" t="s">
        <v>4186</v>
      </c>
      <c r="D1173" s="2" t="s">
        <v>25</v>
      </c>
      <c r="E1173" s="2">
        <v>4</v>
      </c>
      <c r="F1173" s="2">
        <v>518.4</v>
      </c>
      <c r="G1173" s="2" t="s">
        <v>4187</v>
      </c>
      <c r="H1173" s="2" t="s">
        <v>34</v>
      </c>
      <c r="I1173" s="2" t="s">
        <v>50</v>
      </c>
      <c r="J1173" s="2" t="s">
        <v>4188</v>
      </c>
      <c r="K1173" s="2">
        <v>7</v>
      </c>
      <c r="L1173" s="2" t="s">
        <v>21</v>
      </c>
      <c r="M1173" s="2" t="s">
        <v>45</v>
      </c>
      <c r="N1173" s="2">
        <v>2073.6</v>
      </c>
    </row>
    <row r="1174" spans="1:14" ht="15" x14ac:dyDescent="0.25">
      <c r="A1174" s="2" t="s">
        <v>4189</v>
      </c>
      <c r="B1174" s="3">
        <v>45692</v>
      </c>
      <c r="C1174" s="2" t="s">
        <v>4190</v>
      </c>
      <c r="D1174" s="2" t="s">
        <v>73</v>
      </c>
      <c r="E1174" s="2">
        <v>3</v>
      </c>
      <c r="F1174" s="2">
        <v>131.96</v>
      </c>
      <c r="G1174" s="2" t="s">
        <v>1930</v>
      </c>
      <c r="H1174" s="2" t="s">
        <v>34</v>
      </c>
      <c r="I1174" s="2" t="s">
        <v>89</v>
      </c>
      <c r="J1174" s="2" t="s">
        <v>4191</v>
      </c>
      <c r="K1174" s="2">
        <v>8</v>
      </c>
      <c r="M1174" s="2" t="s">
        <v>22</v>
      </c>
      <c r="N1174" s="2">
        <v>395.88</v>
      </c>
    </row>
    <row r="1175" spans="1:14" ht="15" x14ac:dyDescent="0.25">
      <c r="A1175" s="2" t="s">
        <v>4192</v>
      </c>
      <c r="B1175" s="3">
        <v>45569</v>
      </c>
      <c r="C1175" s="2" t="s">
        <v>4193</v>
      </c>
      <c r="D1175" s="2" t="s">
        <v>16</v>
      </c>
      <c r="E1175" s="2">
        <v>1</v>
      </c>
      <c r="F1175" s="2">
        <v>208.36</v>
      </c>
      <c r="G1175" s="2" t="s">
        <v>2676</v>
      </c>
      <c r="H1175" s="2" t="s">
        <v>27</v>
      </c>
      <c r="I1175" s="2" t="s">
        <v>19</v>
      </c>
      <c r="J1175" s="2" t="s">
        <v>4194</v>
      </c>
      <c r="K1175" s="2">
        <v>4</v>
      </c>
      <c r="L1175" s="2" t="s">
        <v>37</v>
      </c>
      <c r="M1175" s="2" t="s">
        <v>38</v>
      </c>
      <c r="N1175" s="2">
        <v>208.36</v>
      </c>
    </row>
    <row r="1176" spans="1:14" ht="15" x14ac:dyDescent="0.25">
      <c r="A1176" s="2" t="s">
        <v>4195</v>
      </c>
      <c r="B1176" s="3">
        <v>45257</v>
      </c>
      <c r="C1176" s="2" t="s">
        <v>4196</v>
      </c>
      <c r="D1176" s="2" t="s">
        <v>48</v>
      </c>
      <c r="E1176" s="2">
        <v>3</v>
      </c>
      <c r="F1176" s="2">
        <v>222.34</v>
      </c>
      <c r="G1176" s="2" t="s">
        <v>4197</v>
      </c>
      <c r="H1176" s="2" t="s">
        <v>34</v>
      </c>
      <c r="I1176" s="2" t="s">
        <v>43</v>
      </c>
      <c r="J1176" s="2" t="s">
        <v>4198</v>
      </c>
      <c r="K1176" s="2">
        <v>5</v>
      </c>
      <c r="L1176" s="2" t="s">
        <v>81</v>
      </c>
      <c r="M1176" s="2" t="s">
        <v>38</v>
      </c>
      <c r="N1176" s="2">
        <v>667.02</v>
      </c>
    </row>
    <row r="1177" spans="1:14" ht="15" x14ac:dyDescent="0.25">
      <c r="A1177" s="2" t="s">
        <v>4199</v>
      </c>
      <c r="B1177" s="3">
        <v>45545</v>
      </c>
      <c r="C1177" s="2" t="s">
        <v>4200</v>
      </c>
      <c r="D1177" s="2" t="s">
        <v>48</v>
      </c>
      <c r="E1177" s="2">
        <v>3</v>
      </c>
      <c r="F1177" s="2">
        <v>91.74</v>
      </c>
      <c r="G1177" s="2" t="s">
        <v>1206</v>
      </c>
      <c r="H1177" s="2" t="s">
        <v>18</v>
      </c>
      <c r="I1177" s="2" t="s">
        <v>43</v>
      </c>
      <c r="J1177" s="2" t="s">
        <v>4201</v>
      </c>
      <c r="K1177" s="2">
        <v>8</v>
      </c>
      <c r="L1177" s="2" t="s">
        <v>37</v>
      </c>
      <c r="M1177" s="2" t="s">
        <v>29</v>
      </c>
      <c r="N1177" s="2">
        <v>275.22000000000003</v>
      </c>
    </row>
    <row r="1178" spans="1:14" ht="15" x14ac:dyDescent="0.25">
      <c r="A1178" s="2" t="s">
        <v>4202</v>
      </c>
      <c r="B1178" s="3">
        <v>45151</v>
      </c>
      <c r="C1178" s="2" t="s">
        <v>4203</v>
      </c>
      <c r="D1178" s="2" t="s">
        <v>32</v>
      </c>
      <c r="E1178" s="2">
        <v>2</v>
      </c>
      <c r="F1178" s="2">
        <v>213.83</v>
      </c>
      <c r="G1178" s="2" t="s">
        <v>4204</v>
      </c>
      <c r="H1178" s="2" t="s">
        <v>18</v>
      </c>
      <c r="I1178" s="2" t="s">
        <v>35</v>
      </c>
      <c r="J1178" s="2" t="s">
        <v>4205</v>
      </c>
      <c r="K1178" s="2">
        <v>2</v>
      </c>
      <c r="L1178" s="2" t="s">
        <v>81</v>
      </c>
      <c r="M1178" s="2" t="s">
        <v>38</v>
      </c>
      <c r="N1178" s="2">
        <v>427.66</v>
      </c>
    </row>
    <row r="1179" spans="1:14" ht="15" x14ac:dyDescent="0.25">
      <c r="A1179" s="2" t="s">
        <v>4206</v>
      </c>
      <c r="B1179" s="3">
        <v>45043</v>
      </c>
      <c r="C1179" s="2" t="s">
        <v>4207</v>
      </c>
      <c r="D1179" s="2" t="s">
        <v>48</v>
      </c>
      <c r="E1179" s="2">
        <v>1</v>
      </c>
      <c r="F1179" s="2">
        <v>127.55</v>
      </c>
      <c r="G1179" s="2" t="s">
        <v>1670</v>
      </c>
      <c r="H1179" s="2" t="s">
        <v>65</v>
      </c>
      <c r="I1179" s="2" t="s">
        <v>19</v>
      </c>
      <c r="J1179" s="2" t="s">
        <v>4208</v>
      </c>
      <c r="K1179" s="2">
        <v>3</v>
      </c>
      <c r="L1179" s="2" t="s">
        <v>21</v>
      </c>
      <c r="M1179" s="2" t="s">
        <v>29</v>
      </c>
      <c r="N1179" s="2">
        <v>127.55</v>
      </c>
    </row>
    <row r="1180" spans="1:14" ht="15" x14ac:dyDescent="0.25">
      <c r="A1180" s="2" t="s">
        <v>4209</v>
      </c>
      <c r="B1180" s="3">
        <v>45543</v>
      </c>
      <c r="C1180" s="2" t="s">
        <v>4210</v>
      </c>
      <c r="D1180" s="2" t="s">
        <v>16</v>
      </c>
      <c r="E1180" s="2">
        <v>1</v>
      </c>
      <c r="F1180" s="2">
        <v>70.239999999999995</v>
      </c>
      <c r="G1180" s="2" t="s">
        <v>964</v>
      </c>
      <c r="H1180" s="2" t="s">
        <v>34</v>
      </c>
      <c r="I1180" s="2" t="s">
        <v>35</v>
      </c>
      <c r="J1180" s="2" t="s">
        <v>4211</v>
      </c>
      <c r="K1180" s="2">
        <v>4</v>
      </c>
      <c r="L1180" s="2" t="s">
        <v>37</v>
      </c>
      <c r="M1180" s="2" t="s">
        <v>76</v>
      </c>
      <c r="N1180" s="2">
        <v>70.239999999999995</v>
      </c>
    </row>
    <row r="1181" spans="1:14" ht="15" x14ac:dyDescent="0.25">
      <c r="A1181" s="2" t="s">
        <v>4212</v>
      </c>
      <c r="B1181" s="3">
        <v>44934</v>
      </c>
      <c r="C1181" s="2" t="s">
        <v>4213</v>
      </c>
      <c r="D1181" s="2" t="s">
        <v>58</v>
      </c>
      <c r="E1181" s="2">
        <v>5</v>
      </c>
      <c r="F1181" s="2">
        <v>518.54999999999995</v>
      </c>
      <c r="G1181" s="2" t="s">
        <v>1408</v>
      </c>
      <c r="H1181" s="2" t="s">
        <v>34</v>
      </c>
      <c r="I1181" s="2" t="s">
        <v>35</v>
      </c>
      <c r="J1181" s="2" t="s">
        <v>4214</v>
      </c>
      <c r="K1181" s="2">
        <v>6</v>
      </c>
      <c r="L1181" s="2" t="s">
        <v>81</v>
      </c>
      <c r="M1181" s="2" t="s">
        <v>22</v>
      </c>
      <c r="N1181" s="2">
        <v>2592.75</v>
      </c>
    </row>
    <row r="1182" spans="1:14" ht="15" x14ac:dyDescent="0.25">
      <c r="A1182" s="2" t="s">
        <v>4215</v>
      </c>
      <c r="B1182" s="3">
        <v>45230</v>
      </c>
      <c r="C1182" s="2" t="s">
        <v>4216</v>
      </c>
      <c r="D1182" s="2" t="s">
        <v>41</v>
      </c>
      <c r="E1182" s="2">
        <v>4</v>
      </c>
      <c r="F1182" s="2">
        <v>298.36</v>
      </c>
      <c r="G1182" s="2" t="s">
        <v>2029</v>
      </c>
      <c r="H1182" s="2" t="s">
        <v>18</v>
      </c>
      <c r="I1182" s="2" t="s">
        <v>89</v>
      </c>
      <c r="J1182" s="2" t="s">
        <v>4217</v>
      </c>
      <c r="K1182" s="2">
        <v>8</v>
      </c>
      <c r="L1182" s="2" t="s">
        <v>37</v>
      </c>
      <c r="M1182" s="2" t="s">
        <v>76</v>
      </c>
      <c r="N1182" s="2">
        <v>1193.44</v>
      </c>
    </row>
    <row r="1183" spans="1:14" ht="15" x14ac:dyDescent="0.25">
      <c r="A1183" s="2" t="s">
        <v>4218</v>
      </c>
      <c r="B1183" s="3">
        <v>45134</v>
      </c>
      <c r="C1183" s="2" t="s">
        <v>4219</v>
      </c>
      <c r="D1183" s="2" t="s">
        <v>73</v>
      </c>
      <c r="E1183" s="2">
        <v>3</v>
      </c>
      <c r="F1183" s="2">
        <v>158.74</v>
      </c>
      <c r="G1183" s="2" t="s">
        <v>1348</v>
      </c>
      <c r="H1183" s="2" t="s">
        <v>27</v>
      </c>
      <c r="I1183" s="2" t="s">
        <v>89</v>
      </c>
      <c r="J1183" s="2" t="s">
        <v>4220</v>
      </c>
      <c r="K1183" s="2">
        <v>7</v>
      </c>
      <c r="L1183" s="2" t="s">
        <v>37</v>
      </c>
      <c r="M1183" s="2" t="s">
        <v>22</v>
      </c>
      <c r="N1183" s="2">
        <v>476.22</v>
      </c>
    </row>
    <row r="1184" spans="1:14" ht="15" x14ac:dyDescent="0.25">
      <c r="A1184" s="2" t="s">
        <v>4221</v>
      </c>
      <c r="B1184" s="3">
        <v>45822</v>
      </c>
      <c r="C1184" s="2" t="s">
        <v>4222</v>
      </c>
      <c r="D1184" s="2" t="s">
        <v>41</v>
      </c>
      <c r="E1184" s="2">
        <v>2</v>
      </c>
      <c r="F1184" s="2">
        <v>420.29</v>
      </c>
      <c r="G1184" s="2" t="s">
        <v>2257</v>
      </c>
      <c r="H1184" s="2" t="s">
        <v>60</v>
      </c>
      <c r="I1184" s="2" t="s">
        <v>43</v>
      </c>
      <c r="J1184" s="2" t="s">
        <v>4223</v>
      </c>
      <c r="K1184" s="2">
        <v>3</v>
      </c>
      <c r="L1184" s="2" t="s">
        <v>21</v>
      </c>
      <c r="M1184" s="2" t="s">
        <v>76</v>
      </c>
      <c r="N1184" s="2">
        <v>840.58</v>
      </c>
    </row>
    <row r="1185" spans="1:14" ht="15" x14ac:dyDescent="0.25">
      <c r="A1185" s="2" t="s">
        <v>4224</v>
      </c>
      <c r="B1185" s="3">
        <v>45021</v>
      </c>
      <c r="C1185" s="2" t="s">
        <v>4225</v>
      </c>
      <c r="D1185" s="2" t="s">
        <v>73</v>
      </c>
      <c r="E1185" s="2">
        <v>1</v>
      </c>
      <c r="F1185" s="2">
        <v>281.52</v>
      </c>
      <c r="G1185" s="2" t="s">
        <v>1047</v>
      </c>
      <c r="H1185" s="2" t="s">
        <v>60</v>
      </c>
      <c r="I1185" s="2" t="s">
        <v>19</v>
      </c>
      <c r="J1185" s="2" t="s">
        <v>4226</v>
      </c>
      <c r="K1185" s="2">
        <v>6</v>
      </c>
      <c r="L1185" s="2" t="s">
        <v>81</v>
      </c>
      <c r="M1185" s="2" t="s">
        <v>29</v>
      </c>
      <c r="N1185" s="2">
        <v>281.52</v>
      </c>
    </row>
    <row r="1186" spans="1:14" ht="15" x14ac:dyDescent="0.25">
      <c r="A1186" s="2" t="s">
        <v>4227</v>
      </c>
      <c r="B1186" s="3">
        <v>45196</v>
      </c>
      <c r="C1186" s="2" t="s">
        <v>4228</v>
      </c>
      <c r="D1186" s="2" t="s">
        <v>58</v>
      </c>
      <c r="E1186" s="2">
        <v>1</v>
      </c>
      <c r="F1186" s="2">
        <v>204.08</v>
      </c>
      <c r="G1186" s="2" t="s">
        <v>3007</v>
      </c>
      <c r="H1186" s="2" t="s">
        <v>60</v>
      </c>
      <c r="I1186" s="2" t="s">
        <v>43</v>
      </c>
      <c r="J1186" s="2" t="s">
        <v>4229</v>
      </c>
      <c r="K1186" s="2">
        <v>4</v>
      </c>
      <c r="M1186" s="2" t="s">
        <v>76</v>
      </c>
      <c r="N1186" s="2">
        <v>204.08</v>
      </c>
    </row>
    <row r="1187" spans="1:14" ht="15" x14ac:dyDescent="0.25">
      <c r="A1187" s="2" t="s">
        <v>4230</v>
      </c>
      <c r="B1187" s="3">
        <v>45481</v>
      </c>
      <c r="C1187" s="2" t="s">
        <v>4231</v>
      </c>
      <c r="D1187" s="2" t="s">
        <v>41</v>
      </c>
      <c r="E1187" s="2">
        <v>1</v>
      </c>
      <c r="F1187" s="2">
        <v>343.31</v>
      </c>
      <c r="G1187" s="2" t="s">
        <v>4232</v>
      </c>
      <c r="H1187" s="2" t="s">
        <v>60</v>
      </c>
      <c r="I1187" s="2" t="s">
        <v>43</v>
      </c>
      <c r="J1187" s="2" t="s">
        <v>4233</v>
      </c>
      <c r="K1187" s="2">
        <v>6</v>
      </c>
      <c r="L1187" s="2" t="s">
        <v>21</v>
      </c>
      <c r="M1187" s="2" t="s">
        <v>76</v>
      </c>
      <c r="N1187" s="2">
        <v>343.31</v>
      </c>
    </row>
    <row r="1188" spans="1:14" ht="15" x14ac:dyDescent="0.25">
      <c r="A1188" s="2" t="s">
        <v>4234</v>
      </c>
      <c r="B1188" s="3">
        <v>45248</v>
      </c>
      <c r="C1188" s="2" t="s">
        <v>4235</v>
      </c>
      <c r="D1188" s="2" t="s">
        <v>16</v>
      </c>
      <c r="E1188" s="2">
        <v>1</v>
      </c>
      <c r="F1188" s="2">
        <v>163.32</v>
      </c>
      <c r="G1188" s="2" t="s">
        <v>4236</v>
      </c>
      <c r="H1188" s="2" t="s">
        <v>65</v>
      </c>
      <c r="I1188" s="2" t="s">
        <v>19</v>
      </c>
      <c r="J1188" s="2" t="s">
        <v>4237</v>
      </c>
      <c r="K1188" s="2">
        <v>6</v>
      </c>
      <c r="L1188" s="2" t="s">
        <v>81</v>
      </c>
      <c r="M1188" s="2" t="s">
        <v>45</v>
      </c>
      <c r="N1188" s="2">
        <v>163.32</v>
      </c>
    </row>
    <row r="1189" spans="1:14" ht="15" x14ac:dyDescent="0.25">
      <c r="A1189" s="2" t="s">
        <v>4238</v>
      </c>
      <c r="B1189" s="3">
        <v>45364</v>
      </c>
      <c r="C1189" s="2" t="s">
        <v>4239</v>
      </c>
      <c r="D1189" s="2" t="s">
        <v>73</v>
      </c>
      <c r="E1189" s="2">
        <v>2</v>
      </c>
      <c r="F1189" s="2">
        <v>184.6</v>
      </c>
      <c r="G1189" s="2" t="s">
        <v>952</v>
      </c>
      <c r="H1189" s="2" t="s">
        <v>60</v>
      </c>
      <c r="I1189" s="2" t="s">
        <v>50</v>
      </c>
      <c r="J1189" s="2" t="s">
        <v>4240</v>
      </c>
      <c r="K1189" s="2">
        <v>7</v>
      </c>
      <c r="L1189" s="2" t="s">
        <v>81</v>
      </c>
      <c r="M1189" s="2" t="s">
        <v>38</v>
      </c>
      <c r="N1189" s="2">
        <v>369.2</v>
      </c>
    </row>
    <row r="1190" spans="1:14" ht="15" x14ac:dyDescent="0.25">
      <c r="A1190" s="2" t="s">
        <v>4241</v>
      </c>
      <c r="B1190" s="3">
        <v>45206</v>
      </c>
      <c r="C1190" s="2" t="s">
        <v>4242</v>
      </c>
      <c r="D1190" s="2" t="s">
        <v>48</v>
      </c>
      <c r="E1190" s="2">
        <v>2</v>
      </c>
      <c r="F1190" s="2">
        <v>371.29</v>
      </c>
      <c r="G1190" s="2" t="s">
        <v>4243</v>
      </c>
      <c r="H1190" s="2" t="s">
        <v>60</v>
      </c>
      <c r="I1190" s="2" t="s">
        <v>19</v>
      </c>
      <c r="J1190" s="2" t="s">
        <v>4244</v>
      </c>
      <c r="K1190" s="2">
        <v>5</v>
      </c>
      <c r="L1190" s="2" t="s">
        <v>81</v>
      </c>
      <c r="M1190" s="2" t="s">
        <v>45</v>
      </c>
      <c r="N1190" s="2">
        <v>742.58</v>
      </c>
    </row>
    <row r="1191" spans="1:14" ht="15" x14ac:dyDescent="0.25">
      <c r="A1191" s="2" t="s">
        <v>4245</v>
      </c>
      <c r="B1191" s="3">
        <v>45521</v>
      </c>
      <c r="C1191" s="2" t="s">
        <v>4246</v>
      </c>
      <c r="D1191" s="2" t="s">
        <v>32</v>
      </c>
      <c r="E1191" s="2">
        <v>5</v>
      </c>
      <c r="F1191" s="2">
        <v>389.22</v>
      </c>
      <c r="G1191" s="2" t="s">
        <v>4247</v>
      </c>
      <c r="H1191" s="2" t="s">
        <v>65</v>
      </c>
      <c r="I1191" s="2" t="s">
        <v>35</v>
      </c>
      <c r="J1191" s="2" t="s">
        <v>4248</v>
      </c>
      <c r="K1191" s="2">
        <v>7</v>
      </c>
      <c r="M1191" s="2" t="s">
        <v>29</v>
      </c>
      <c r="N1191" s="2">
        <v>1946.1</v>
      </c>
    </row>
    <row r="1192" spans="1:14" ht="15" x14ac:dyDescent="0.25">
      <c r="A1192" s="2" t="s">
        <v>4249</v>
      </c>
      <c r="B1192" s="3">
        <v>45816</v>
      </c>
      <c r="C1192" s="2" t="s">
        <v>4250</v>
      </c>
      <c r="D1192" s="2" t="s">
        <v>73</v>
      </c>
      <c r="E1192" s="2">
        <v>3</v>
      </c>
      <c r="F1192" s="2">
        <v>616.39</v>
      </c>
      <c r="G1192" s="2" t="s">
        <v>4251</v>
      </c>
      <c r="H1192" s="2" t="s">
        <v>34</v>
      </c>
      <c r="I1192" s="2" t="s">
        <v>19</v>
      </c>
      <c r="J1192" s="2" t="s">
        <v>4252</v>
      </c>
      <c r="K1192" s="2">
        <v>6</v>
      </c>
      <c r="L1192" s="2" t="s">
        <v>37</v>
      </c>
      <c r="M1192" s="2" t="s">
        <v>22</v>
      </c>
      <c r="N1192" s="2">
        <v>1849.17</v>
      </c>
    </row>
    <row r="1193" spans="1:14" ht="15" x14ac:dyDescent="0.25">
      <c r="A1193" s="2" t="s">
        <v>4253</v>
      </c>
      <c r="B1193" s="3">
        <v>45698</v>
      </c>
      <c r="C1193" s="2" t="s">
        <v>4254</v>
      </c>
      <c r="D1193" s="2" t="s">
        <v>73</v>
      </c>
      <c r="E1193" s="2">
        <v>4</v>
      </c>
      <c r="F1193" s="2">
        <v>376.43</v>
      </c>
      <c r="G1193" s="2" t="s">
        <v>2298</v>
      </c>
      <c r="H1193" s="2" t="s">
        <v>60</v>
      </c>
      <c r="I1193" s="2" t="s">
        <v>89</v>
      </c>
      <c r="J1193" s="2" t="s">
        <v>4255</v>
      </c>
      <c r="K1193" s="2">
        <v>5</v>
      </c>
      <c r="L1193" s="2" t="s">
        <v>81</v>
      </c>
      <c r="M1193" s="2" t="s">
        <v>22</v>
      </c>
      <c r="N1193" s="2">
        <v>1505.72</v>
      </c>
    </row>
    <row r="1194" spans="1:14" ht="15" x14ac:dyDescent="0.25">
      <c r="A1194" s="2" t="s">
        <v>4256</v>
      </c>
      <c r="B1194" s="3">
        <v>45350</v>
      </c>
      <c r="C1194" s="2" t="s">
        <v>4257</v>
      </c>
      <c r="D1194" s="2" t="s">
        <v>41</v>
      </c>
      <c r="E1194" s="2">
        <v>3</v>
      </c>
      <c r="F1194" s="2">
        <v>432.85</v>
      </c>
      <c r="G1194" s="2" t="s">
        <v>845</v>
      </c>
      <c r="H1194" s="2" t="s">
        <v>27</v>
      </c>
      <c r="I1194" s="2" t="s">
        <v>89</v>
      </c>
      <c r="J1194" s="2" t="s">
        <v>4258</v>
      </c>
      <c r="K1194" s="2">
        <v>4</v>
      </c>
      <c r="M1194" s="2" t="s">
        <v>22</v>
      </c>
      <c r="N1194" s="2">
        <v>1298.55</v>
      </c>
    </row>
    <row r="1195" spans="1:14" ht="15" x14ac:dyDescent="0.25">
      <c r="A1195" s="2" t="s">
        <v>4259</v>
      </c>
      <c r="B1195" s="3">
        <v>45824</v>
      </c>
      <c r="C1195" s="2" t="s">
        <v>4260</v>
      </c>
      <c r="D1195" s="2" t="s">
        <v>32</v>
      </c>
      <c r="E1195" s="2">
        <v>1</v>
      </c>
      <c r="F1195" s="2">
        <v>687.89</v>
      </c>
      <c r="G1195" s="2" t="s">
        <v>343</v>
      </c>
      <c r="H1195" s="2" t="s">
        <v>65</v>
      </c>
      <c r="I1195" s="2" t="s">
        <v>43</v>
      </c>
      <c r="J1195" s="2" t="s">
        <v>4261</v>
      </c>
      <c r="K1195" s="2">
        <v>1</v>
      </c>
      <c r="L1195" s="2" t="s">
        <v>37</v>
      </c>
      <c r="M1195" s="2" t="s">
        <v>38</v>
      </c>
      <c r="N1195" s="2">
        <v>687.89</v>
      </c>
    </row>
    <row r="1196" spans="1:14" ht="15" x14ac:dyDescent="0.25">
      <c r="A1196" s="2" t="s">
        <v>4262</v>
      </c>
      <c r="B1196" s="3">
        <v>45249</v>
      </c>
      <c r="C1196" s="2" t="s">
        <v>4263</v>
      </c>
      <c r="D1196" s="2" t="s">
        <v>48</v>
      </c>
      <c r="E1196" s="2">
        <v>3</v>
      </c>
      <c r="F1196" s="2">
        <v>189.44</v>
      </c>
      <c r="G1196" s="2" t="s">
        <v>783</v>
      </c>
      <c r="H1196" s="2" t="s">
        <v>65</v>
      </c>
      <c r="I1196" s="2" t="s">
        <v>89</v>
      </c>
      <c r="J1196" s="2" t="s">
        <v>4264</v>
      </c>
      <c r="K1196" s="2">
        <v>4</v>
      </c>
      <c r="L1196" s="2" t="s">
        <v>37</v>
      </c>
      <c r="M1196" s="2" t="s">
        <v>38</v>
      </c>
      <c r="N1196" s="2">
        <v>568.31999999999994</v>
      </c>
    </row>
    <row r="1197" spans="1:14" ht="15" x14ac:dyDescent="0.25">
      <c r="A1197" s="2" t="s">
        <v>4265</v>
      </c>
      <c r="B1197" s="3">
        <v>45463</v>
      </c>
      <c r="C1197" s="2" t="s">
        <v>4266</v>
      </c>
      <c r="D1197" s="2" t="s">
        <v>73</v>
      </c>
      <c r="E1197" s="2">
        <v>1</v>
      </c>
      <c r="F1197" s="2">
        <v>107.04</v>
      </c>
      <c r="G1197" s="2" t="s">
        <v>4267</v>
      </c>
      <c r="H1197" s="2" t="s">
        <v>34</v>
      </c>
      <c r="I1197" s="2" t="s">
        <v>35</v>
      </c>
      <c r="J1197" s="2" t="s">
        <v>4268</v>
      </c>
      <c r="K1197" s="2">
        <v>6</v>
      </c>
      <c r="L1197" s="2" t="s">
        <v>37</v>
      </c>
      <c r="M1197" s="2" t="s">
        <v>76</v>
      </c>
      <c r="N1197" s="2">
        <v>107.04</v>
      </c>
    </row>
    <row r="1198" spans="1:14" ht="15" x14ac:dyDescent="0.25">
      <c r="A1198" s="2" t="s">
        <v>4269</v>
      </c>
      <c r="B1198" s="3">
        <v>45355</v>
      </c>
      <c r="C1198" s="2" t="s">
        <v>4270</v>
      </c>
      <c r="D1198" s="2" t="s">
        <v>16</v>
      </c>
      <c r="E1198" s="2">
        <v>2</v>
      </c>
      <c r="F1198" s="2">
        <v>662.53</v>
      </c>
      <c r="G1198" s="2" t="s">
        <v>1549</v>
      </c>
      <c r="H1198" s="2" t="s">
        <v>27</v>
      </c>
      <c r="I1198" s="2" t="s">
        <v>35</v>
      </c>
      <c r="J1198" s="2" t="s">
        <v>4271</v>
      </c>
      <c r="K1198" s="2">
        <v>5</v>
      </c>
      <c r="M1198" s="2" t="s">
        <v>45</v>
      </c>
      <c r="N1198" s="2">
        <v>1325.06</v>
      </c>
    </row>
    <row r="1199" spans="1:14" ht="15" x14ac:dyDescent="0.25">
      <c r="A1199" s="2" t="s">
        <v>4272</v>
      </c>
      <c r="B1199" s="3">
        <v>45120</v>
      </c>
      <c r="C1199" s="2" t="s">
        <v>4273</v>
      </c>
      <c r="D1199" s="2" t="s">
        <v>32</v>
      </c>
      <c r="E1199" s="2">
        <v>2</v>
      </c>
      <c r="F1199" s="2">
        <v>436.84</v>
      </c>
      <c r="G1199" s="2" t="s">
        <v>42</v>
      </c>
      <c r="H1199" s="2" t="s">
        <v>27</v>
      </c>
      <c r="I1199" s="2" t="s">
        <v>50</v>
      </c>
      <c r="J1199" s="2" t="s">
        <v>4274</v>
      </c>
      <c r="K1199" s="2">
        <v>2</v>
      </c>
      <c r="L1199" s="2" t="s">
        <v>37</v>
      </c>
      <c r="M1199" s="2" t="s">
        <v>22</v>
      </c>
      <c r="N1199" s="2">
        <v>873.68</v>
      </c>
    </row>
    <row r="1200" spans="1:14" ht="15" x14ac:dyDescent="0.25">
      <c r="A1200" s="2" t="s">
        <v>4275</v>
      </c>
      <c r="B1200" s="3">
        <v>45526</v>
      </c>
      <c r="C1200" s="2" t="s">
        <v>4276</v>
      </c>
      <c r="D1200" s="2" t="s">
        <v>41</v>
      </c>
      <c r="E1200" s="2">
        <v>4</v>
      </c>
      <c r="F1200" s="2">
        <v>262.52</v>
      </c>
      <c r="G1200" s="2" t="s">
        <v>4277</v>
      </c>
      <c r="H1200" s="2" t="s">
        <v>18</v>
      </c>
      <c r="I1200" s="2" t="s">
        <v>35</v>
      </c>
      <c r="J1200" s="2" t="s">
        <v>4278</v>
      </c>
      <c r="K1200" s="2">
        <v>4</v>
      </c>
      <c r="L1200" s="2" t="s">
        <v>81</v>
      </c>
      <c r="M1200" s="2" t="s">
        <v>22</v>
      </c>
      <c r="N1200" s="2">
        <v>1050.08</v>
      </c>
    </row>
    <row r="1201" spans="1:14" ht="15" x14ac:dyDescent="0.25">
      <c r="A1201" s="2" t="s">
        <v>4279</v>
      </c>
      <c r="B1201" s="3">
        <v>45088</v>
      </c>
      <c r="C1201" s="2" t="s">
        <v>4280</v>
      </c>
      <c r="D1201" s="2" t="s">
        <v>32</v>
      </c>
      <c r="E1201" s="2">
        <v>4</v>
      </c>
      <c r="F1201" s="2">
        <v>560.58000000000004</v>
      </c>
      <c r="G1201" s="2" t="s">
        <v>4281</v>
      </c>
      <c r="H1201" s="2" t="s">
        <v>60</v>
      </c>
      <c r="I1201" s="2" t="s">
        <v>43</v>
      </c>
      <c r="J1201" s="2" t="s">
        <v>4282</v>
      </c>
      <c r="K1201" s="2">
        <v>6</v>
      </c>
      <c r="L1201" s="2" t="s">
        <v>21</v>
      </c>
      <c r="M1201" s="2" t="s">
        <v>29</v>
      </c>
      <c r="N1201" s="2">
        <v>2242.3200000000002</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E98F9-B6CA-4618-9EAF-DF3348154CE6}">
  <dimension ref="B2:E7"/>
  <sheetViews>
    <sheetView workbookViewId="0">
      <selection activeCell="G13" sqref="G13"/>
    </sheetView>
  </sheetViews>
  <sheetFormatPr defaultRowHeight="12.75" x14ac:dyDescent="0.2"/>
  <cols>
    <col min="3" max="3" width="11" customWidth="1"/>
    <col min="4" max="4" width="11.7109375" customWidth="1"/>
    <col min="5" max="5" width="12" customWidth="1"/>
  </cols>
  <sheetData>
    <row r="2" spans="2:5" x14ac:dyDescent="0.2">
      <c r="B2" s="4"/>
      <c r="C2" s="5" t="s">
        <v>20658</v>
      </c>
      <c r="D2" s="5" t="s">
        <v>20659</v>
      </c>
      <c r="E2" s="5" t="s">
        <v>20660</v>
      </c>
    </row>
    <row r="3" spans="2:5" x14ac:dyDescent="0.2">
      <c r="B3" s="5" t="s">
        <v>20653</v>
      </c>
      <c r="C3" s="6">
        <f>COUNT('Clean Data'!E:E)</f>
        <v>1200</v>
      </c>
      <c r="D3" s="6">
        <f>COUNT('Clean Data'!F:F)</f>
        <v>1200</v>
      </c>
      <c r="E3" s="6">
        <f>COUNT('Clean Data'!N:N)</f>
        <v>1200</v>
      </c>
    </row>
    <row r="4" spans="2:5" x14ac:dyDescent="0.2">
      <c r="B4" s="5" t="s">
        <v>20654</v>
      </c>
      <c r="C4" s="7">
        <f>AVERAGE('Clean Data'!E:E)</f>
        <v>2.9458333333333333</v>
      </c>
      <c r="D4" s="7">
        <f>AVERAGE('Clean Data'!F:F)</f>
        <v>356.41275000000007</v>
      </c>
      <c r="E4" s="7">
        <f>AVERAGE('Clean Data'!N:N)</f>
        <v>1053.9683000000005</v>
      </c>
    </row>
    <row r="5" spans="2:5" x14ac:dyDescent="0.2">
      <c r="B5" s="5" t="s">
        <v>20655</v>
      </c>
      <c r="C5" s="7">
        <f>MEDIAN('Clean Data'!E:E)</f>
        <v>3</v>
      </c>
      <c r="D5" s="7">
        <f>MEDIAN('Clean Data'!F:F)</f>
        <v>364.21</v>
      </c>
      <c r="E5" s="7">
        <f>MEDIAN('Clean Data'!N:N)</f>
        <v>823.61500000000001</v>
      </c>
    </row>
    <row r="6" spans="2:5" x14ac:dyDescent="0.2">
      <c r="B6" s="5" t="s">
        <v>20656</v>
      </c>
      <c r="C6" s="7">
        <f>MIN('Clean Data'!E:E)</f>
        <v>1</v>
      </c>
      <c r="D6" s="7">
        <f>MIN('Clean Data'!F:F)</f>
        <v>11.39</v>
      </c>
      <c r="E6" s="7">
        <f>MIN('Clean Data'!N:EN)</f>
        <v>11.39</v>
      </c>
    </row>
    <row r="7" spans="2:5" x14ac:dyDescent="0.2">
      <c r="B7" s="5" t="s">
        <v>20657</v>
      </c>
      <c r="C7" s="7">
        <f>MAX('Clean Data'!E:E)</f>
        <v>5</v>
      </c>
      <c r="D7" s="7">
        <f>MAX('Clean Data'!F:F)</f>
        <v>699.93</v>
      </c>
      <c r="E7" s="7">
        <f>MAX('Clean Data'!N:N)</f>
        <v>3456.4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B439A-5B64-47E1-997A-8759674064C8}">
  <dimension ref="A1:B96"/>
  <sheetViews>
    <sheetView topLeftCell="A81" workbookViewId="0">
      <selection activeCell="A91" sqref="A91:B96"/>
    </sheetView>
  </sheetViews>
  <sheetFormatPr defaultRowHeight="12.75" x14ac:dyDescent="0.2"/>
  <cols>
    <col min="1" max="1" width="17.7109375" bestFit="1" customWidth="1"/>
    <col min="2" max="2" width="6.85546875" bestFit="1" customWidth="1"/>
  </cols>
  <sheetData>
    <row r="1" spans="1:2" x14ac:dyDescent="0.2">
      <c r="A1" s="8" t="s">
        <v>20662</v>
      </c>
      <c r="B1" s="9" t="s">
        <v>20663</v>
      </c>
    </row>
    <row r="2" spans="1:2" x14ac:dyDescent="0.2">
      <c r="A2" s="10" t="s">
        <v>60</v>
      </c>
      <c r="B2" s="9">
        <v>230</v>
      </c>
    </row>
    <row r="3" spans="1:2" x14ac:dyDescent="0.2">
      <c r="A3" s="10" t="s">
        <v>18</v>
      </c>
      <c r="B3" s="9">
        <v>232</v>
      </c>
    </row>
    <row r="4" spans="1:2" x14ac:dyDescent="0.2">
      <c r="A4" s="10" t="s">
        <v>34</v>
      </c>
      <c r="B4" s="9">
        <v>234</v>
      </c>
    </row>
    <row r="5" spans="1:2" x14ac:dyDescent="0.2">
      <c r="A5" s="10" t="s">
        <v>65</v>
      </c>
      <c r="B5" s="9">
        <v>246</v>
      </c>
    </row>
    <row r="6" spans="1:2" x14ac:dyDescent="0.2">
      <c r="A6" s="10" t="s">
        <v>27</v>
      </c>
      <c r="B6" s="9">
        <v>258</v>
      </c>
    </row>
    <row r="7" spans="1:2" x14ac:dyDescent="0.2">
      <c r="A7" s="10" t="s">
        <v>20661</v>
      </c>
      <c r="B7" s="9">
        <v>1200</v>
      </c>
    </row>
    <row r="24" spans="1:2" x14ac:dyDescent="0.2">
      <c r="A24" s="8" t="s">
        <v>3</v>
      </c>
      <c r="B24" s="9" t="s">
        <v>20663</v>
      </c>
    </row>
    <row r="25" spans="1:2" x14ac:dyDescent="0.2">
      <c r="A25" s="10" t="s">
        <v>41</v>
      </c>
      <c r="B25" s="9">
        <v>178</v>
      </c>
    </row>
    <row r="26" spans="1:2" x14ac:dyDescent="0.2">
      <c r="A26" s="10" t="s">
        <v>73</v>
      </c>
      <c r="B26" s="9">
        <v>170</v>
      </c>
    </row>
    <row r="27" spans="1:2" x14ac:dyDescent="0.2">
      <c r="A27" s="10" t="s">
        <v>58</v>
      </c>
      <c r="B27" s="9">
        <v>173</v>
      </c>
    </row>
    <row r="28" spans="1:2" x14ac:dyDescent="0.2">
      <c r="A28" s="10" t="s">
        <v>16</v>
      </c>
      <c r="B28" s="9">
        <v>163</v>
      </c>
    </row>
    <row r="29" spans="1:2" x14ac:dyDescent="0.2">
      <c r="A29" s="10" t="s">
        <v>25</v>
      </c>
      <c r="B29" s="9">
        <v>156</v>
      </c>
    </row>
    <row r="30" spans="1:2" x14ac:dyDescent="0.2">
      <c r="A30" s="10" t="s">
        <v>48</v>
      </c>
      <c r="B30" s="9">
        <v>181</v>
      </c>
    </row>
    <row r="31" spans="1:2" x14ac:dyDescent="0.2">
      <c r="A31" s="10" t="s">
        <v>32</v>
      </c>
      <c r="B31" s="9">
        <v>179</v>
      </c>
    </row>
    <row r="32" spans="1:2" x14ac:dyDescent="0.2">
      <c r="A32" s="10" t="s">
        <v>20661</v>
      </c>
      <c r="B32" s="9">
        <v>1200</v>
      </c>
    </row>
    <row r="47" spans="1:2" x14ac:dyDescent="0.2">
      <c r="A47" s="8" t="s">
        <v>20664</v>
      </c>
      <c r="B47" s="9" t="s">
        <v>20663</v>
      </c>
    </row>
    <row r="48" spans="1:2" x14ac:dyDescent="0.2">
      <c r="A48" s="10" t="s">
        <v>35</v>
      </c>
      <c r="B48" s="9">
        <v>250</v>
      </c>
    </row>
    <row r="49" spans="1:2" x14ac:dyDescent="0.2">
      <c r="A49" s="10" t="s">
        <v>50</v>
      </c>
      <c r="B49" s="9">
        <v>231</v>
      </c>
    </row>
    <row r="50" spans="1:2" x14ac:dyDescent="0.2">
      <c r="A50" s="10" t="s">
        <v>89</v>
      </c>
      <c r="B50" s="9">
        <v>237</v>
      </c>
    </row>
    <row r="51" spans="1:2" x14ac:dyDescent="0.2">
      <c r="A51" s="10" t="s">
        <v>43</v>
      </c>
      <c r="B51" s="9">
        <v>247</v>
      </c>
    </row>
    <row r="52" spans="1:2" x14ac:dyDescent="0.2">
      <c r="A52" s="10" t="s">
        <v>19</v>
      </c>
      <c r="B52" s="9">
        <v>235</v>
      </c>
    </row>
    <row r="53" spans="1:2" x14ac:dyDescent="0.2">
      <c r="A53" s="10" t="s">
        <v>20661</v>
      </c>
      <c r="B53" s="9">
        <v>1200</v>
      </c>
    </row>
    <row r="68" spans="1:2" x14ac:dyDescent="0.2">
      <c r="A68" s="8" t="s">
        <v>20665</v>
      </c>
      <c r="B68" s="9" t="s">
        <v>20663</v>
      </c>
    </row>
    <row r="69" spans="1:2" x14ac:dyDescent="0.2">
      <c r="A69" s="10" t="s">
        <v>38</v>
      </c>
      <c r="B69" s="9">
        <v>250</v>
      </c>
    </row>
    <row r="70" spans="1:2" x14ac:dyDescent="0.2">
      <c r="A70" s="10" t="s">
        <v>45</v>
      </c>
      <c r="B70" s="9">
        <v>228</v>
      </c>
    </row>
    <row r="71" spans="1:2" x14ac:dyDescent="0.2">
      <c r="A71" s="10" t="s">
        <v>76</v>
      </c>
      <c r="B71" s="9">
        <v>241</v>
      </c>
    </row>
    <row r="72" spans="1:2" x14ac:dyDescent="0.2">
      <c r="A72" s="10" t="s">
        <v>22</v>
      </c>
      <c r="B72" s="9">
        <v>259</v>
      </c>
    </row>
    <row r="73" spans="1:2" x14ac:dyDescent="0.2">
      <c r="A73" s="10" t="s">
        <v>29</v>
      </c>
      <c r="B73" s="9">
        <v>222</v>
      </c>
    </row>
    <row r="74" spans="1:2" x14ac:dyDescent="0.2">
      <c r="A74" s="10" t="s">
        <v>20661</v>
      </c>
      <c r="B74" s="9">
        <v>1200</v>
      </c>
    </row>
    <row r="91" spans="1:2" x14ac:dyDescent="0.2">
      <c r="A91" s="8" t="s">
        <v>20665</v>
      </c>
      <c r="B91" s="9" t="s">
        <v>20663</v>
      </c>
    </row>
    <row r="92" spans="1:2" x14ac:dyDescent="0.2">
      <c r="A92" s="10" t="s">
        <v>37</v>
      </c>
      <c r="B92" s="21">
        <v>313</v>
      </c>
    </row>
    <row r="93" spans="1:2" x14ac:dyDescent="0.2">
      <c r="A93" s="10" t="s">
        <v>21</v>
      </c>
      <c r="B93" s="21">
        <v>286</v>
      </c>
    </row>
    <row r="94" spans="1:2" x14ac:dyDescent="0.2">
      <c r="A94" s="10" t="s">
        <v>81</v>
      </c>
      <c r="B94" s="21">
        <v>292</v>
      </c>
    </row>
    <row r="95" spans="1:2" x14ac:dyDescent="0.2">
      <c r="A95" s="10" t="s">
        <v>20682</v>
      </c>
      <c r="B95" s="21">
        <v>309</v>
      </c>
    </row>
    <row r="96" spans="1:2" x14ac:dyDescent="0.2">
      <c r="A96" s="10" t="s">
        <v>20661</v>
      </c>
      <c r="B96" s="21">
        <v>1200</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F5273-7A84-499E-9C2D-388FDF71BF94}">
  <dimension ref="A1:F6"/>
  <sheetViews>
    <sheetView tabSelected="1" topLeftCell="A5" workbookViewId="0">
      <selection activeCell="D9" sqref="D9"/>
    </sheetView>
  </sheetViews>
  <sheetFormatPr defaultRowHeight="12.75" x14ac:dyDescent="0.2"/>
  <cols>
    <col min="1" max="1" width="16.85546875" customWidth="1"/>
    <col min="2" max="2" width="26.85546875" customWidth="1"/>
    <col min="3" max="3" width="42.85546875" customWidth="1"/>
    <col min="4" max="4" width="46.5703125" customWidth="1"/>
    <col min="5" max="6" width="11.140625" customWidth="1"/>
  </cols>
  <sheetData>
    <row r="1" spans="1:6" x14ac:dyDescent="0.2">
      <c r="A1" s="13" t="s">
        <v>20667</v>
      </c>
      <c r="B1" s="14" t="s">
        <v>20666</v>
      </c>
      <c r="C1" s="14" t="s">
        <v>20668</v>
      </c>
      <c r="D1" s="14" t="s">
        <v>20669</v>
      </c>
      <c r="E1" t="s">
        <v>4287</v>
      </c>
      <c r="F1" t="s">
        <v>4288</v>
      </c>
    </row>
    <row r="2" spans="1:6" ht="63.75" x14ac:dyDescent="0.2">
      <c r="A2" s="12">
        <v>1</v>
      </c>
      <c r="B2" s="19" t="s">
        <v>20670</v>
      </c>
      <c r="C2" s="16" t="s">
        <v>20671</v>
      </c>
      <c r="D2" s="18" t="s">
        <v>20672</v>
      </c>
    </row>
    <row r="3" spans="1:6" ht="102" x14ac:dyDescent="0.2">
      <c r="A3" s="12">
        <v>2</v>
      </c>
      <c r="B3" s="15" t="s">
        <v>20673</v>
      </c>
      <c r="C3" s="20" t="s">
        <v>20674</v>
      </c>
      <c r="D3" s="17" t="s">
        <v>20675</v>
      </c>
    </row>
    <row r="4" spans="1:6" ht="102" x14ac:dyDescent="0.2">
      <c r="A4" s="12">
        <v>3</v>
      </c>
      <c r="B4" s="11" t="s">
        <v>20676</v>
      </c>
      <c r="C4" s="16" t="s">
        <v>20677</v>
      </c>
      <c r="D4" s="17" t="s">
        <v>20678</v>
      </c>
    </row>
    <row r="5" spans="1:6" ht="114.75" x14ac:dyDescent="0.2">
      <c r="A5" s="12">
        <v>4</v>
      </c>
      <c r="B5" s="11" t="s">
        <v>20679</v>
      </c>
      <c r="C5" s="16" t="s">
        <v>20680</v>
      </c>
      <c r="D5" s="17" t="s">
        <v>20681</v>
      </c>
    </row>
    <row r="6" spans="1:6" ht="127.5" x14ac:dyDescent="0.2">
      <c r="A6" s="12">
        <v>5</v>
      </c>
      <c r="B6" s="11" t="s">
        <v>20683</v>
      </c>
      <c r="C6" s="16" t="s">
        <v>20685</v>
      </c>
      <c r="D6" s="17" t="s">
        <v>20684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 Data</vt:lpstr>
      <vt:lpstr>Descriptive_Statistic</vt:lpstr>
      <vt:lpstr>Pivot_Tables</vt:lpstr>
      <vt:lpstr>Key_Observation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Alex Echo</cp:lastModifiedBy>
  <dcterms:created xsi:type="dcterms:W3CDTF">2026-07-27T17:31:52Z</dcterms:created>
  <dcterms:modified xsi:type="dcterms:W3CDTF">2026-08-07T13:08:29Z</dcterms:modified>
</cp:coreProperties>
</file>